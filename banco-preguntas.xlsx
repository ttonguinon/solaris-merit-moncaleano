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Funcionales" sheetId="1" state="visible" r:id="rId1"/>
    <sheet xmlns:r="http://schemas.openxmlformats.org/officeDocument/2006/relationships" name="Comportamentales" sheetId="2" state="visible" r:id="rId2"/>
    <sheet xmlns:r="http://schemas.openxmlformats.org/officeDocument/2006/relationships" name="Resumen" sheetId="3" state="visible" r:id="rId3"/>
    <sheet xmlns:r="http://schemas.openxmlformats.org/officeDocument/2006/relationships" name="Instrucciones"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
      <name val="Arial"/>
      <charset val="1"/>
      <family val="0"/>
      <b val="1"/>
      <color rgb="FF0E1E40"/>
      <sz val="13"/>
    </font>
    <font>
      <name val="Arial"/>
      <charset val="1"/>
      <family val="0"/>
      <b val="1"/>
      <sz val="11"/>
    </font>
    <font>
      <name val="Arial"/>
      <charset val="1"/>
      <family val="0"/>
      <b val="1"/>
      <sz val="10"/>
    </font>
    <font>
      <name val="Arial"/>
      <charset val="1"/>
      <family val="0"/>
      <b val="1"/>
      <color rgb="FF0E1E40"/>
      <sz val="11"/>
    </font>
    <font>
      <name val="Arial"/>
      <charset val="1"/>
      <family val="0"/>
      <color rgb="FF000000"/>
      <sz val="11"/>
    </font>
    <font>
      <name val="Arial"/>
      <sz val="10"/>
    </font>
  </fonts>
  <fills count="3">
    <fill>
      <patternFill/>
    </fill>
    <fill>
      <patternFill patternType="gray125"/>
    </fill>
    <fill>
      <patternFill patternType="solid">
        <fgColor rgb="FF0E1E40"/>
        <bgColor rgb="FF333333"/>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00D9D9D9"/>
      </left>
      <right style="thin">
        <color rgb="00D9D9D9"/>
      </right>
      <top style="thin">
        <color rgb="00D9D9D9"/>
      </top>
      <bottom style="thin">
        <color rgb="00D9D9D9"/>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0" borderId="1"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0" applyAlignment="1" pivotButton="0" quotePrefix="0" xfId="0">
      <alignment horizontal="general" vertical="bottom"/>
    </xf>
    <xf numFmtId="0" fontId="4" fillId="2"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general" vertical="top" wrapText="1"/>
    </xf>
    <xf numFmtId="0" fontId="11" fillId="0" borderId="2" applyAlignment="1" pivotButton="0" quotePrefix="0" xfId="0">
      <alignment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0" applyAlignment="1" pivotButton="0" quotePrefix="0" xfId="0">
      <alignment horizontal="general" vertical="bottom"/>
    </xf>
    <xf numFmtId="0" fontId="4" fillId="2"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E1E40"/>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R68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1" min="1" max="1"/>
    <col width="28" customWidth="1" style="11" min="2" max="2"/>
    <col width="34" customWidth="1" style="11" min="3" max="3"/>
    <col width="12" customWidth="1" style="11" min="4" max="4"/>
    <col width="9" customWidth="1" style="11" min="5" max="5"/>
    <col width="10" customWidth="1" style="11" min="6" max="6"/>
    <col width="62" customWidth="1" style="11" min="7" max="7"/>
    <col width="58" customWidth="1" style="11" min="8" max="8"/>
    <col width="46" customWidth="1" style="11" min="9" max="11"/>
    <col width="10" customWidth="1" style="11" min="12" max="12"/>
    <col width="62" customWidth="1" style="11" min="13" max="13"/>
    <col width="58" customWidth="1" style="11" min="14" max="14"/>
    <col width="38" customWidth="1" style="11" min="15" max="15"/>
    <col width="7" customWidth="1" style="11" min="16" max="16"/>
    <col width="12" customWidth="1" style="11" min="17" max="17"/>
    <col width="9" customWidth="1" style="11" min="18" max="18"/>
  </cols>
  <sheetData>
    <row r="1" ht="27.75" customHeight="1" s="12">
      <c r="A1" s="13" t="inlineStr">
        <is>
          <t>id</t>
        </is>
      </c>
      <c r="B1" s="13" t="inlineStr">
        <is>
          <t>concurso</t>
        </is>
      </c>
      <c r="C1" s="13" t="inlineStr">
        <is>
          <t>eje</t>
        </is>
      </c>
      <c r="D1" s="13" t="inlineStr">
        <is>
          <t>nivel</t>
        </is>
      </c>
      <c r="E1" s="13" t="inlineStr">
        <is>
          <t>caso_id</t>
        </is>
      </c>
      <c r="F1" s="13" t="inlineStr">
        <is>
          <t>caso</t>
        </is>
      </c>
      <c r="G1" s="13" t="inlineStr">
        <is>
          <t>texto_caso</t>
        </is>
      </c>
      <c r="H1" s="13" t="inlineStr">
        <is>
          <t>enunciado</t>
        </is>
      </c>
      <c r="I1" s="13" t="inlineStr">
        <is>
          <t>a</t>
        </is>
      </c>
      <c r="J1" s="13" t="inlineStr">
        <is>
          <t>b</t>
        </is>
      </c>
      <c r="K1" s="13" t="inlineStr">
        <is>
          <t>c</t>
        </is>
      </c>
      <c r="L1" s="13" t="inlineStr">
        <is>
          <t>respuesta</t>
        </is>
      </c>
      <c r="M1" s="13" t="inlineStr">
        <is>
          <t>explicacion</t>
        </is>
      </c>
      <c r="N1" s="13" t="inlineStr">
        <is>
          <t>porque_no</t>
        </is>
      </c>
      <c r="O1" s="13" t="inlineStr">
        <is>
          <t>fuente</t>
        </is>
      </c>
      <c r="P1" s="13" t="inlineStr">
        <is>
          <t>activa</t>
        </is>
      </c>
      <c r="Q1" s="11" t="inlineStr">
        <is>
          <t>dificultad</t>
        </is>
      </c>
      <c r="R1" s="11" t="inlineStr">
        <is>
          <t>tipo_v2</t>
        </is>
      </c>
    </row>
    <row r="2" ht="45.75" customHeight="1" s="12">
      <c r="A2" s="14" t="inlineStr">
        <is>
          <t>F0001</t>
        </is>
      </c>
      <c r="B2" s="14" t="inlineStr">
        <is>
          <t>PS 2782 de 2026 - ESE 2 - HUHMP Neiva</t>
        </is>
      </c>
      <c r="C2" s="14" t="inlineStr">
        <is>
          <t>Sistema de salud y Ley 100 de 1993</t>
        </is>
      </c>
      <c r="D2" s="14" t="inlineStr">
        <is>
          <t>Profesional</t>
        </is>
      </c>
      <c r="E2" s="14" t="inlineStr">
        <is>
          <t>C001</t>
        </is>
      </c>
      <c r="F2" s="14" t="inlineStr">
        <is>
          <t>Caso 001</t>
        </is>
      </c>
      <c r="G2" s="14" t="inlineStr">
        <is>
          <t>La E.S.E. recibe un derecho de petición de un ciudadano que afirma que, por ser el hospital una entidad pública, toda su contratación debe adelantarse por licitación pública de la Ley 80 de 1993. El jefe de la oficina jurídica pide concepto.</t>
        </is>
      </c>
      <c r="H2" s="14" t="inlineStr">
        <is>
          <t>¿Cuál es el régimen contractual aplicable a la E.S.E.?</t>
        </is>
      </c>
      <c r="I2" s="14" t="inlineStr">
        <is>
          <t>El Estatuto General de Contratación de la Administración Pública, sin excepciones</t>
        </is>
      </c>
      <c r="J2" s="14" t="inlineStr">
        <is>
          <t>El derecho privado, pudiendo incluir discrecionalmente las cláusulas excepcionales</t>
        </is>
      </c>
      <c r="K2" s="14" t="inlineStr">
        <is>
          <t>El régimen de las empresas industriales y comerciales del Estado del orden nacional</t>
        </is>
      </c>
      <c r="L2" s="14" t="inlineStr">
        <is>
          <t>b</t>
        </is>
      </c>
      <c r="M2" s="14" t="inlineStr">
        <is>
          <t>El numeral 6 del artículo 195 de la Ley 100 de 1993 dispone que en materia contractual las E.S.E. se rigen por el derecho privado, con la posibilidad de pactar discrecionalmente las cláusulas excepcionales.</t>
        </is>
      </c>
      <c r="N2" s="14" t="inlineStr">
        <is>
          <t>La opción a) desconoce el régimen exceptuado del artículo 195.6; la opción c) traslada un régimen que la ley no previó para las E.S.E., que son una categoría especial de entidad pública descentralizada.</t>
        </is>
      </c>
      <c r="O2" s="14" t="inlineStr">
        <is>
          <t>Ley 100 de 1993, art. 195 num. 6</t>
        </is>
      </c>
      <c r="P2" s="14" t="inlineStr">
        <is>
          <t>SI</t>
        </is>
      </c>
      <c r="Q2" s="11" t="inlineStr">
        <is>
          <t>Basica</t>
        </is>
      </c>
      <c r="R2" s="11" t="inlineStr">
        <is>
          <t>repaso</t>
        </is>
      </c>
    </row>
    <row r="3" ht="45.75" customHeight="1" s="12">
      <c r="A3" s="14" t="inlineStr">
        <is>
          <t>F0002</t>
        </is>
      </c>
      <c r="B3" s="14" t="inlineStr">
        <is>
          <t>PS 2782 de 2026 - ESE 2 - HUHMP Neiva</t>
        </is>
      </c>
      <c r="C3" s="14" t="inlineStr">
        <is>
          <t>Sistema de salud y Ley 100 de 1993</t>
        </is>
      </c>
      <c r="D3" s="14" t="inlineStr">
        <is>
          <t>Profesional</t>
        </is>
      </c>
      <c r="E3" s="14" t="inlineStr">
        <is>
          <t>C001</t>
        </is>
      </c>
      <c r="F3" s="14" t="inlineStr">
        <is>
          <t>Caso 001</t>
        </is>
      </c>
      <c r="G3" s="14" t="inlineStr">
        <is>
          <t>La E.S.E. recibe un derecho de petición de un ciudadano que afirma que, por ser el hospital una entidad pública, toda su contratación debe adelantarse por licitación pública de la Ley 80 de 1993. El jefe de la oficina jurídica pide concepto.</t>
        </is>
      </c>
      <c r="H3" s="14" t="inlineStr">
        <is>
          <t>El ciudadano insiste en que, al aplicar derecho privado, la E.S.E. queda libre de los principios de la función administrativa. La respuesta correcta es:</t>
        </is>
      </c>
      <c r="I3" s="14" t="inlineStr">
        <is>
          <t>Es cierto: el régimen privado excluye los principios del artículo 209 de la Constitución</t>
        </is>
      </c>
      <c r="J3" s="14" t="inlineStr">
        <is>
          <t>Solo aplican los principios cuando el contrato supere la menor cuantía</t>
        </is>
      </c>
      <c r="K3" s="14" t="inlineStr">
        <is>
          <t>Los principios de la función administrativa y de la gestión fiscal siguen aplicando a la actividad contractual</t>
        </is>
      </c>
      <c r="L3" s="14" t="inlineStr">
        <is>
          <t>c</t>
        </is>
      </c>
      <c r="M3" s="14" t="inlineStr">
        <is>
          <t>El artículo 13 de la Ley 1150 de 2007 obliga a las entidades con régimen contractual excepcional a aplicar los principios de la función administrativa y de la gestión fiscal de los artículos 209 y 267 de la Constitución.</t>
        </is>
      </c>
      <c r="N3" s="14" t="inlineStr">
        <is>
          <t>Las opciones a) y b) confunden el régimen sustantivo aplicable con la naturaleza pública de los recursos y de la función, que no admite excepción por cuantía.</t>
        </is>
      </c>
      <c r="O3" s="14" t="inlineStr">
        <is>
          <t>Ley 1150 de 2007, art. 13; C.P. arts. 209 y 267</t>
        </is>
      </c>
      <c r="P3" s="14" t="inlineStr">
        <is>
          <t>SI</t>
        </is>
      </c>
      <c r="Q3" s="11" t="inlineStr">
        <is>
          <t>Basica</t>
        </is>
      </c>
      <c r="R3" s="11" t="inlineStr">
        <is>
          <t>repaso</t>
        </is>
      </c>
    </row>
    <row r="4" ht="45.75" customHeight="1" s="12">
      <c r="A4" s="14" t="inlineStr">
        <is>
          <t>F0003</t>
        </is>
      </c>
      <c r="B4" s="14" t="inlineStr">
        <is>
          <t>PS 2782 de 2026 - ESE 2 - HUHMP Neiva</t>
        </is>
      </c>
      <c r="C4" s="14" t="inlineStr">
        <is>
          <t>Sistema de salud y Ley 100 de 1993</t>
        </is>
      </c>
      <c r="D4" s="14" t="inlineStr">
        <is>
          <t>Profesional</t>
        </is>
      </c>
      <c r="E4" s="14" t="inlineStr">
        <is>
          <t>C001</t>
        </is>
      </c>
      <c r="F4" s="14" t="inlineStr">
        <is>
          <t>Caso 001</t>
        </is>
      </c>
      <c r="G4" s="14" t="inlineStr">
        <is>
          <t>La E.S.E. recibe un derecho de petición de un ciudadano que afirma que, por ser el hospital una entidad pública, toda su contratación debe adelantarse por licitación pública de la Ley 80 de 1993. El jefe de la oficina jurídica pide concepto.</t>
        </is>
      </c>
      <c r="H4" s="14" t="inlineStr">
        <is>
          <t>Sobre la naturaleza jurídica de la E.S.E., lo correcto es afirmar que:</t>
        </is>
      </c>
      <c r="I4" s="14" t="inlineStr">
        <is>
          <t>Es una categoría especial de entidad pública descentralizada, con personería jurídica, patrimonio propio y autonomía administrativa</t>
        </is>
      </c>
      <c r="J4" s="14" t="inlineStr">
        <is>
          <t>Es un establecimiento público del orden nacional adscrito al Ministerio de Salud</t>
        </is>
      </c>
      <c r="K4" s="14" t="inlineStr">
        <is>
          <t>Es una sociedad de economía mixta sujeta al control de la Superintendencia de Sociedades</t>
        </is>
      </c>
      <c r="L4" s="14" t="inlineStr">
        <is>
          <t>a</t>
        </is>
      </c>
      <c r="M4" s="14" t="inlineStr">
        <is>
          <t>El artículo 194 de la Ley 100 de 1993 define a las E.S.E. como categoría especial de entidad pública descentralizada, con personería jurídica, patrimonio propio y autonomía administrativa.</t>
        </is>
      </c>
      <c r="N4" s="14" t="inlineStr">
        <is>
          <t>Las opciones b) y c) asignan naturalezas y controles que no corresponden: la E.S.E. departamental se crea por ordenanza y es vigilada por la Superintendencia Nacional de Salud.</t>
        </is>
      </c>
      <c r="O4" s="14" t="inlineStr">
        <is>
          <t>Ley 100 de 1993, art. 194; Decreto 1876 de 1994</t>
        </is>
      </c>
      <c r="P4" s="14" t="inlineStr">
        <is>
          <t>SI</t>
        </is>
      </c>
      <c r="Q4" s="11" t="inlineStr">
        <is>
          <t>Basica</t>
        </is>
      </c>
      <c r="R4" s="11" t="inlineStr">
        <is>
          <t>repaso</t>
        </is>
      </c>
    </row>
    <row r="5" ht="45.75" customHeight="1" s="12">
      <c r="A5" s="14" t="inlineStr">
        <is>
          <t>F0004</t>
        </is>
      </c>
      <c r="B5" s="14" t="inlineStr">
        <is>
          <t>PS 2782 de 2026 - ESE 2 - HUHMP Neiva</t>
        </is>
      </c>
      <c r="C5" s="14" t="inlineStr">
        <is>
          <t>Sistema de salud y Ley 100 de 1993</t>
        </is>
      </c>
      <c r="D5" s="14" t="inlineStr">
        <is>
          <t>Profesional</t>
        </is>
      </c>
      <c r="E5" s="14" t="inlineStr">
        <is>
          <t>C002</t>
        </is>
      </c>
      <c r="F5" s="14" t="inlineStr">
        <is>
          <t>Caso 002</t>
        </is>
      </c>
      <c r="G5" s="14" t="inlineStr">
        <is>
          <t>En una mesa de trabajo sobre facturación, un contratista sostiene que el hospital puede cobrar copagos a un usuario del régimen subsidiado clasificado en el nivel I del Sisbén por una hospitalización.</t>
        </is>
      </c>
      <c r="H5" s="14" t="inlineStr">
        <is>
          <t>Frente a los pagos moderadores, lo correcto es:</t>
        </is>
      </c>
      <c r="I5" s="14" t="inlineStr">
        <is>
          <t>Toda la población afiliada paga cuotas moderadoras y copagos en igual proporción</t>
        </is>
      </c>
      <c r="J5" s="14" t="inlineStr">
        <is>
          <t>Los pagos moderadores se aplican según la capacidad socioeconómica del afiliado y existen servicios exceptuados</t>
        </is>
      </c>
      <c r="K5" s="14" t="inlineStr">
        <is>
          <t>Los copagos son de libre fijación por cada prestador</t>
        </is>
      </c>
      <c r="L5" s="14" t="inlineStr">
        <is>
          <t>b</t>
        </is>
      </c>
      <c r="M5" s="14" t="inlineStr">
        <is>
          <t>El artículo 187 de la Ley 100 de 1993 y sus normas reglamentarias establecen que los pagos moderadores se fijan según el ingreso o clasificación socioeconómica del afiliado, con servicios exceptuados de cobro.</t>
        </is>
      </c>
      <c r="N5" s="14" t="inlineStr">
        <is>
          <t>La opción a) desconoce la progresividad legal; la opción c) confunde el cobro al usuario con la negociación tarifaria entre prestador y pagador.</t>
        </is>
      </c>
      <c r="O5" s="14" t="inlineStr">
        <is>
          <t>Ley 100 de 1993, art. 187</t>
        </is>
      </c>
      <c r="P5" s="14" t="inlineStr">
        <is>
          <t>SI</t>
        </is>
      </c>
      <c r="Q5" s="11" t="inlineStr">
        <is>
          <t>Basica</t>
        </is>
      </c>
      <c r="R5" s="11" t="inlineStr">
        <is>
          <t>repaso</t>
        </is>
      </c>
    </row>
    <row r="6" ht="34.5" customHeight="1" s="12">
      <c r="A6" s="14" t="inlineStr">
        <is>
          <t>F0005</t>
        </is>
      </c>
      <c r="B6" s="14" t="inlineStr">
        <is>
          <t>PS 2782 de 2026 - ESE 2 - HUHMP Neiva</t>
        </is>
      </c>
      <c r="C6" s="14" t="inlineStr">
        <is>
          <t>Sistema de salud y Ley 100 de 1993</t>
        </is>
      </c>
      <c r="D6" s="14" t="inlineStr">
        <is>
          <t>Profesional</t>
        </is>
      </c>
      <c r="E6" s="14" t="inlineStr">
        <is>
          <t>C002</t>
        </is>
      </c>
      <c r="F6" s="14" t="inlineStr">
        <is>
          <t>Caso 002</t>
        </is>
      </c>
      <c r="G6" s="14" t="inlineStr">
        <is>
          <t>En una mesa de trabajo sobre facturación, un contratista sostiene que el hospital puede cobrar copagos a un usuario del régimen subsidiado clasificado en el nivel I del Sisbén por una hospitalización.</t>
        </is>
      </c>
      <c r="H6" s="14" t="inlineStr">
        <is>
          <t>El usuario llega remitido y sin autorización de la EPS a urgencias. El hospital debe:</t>
        </is>
      </c>
      <c r="I6" s="14" t="inlineStr">
        <is>
          <t>Exigir la autorización antes de valorar al paciente</t>
        </is>
      </c>
      <c r="J6" s="14" t="inlineStr">
        <is>
          <t>Prestar la atención inicial de urgencias sin exigir autorización previa ni pago</t>
        </is>
      </c>
      <c r="K6" s="14" t="inlineStr">
        <is>
          <t>Aplazar la atención hasta verificar la afiliación en el ADRES</t>
        </is>
      </c>
      <c r="L6" s="14" t="inlineStr">
        <is>
          <t>b</t>
        </is>
      </c>
      <c r="M6" s="14" t="inlineStr">
        <is>
          <t>La atención inicial de urgencias es obligatoria y no puede condicionarse a autorización previa ni a pago, conforme a la Ley 100 y al artículo 14 de la Ley 1751 de 2015.</t>
        </is>
      </c>
      <c r="N6" s="14" t="inlineStr">
        <is>
          <t>Las opciones a) y c) condicionan una atención que la ley define como incondicionada; la verificación de derechos es un trámite posterior y administrativo.</t>
        </is>
      </c>
      <c r="O6" s="14" t="inlineStr">
        <is>
          <t>Ley 1751 de 2015, art. 14; Ley 100 de 1993, art. 168</t>
        </is>
      </c>
      <c r="P6" s="14" t="inlineStr">
        <is>
          <t>SI</t>
        </is>
      </c>
      <c r="Q6" s="11" t="inlineStr">
        <is>
          <t>Basica</t>
        </is>
      </c>
      <c r="R6" s="11" t="inlineStr">
        <is>
          <t>repaso</t>
        </is>
      </c>
    </row>
    <row r="7" ht="34.5" customHeight="1" s="12">
      <c r="A7" s="14" t="inlineStr">
        <is>
          <t>F0006</t>
        </is>
      </c>
      <c r="B7" s="14" t="inlineStr">
        <is>
          <t>PS 2782 de 2026 - ESE 2 - HUHMP Neiva</t>
        </is>
      </c>
      <c r="C7" s="14" t="inlineStr">
        <is>
          <t>Sistema de salud y Ley 100 de 1993</t>
        </is>
      </c>
      <c r="D7" s="14" t="inlineStr">
        <is>
          <t>Profesional</t>
        </is>
      </c>
      <c r="E7" s="14" t="inlineStr">
        <is>
          <t>C002</t>
        </is>
      </c>
      <c r="F7" s="14" t="inlineStr">
        <is>
          <t>Caso 002</t>
        </is>
      </c>
      <c r="G7" s="14" t="inlineStr">
        <is>
          <t>En una mesa de trabajo sobre facturación, un contratista sostiene que el hospital puede cobrar copagos a un usuario del régimen subsidiado clasificado en el nivel I del Sisbén por una hospitalización.</t>
        </is>
      </c>
      <c r="H7" s="14" t="inlineStr">
        <is>
          <t>Los recursos de la seguridad social en salud:</t>
        </is>
      </c>
      <c r="I7" s="14" t="inlineStr">
        <is>
          <t>Pueden destinarse a gastos generales del departamento si hay superávit</t>
        </is>
      </c>
      <c r="J7" s="14" t="inlineStr">
        <is>
          <t>Tienen destinación específica y no pueden destinarse ni utilizarse para fines distintos</t>
        </is>
      </c>
      <c r="K7" s="14" t="inlineStr">
        <is>
          <t>Pierden su destinación al ingresar al presupuesto de la E.S.E.</t>
        </is>
      </c>
      <c r="L7" s="14" t="inlineStr">
        <is>
          <t>b</t>
        </is>
      </c>
      <c r="M7" s="14" t="inlineStr">
        <is>
          <t>El artículo 48 de la Constitución prohíbe destinar o utilizar los recursos de las instituciones de la seguridad social para fines diferentes a ella.</t>
        </is>
      </c>
      <c r="N7" s="14" t="inlineStr">
        <is>
          <t>Las opciones a) y c) suponen una pérdida de destinación que la Constitución no permite, cualquiera sea el momento presupuestal.</t>
        </is>
      </c>
      <c r="O7" s="14" t="inlineStr">
        <is>
          <t>C.P. art. 48; Ley 100 de 1993</t>
        </is>
      </c>
      <c r="P7" s="14" t="inlineStr">
        <is>
          <t>SI</t>
        </is>
      </c>
      <c r="Q7" s="11" t="inlineStr">
        <is>
          <t>Basica</t>
        </is>
      </c>
      <c r="R7" s="11" t="inlineStr">
        <is>
          <t>repaso</t>
        </is>
      </c>
    </row>
    <row r="8" ht="23.25" customHeight="1" s="12">
      <c r="A8" s="14" t="inlineStr">
        <is>
          <t>F0007</t>
        </is>
      </c>
      <c r="B8" s="14" t="inlineStr">
        <is>
          <t>PS 2782 de 2026 - ESE 2 - HUHMP Neiva</t>
        </is>
      </c>
      <c r="C8" s="14" t="inlineStr">
        <is>
          <t>Sistema de salud y Ley 100 de 1993</t>
        </is>
      </c>
      <c r="D8" s="14" t="inlineStr">
        <is>
          <t>Técnico</t>
        </is>
      </c>
      <c r="E8" s="14" t="inlineStr">
        <is>
          <t>C003</t>
        </is>
      </c>
      <c r="F8" s="14" t="inlineStr">
        <is>
          <t>Caso 003</t>
        </is>
      </c>
      <c r="G8" s="14" t="inlineStr">
        <is>
          <t>Un técnico de facturación debe explicar a un usuario nuevo la diferencia entre los regímenes del SGSSS y las rutas de afiliación.</t>
        </is>
      </c>
      <c r="H8" s="14" t="inlineStr">
        <is>
          <t>La afiliación al régimen subsidiado corresponde a:</t>
        </is>
      </c>
      <c r="I8" s="14" t="inlineStr">
        <is>
          <t>Trabajadores dependientes con contrato laboral vigente</t>
        </is>
      </c>
      <c r="J8" s="14" t="inlineStr">
        <is>
          <t>Población sin capacidad de pago identificada mediante la encuesta del Sisbén o listados censales</t>
        </is>
      </c>
      <c r="K8" s="14" t="inlineStr">
        <is>
          <t>Pensionados con mesada superior a dos salarios mínimos</t>
        </is>
      </c>
      <c r="L8" s="14" t="inlineStr">
        <is>
          <t>b</t>
        </is>
      </c>
      <c r="M8" s="14" t="inlineStr">
        <is>
          <t>El régimen subsidiado cubre a la población sin capacidad de pago, identificada mediante los instrumentos de focalización vigentes.</t>
        </is>
      </c>
      <c r="N8" s="14" t="inlineStr">
        <is>
          <t>Las opciones a) y c) describen afiliados cotizantes del régimen contributivo.</t>
        </is>
      </c>
      <c r="O8" s="14" t="inlineStr">
        <is>
          <t>Ley 100 de 1993, arts. 157 y 211</t>
        </is>
      </c>
      <c r="P8" s="14" t="inlineStr">
        <is>
          <t>SI</t>
        </is>
      </c>
      <c r="Q8" s="11" t="inlineStr">
        <is>
          <t>Basica</t>
        </is>
      </c>
      <c r="R8" s="11" t="inlineStr">
        <is>
          <t>repaso</t>
        </is>
      </c>
    </row>
    <row r="9" ht="23.25" customHeight="1" s="12">
      <c r="A9" s="14" t="inlineStr">
        <is>
          <t>F0008</t>
        </is>
      </c>
      <c r="B9" s="14" t="inlineStr">
        <is>
          <t>PS 2782 de 2026 - ESE 2 - HUHMP Neiva</t>
        </is>
      </c>
      <c r="C9" s="14" t="inlineStr">
        <is>
          <t>Sistema de salud y Ley 100 de 1993</t>
        </is>
      </c>
      <c r="D9" s="14" t="inlineStr">
        <is>
          <t>Técnico</t>
        </is>
      </c>
      <c r="E9" s="14" t="inlineStr">
        <is>
          <t>C003</t>
        </is>
      </c>
      <c r="F9" s="14" t="inlineStr">
        <is>
          <t>Caso 003</t>
        </is>
      </c>
      <c r="G9" s="14" t="inlineStr">
        <is>
          <t>Un técnico de facturación debe explicar a un usuario nuevo la diferencia entre los regímenes del SGSSS y las rutas de afiliación.</t>
        </is>
      </c>
      <c r="H9" s="14" t="inlineStr">
        <is>
          <t>El Sistema de Afiliación Transaccional (SAT) sirve para:</t>
        </is>
      </c>
      <c r="I9" s="14" t="inlineStr">
        <is>
          <t>Registrar y consultar en línea la afiliación y sus novedades</t>
        </is>
      </c>
      <c r="J9" s="14" t="inlineStr">
        <is>
          <t>Liquidar la nómina del personal asistencial</t>
        </is>
      </c>
      <c r="K9" s="14" t="inlineStr">
        <is>
          <t>Autorizar los medicamentos no financiados con la UPC</t>
        </is>
      </c>
      <c r="L9" s="14" t="inlineStr">
        <is>
          <t>a</t>
        </is>
      </c>
      <c r="M9" s="14" t="inlineStr">
        <is>
          <t>El SAT es el sistema dispuesto para el registro de la afiliación y el reporte de novedades de los afiliados al SGSSS.</t>
        </is>
      </c>
      <c r="N9" s="14" t="inlineStr">
        <is>
          <t>Las opciones b) y c) corresponden a procesos de talento humano y a trámites de prestaciones, ajenos al SAT.</t>
        </is>
      </c>
      <c r="O9" s="14" t="inlineStr">
        <is>
          <t>Decreto 780 de 2016, Libro 2, Parte 1</t>
        </is>
      </c>
      <c r="P9" s="14" t="inlineStr">
        <is>
          <t>SI</t>
        </is>
      </c>
      <c r="Q9" s="11" t="inlineStr">
        <is>
          <t>Basica</t>
        </is>
      </c>
      <c r="R9" s="11" t="inlineStr">
        <is>
          <t>repaso</t>
        </is>
      </c>
    </row>
    <row r="10" ht="34.5" customHeight="1" s="12">
      <c r="A10" s="14" t="inlineStr">
        <is>
          <t>F0009</t>
        </is>
      </c>
      <c r="B10" s="14" t="inlineStr">
        <is>
          <t>PS 2782 de 2026 - ESE 2 - HUHMP Neiva</t>
        </is>
      </c>
      <c r="C10" s="14" t="inlineStr">
        <is>
          <t>Sistema de salud y Ley 100 de 1993</t>
        </is>
      </c>
      <c r="D10" s="14" t="inlineStr">
        <is>
          <t>Técnico</t>
        </is>
      </c>
      <c r="E10" s="14" t="inlineStr">
        <is>
          <t>C003</t>
        </is>
      </c>
      <c r="F10" s="14" t="inlineStr">
        <is>
          <t>Caso 003</t>
        </is>
      </c>
      <c r="G10" s="14" t="inlineStr">
        <is>
          <t>Un técnico de facturación debe explicar a un usuario nuevo la diferencia entre los regímenes del SGSSS y las rutas de afiliación.</t>
        </is>
      </c>
      <c r="H10" s="14" t="inlineStr">
        <is>
          <t>Si el usuario aparece como no afiliado y requiere atención no urgente, el trámite correcto es:</t>
        </is>
      </c>
      <c r="I10" s="14" t="inlineStr">
        <is>
          <t>Negar la atención y retirar al usuario</t>
        </is>
      </c>
      <c r="J10" s="14" t="inlineStr">
        <is>
          <t>Orientarlo sobre la afiliación de oficio y la ruta con la entidad territorial, sin perjuicio de la atención que la ley ordena</t>
        </is>
      </c>
      <c r="K10" s="14" t="inlineStr">
        <is>
          <t>Afiliarlo directamente el hospital a la EPS que elija el funcionario</t>
        </is>
      </c>
      <c r="L10" s="14" t="inlineStr">
        <is>
          <t>b</t>
        </is>
      </c>
      <c r="M10" s="14" t="inlineStr">
        <is>
          <t>El prestador orienta al usuario sobre la afiliación de oficio y la competencia de la entidad territorial, sin que ello afecte las atenciones obligatorias por ley.</t>
        </is>
      </c>
      <c r="N10" s="14" t="inlineStr">
        <is>
          <t>La opción a) vulnera el deber de información y atención; la opción c) atribuye al prestador una facultad de afiliación que no tiene y desconoce la libre elección.</t>
        </is>
      </c>
      <c r="O10" s="14" t="inlineStr">
        <is>
          <t>Decreto 780 de 2016; Ley 1751 de 2015, art. 8</t>
        </is>
      </c>
      <c r="P10" s="14" t="inlineStr">
        <is>
          <t>SI</t>
        </is>
      </c>
      <c r="Q10" s="11" t="inlineStr">
        <is>
          <t>Basica</t>
        </is>
      </c>
      <c r="R10" s="11" t="inlineStr">
        <is>
          <t>repaso</t>
        </is>
      </c>
    </row>
    <row r="11" ht="23.25" customHeight="1" s="12">
      <c r="A11" s="14" t="inlineStr">
        <is>
          <t>F0010</t>
        </is>
      </c>
      <c r="B11" s="14" t="inlineStr">
        <is>
          <t>PS 2782 de 2026 - ESE 2 - HUHMP Neiva</t>
        </is>
      </c>
      <c r="C11" s="14" t="inlineStr">
        <is>
          <t>Sistema de salud y Ley 100 de 1993</t>
        </is>
      </c>
      <c r="D11" s="14" t="inlineStr">
        <is>
          <t>Profesional</t>
        </is>
      </c>
      <c r="E11" s="14" t="inlineStr">
        <is>
          <t>C004</t>
        </is>
      </c>
      <c r="F11" s="14" t="inlineStr">
        <is>
          <t>Caso 004</t>
        </is>
      </c>
      <c r="G11" s="14" t="inlineStr">
        <is>
          <t>La gerencia solicita un informe sobre el flujo de recursos y la contratación con las EPS para la vigencia.</t>
        </is>
      </c>
      <c r="H11" s="14" t="inlineStr">
        <is>
          <t>El giro directo a las IPS tiene como finalidad:</t>
        </is>
      </c>
      <c r="I11" s="14" t="inlineStr">
        <is>
          <t>Reemplazar la facturación del prestador</t>
        </is>
      </c>
      <c r="J11" s="14" t="inlineStr">
        <is>
          <t>Asegurar el flujo oportuno de recursos desde el pagador hacia el prestador</t>
        </is>
      </c>
      <c r="K11" s="14" t="inlineStr">
        <is>
          <t>Eliminar la auditoría de cuentas médicas</t>
        </is>
      </c>
      <c r="L11" s="14" t="inlineStr">
        <is>
          <t>b</t>
        </is>
      </c>
      <c r="M11" s="14" t="inlineStr">
        <is>
          <t>El giro directo busca garantizar el flujo y protección de los recursos hacia los prestadores, sin sustituir los procesos de facturación ni de auditoría.</t>
        </is>
      </c>
      <c r="N11" s="14" t="inlineStr">
        <is>
          <t>Las opciones a) y c) suprimen procesos que se mantienen: facturar y auditar siguen siendo obligaciones de las partes.</t>
        </is>
      </c>
      <c r="O11" s="14" t="inlineStr">
        <is>
          <t>Ley 1438 de 2011; Decreto 780 de 2016</t>
        </is>
      </c>
      <c r="P11" s="14" t="inlineStr">
        <is>
          <t>SI</t>
        </is>
      </c>
      <c r="Q11" s="11" t="inlineStr">
        <is>
          <t>Basica</t>
        </is>
      </c>
      <c r="R11" s="11" t="inlineStr">
        <is>
          <t>repaso</t>
        </is>
      </c>
    </row>
    <row r="12" ht="23.25" customHeight="1" s="12">
      <c r="A12" s="14" t="inlineStr">
        <is>
          <t>F0011</t>
        </is>
      </c>
      <c r="B12" s="14" t="inlineStr">
        <is>
          <t>PS 2782 de 2026 - ESE 2 - HUHMP Neiva</t>
        </is>
      </c>
      <c r="C12" s="14" t="inlineStr">
        <is>
          <t>Sistema de salud y Ley 100 de 1993</t>
        </is>
      </c>
      <c r="D12" s="14" t="inlineStr">
        <is>
          <t>Profesional</t>
        </is>
      </c>
      <c r="E12" s="14" t="inlineStr">
        <is>
          <t>C004</t>
        </is>
      </c>
      <c r="F12" s="14" t="inlineStr">
        <is>
          <t>Caso 004</t>
        </is>
      </c>
      <c r="G12" s="14" t="inlineStr">
        <is>
          <t>La gerencia solicita un informe sobre el flujo de recursos y la contratación con las EPS para la vigencia.</t>
        </is>
      </c>
      <c r="H12" s="14" t="inlineStr">
        <is>
          <t>Ante glosas de la EPS, el término y el trámite correctos son:</t>
        </is>
      </c>
      <c r="I12" s="14" t="inlineStr">
        <is>
          <t>El prestador debe aceptarlas todas para no afectar el flujo de caja</t>
        </is>
      </c>
      <c r="J12" s="14" t="inlineStr">
        <is>
          <t>Existe un procedimiento reglado de respuesta a glosas con términos definidos y conciliación posterior</t>
        </is>
      </c>
      <c r="K12" s="14" t="inlineStr">
        <is>
          <t>Las glosas solo se discuten ante el juez administrativo</t>
        </is>
      </c>
      <c r="L12" s="14" t="inlineStr">
        <is>
          <t>b</t>
        </is>
      </c>
      <c r="M12" s="14" t="inlineStr">
        <is>
          <t>El manual único de glosas fija el trámite y los términos para formularlas, responderlas y conciliarlas entre pagador y prestador.</t>
        </is>
      </c>
      <c r="N12" s="14" t="inlineStr">
        <is>
          <t>La opción a) renuncia a derechos económicos del hospital; la opción c) omite la etapa administrativa previa de respuesta y conciliación.</t>
        </is>
      </c>
      <c r="O12" s="14" t="inlineStr">
        <is>
          <t>Decreto 780 de 2016; Resolución 3047 de 2008 y sus modificaciones</t>
        </is>
      </c>
      <c r="P12" s="14" t="inlineStr">
        <is>
          <t>SI</t>
        </is>
      </c>
      <c r="Q12" s="11" t="inlineStr">
        <is>
          <t>Basica</t>
        </is>
      </c>
      <c r="R12" s="11" t="inlineStr">
        <is>
          <t>repaso</t>
        </is>
      </c>
    </row>
    <row r="13" ht="34.5" customHeight="1" s="12">
      <c r="A13" s="14" t="inlineStr">
        <is>
          <t>F0012</t>
        </is>
      </c>
      <c r="B13" s="14" t="inlineStr">
        <is>
          <t>PS 2782 de 2026 - ESE 2 - HUHMP Neiva</t>
        </is>
      </c>
      <c r="C13" s="14" t="inlineStr">
        <is>
          <t>Sistema de salud y Ley 100 de 1993</t>
        </is>
      </c>
      <c r="D13" s="14" t="inlineStr">
        <is>
          <t>Profesional</t>
        </is>
      </c>
      <c r="E13" s="14" t="inlineStr">
        <is>
          <t>C004</t>
        </is>
      </c>
      <c r="F13" s="14" t="inlineStr">
        <is>
          <t>Caso 004</t>
        </is>
      </c>
      <c r="G13" s="14" t="inlineStr">
        <is>
          <t>La gerencia solicita un informe sobre el flujo de recursos y la contratación con las EPS para la vigencia.</t>
        </is>
      </c>
      <c r="H13" s="14" t="inlineStr">
        <is>
          <t>La E.S.E. clasificada en riesgo financiero alto debe:</t>
        </is>
      </c>
      <c r="I13" s="14" t="inlineStr">
        <is>
          <t>Suspender la prestación de servicios hasta sanear sus cuentas</t>
        </is>
      </c>
      <c r="J13" s="14" t="inlineStr">
        <is>
          <t>Adoptar y ejecutar un programa de saneamiento fiscal y financiero viabilizado por el Ministerio de Hacienda</t>
        </is>
      </c>
      <c r="K13" s="14" t="inlineStr">
        <is>
          <t>Solicitar su liquidación inmediata ante la Superintendencia Nacional de Salud</t>
        </is>
      </c>
      <c r="L13" s="14" t="inlineStr">
        <is>
          <t>b</t>
        </is>
      </c>
      <c r="M13" s="14" t="inlineStr">
        <is>
          <t>La categorización del riesgo obliga a la E.S.E. a adoptar un programa de saneamiento fiscal y financiero, sujeto a viabilización y seguimiento.</t>
        </is>
      </c>
      <c r="N13" s="14" t="inlineStr">
        <is>
          <t>Las opciones a) y c) confunden una medida de saneamiento con la interrupción del servicio o con la liquidación, que no son la consecuencia prevista.</t>
        </is>
      </c>
      <c r="O13" s="14" t="inlineStr">
        <is>
          <t>Ley 1438 de 2011, art. 80; Ley 1608 de 2013</t>
        </is>
      </c>
      <c r="P13" s="14" t="inlineStr">
        <is>
          <t>SI</t>
        </is>
      </c>
      <c r="Q13" s="11" t="inlineStr">
        <is>
          <t>Basica</t>
        </is>
      </c>
      <c r="R13" s="11" t="inlineStr">
        <is>
          <t>repaso</t>
        </is>
      </c>
    </row>
    <row r="14" ht="34.5" customHeight="1" s="12">
      <c r="A14" s="14" t="inlineStr">
        <is>
          <t>F0013</t>
        </is>
      </c>
      <c r="B14" s="14" t="inlineStr">
        <is>
          <t>PS 2782 de 2026 - ESE 2 - HUHMP Neiva</t>
        </is>
      </c>
      <c r="C14" s="14" t="inlineStr">
        <is>
          <t>Ley 1751 de 2015 - derecho fundamental a la salud</t>
        </is>
      </c>
      <c r="D14" s="14" t="inlineStr">
        <is>
          <t>Profesional</t>
        </is>
      </c>
      <c r="E14" s="14" t="inlineStr">
        <is>
          <t>C005</t>
        </is>
      </c>
      <c r="F14" s="14" t="inlineStr">
        <is>
          <t>Caso 005</t>
        </is>
      </c>
      <c r="G14" s="14" t="inlineStr">
        <is>
          <t>Una paciente del área rural del Huila reclama que se le negó una consulta especializada porque el servicio no está disponible en su municipio y el hospital le exigió tramitar primero una autorización.</t>
        </is>
      </c>
      <c r="H14" s="14" t="inlineStr">
        <is>
          <t>Los elementos esenciales del derecho a la salud según la Ley Estatutaria son:</t>
        </is>
      </c>
      <c r="I14" s="14" t="inlineStr">
        <is>
          <t>Disponibilidad, aceptabilidad, accesibilidad y calidad e idoneidad profesional</t>
        </is>
      </c>
      <c r="J14" s="14" t="inlineStr">
        <is>
          <t>Eficiencia, eficacia, economía y celeridad</t>
        </is>
      </c>
      <c r="K14" s="14" t="inlineStr">
        <is>
          <t>Universalidad, solidaridad y unidad</t>
        </is>
      </c>
      <c r="L14" s="14" t="inlineStr">
        <is>
          <t>a</t>
        </is>
      </c>
      <c r="M14" s="14" t="inlineStr">
        <is>
          <t>El artículo 6 de la Ley 1751 de 2015 define como elementos esenciales e interrelacionados la disponibilidad, la aceptabilidad, la accesibilidad y la calidad e idoneidad profesional.</t>
        </is>
      </c>
      <c r="N14" s="14" t="inlineStr">
        <is>
          <t>La opción b) enuncia principios de la función administrativa y la c) principios del sistema de seguridad social, no los elementos del derecho fundamental.</t>
        </is>
      </c>
      <c r="O14" s="14" t="inlineStr">
        <is>
          <t>Ley 1751 de 2015, art. 6</t>
        </is>
      </c>
      <c r="P14" s="14" t="inlineStr">
        <is>
          <t>SI</t>
        </is>
      </c>
      <c r="Q14" s="11" t="inlineStr">
        <is>
          <t>Basica</t>
        </is>
      </c>
      <c r="R14" s="11" t="inlineStr">
        <is>
          <t>repaso</t>
        </is>
      </c>
    </row>
    <row r="15" ht="34.5" customHeight="1" s="12">
      <c r="A15" s="14" t="inlineStr">
        <is>
          <t>F0014</t>
        </is>
      </c>
      <c r="B15" s="14" t="inlineStr">
        <is>
          <t>PS 2782 de 2026 - ESE 2 - HUHMP Neiva</t>
        </is>
      </c>
      <c r="C15" s="14" t="inlineStr">
        <is>
          <t>Ley 1751 de 2015 - derecho fundamental a la salud</t>
        </is>
      </c>
      <c r="D15" s="14" t="inlineStr">
        <is>
          <t>Profesional</t>
        </is>
      </c>
      <c r="E15" s="14" t="inlineStr">
        <is>
          <t>C005</t>
        </is>
      </c>
      <c r="F15" s="14" t="inlineStr">
        <is>
          <t>Caso 005</t>
        </is>
      </c>
      <c r="G15" s="14" t="inlineStr">
        <is>
          <t>Una paciente del área rural del Huila reclama que se le negó una consulta especializada porque el servicio no está disponible en su municipio y el hospital le exigió tramitar primero una autorización.</t>
        </is>
      </c>
      <c r="H15" s="14" t="inlineStr">
        <is>
          <t>Frente a las barreras administrativas para acceder al servicio, la ley dispone que:</t>
        </is>
      </c>
      <c r="I15" s="14" t="inlineStr">
        <is>
          <t>Son admisibles si están previstas en el contrato con la EPS</t>
        </is>
      </c>
      <c r="J15" s="14" t="inlineStr">
        <is>
          <t>El acceso a los servicios debe ser oportuno, eficaz y de calidad, sin que los trámites administrativos lo obstaculicen</t>
        </is>
      </c>
      <c r="K15" s="14" t="inlineStr">
        <is>
          <t>Solo se eliminan para pacientes con enfermedades huérfanas</t>
        </is>
      </c>
      <c r="L15" s="14" t="inlineStr">
        <is>
          <t>b</t>
        </is>
      </c>
      <c r="M15" s="14" t="inlineStr">
        <is>
          <t>La Ley Estatutaria ordena garantizar el acceso oportuno y de calidad y proscribe que trámites administrativos se conviertan en barreras para la prestación.</t>
        </is>
      </c>
      <c r="N15" s="14" t="inlineStr">
        <is>
          <t>Las opciones a) y c) subordinan un derecho fundamental a un acuerdo contractual o lo restringen a un grupo, contra el alcance general de la ley.</t>
        </is>
      </c>
      <c r="O15" s="14" t="inlineStr">
        <is>
          <t>Ley 1751 de 2015, arts. 6 y 10</t>
        </is>
      </c>
      <c r="P15" s="14" t="inlineStr">
        <is>
          <t>SI</t>
        </is>
      </c>
      <c r="Q15" s="11" t="inlineStr">
        <is>
          <t>Basica</t>
        </is>
      </c>
      <c r="R15" s="11" t="inlineStr">
        <is>
          <t>repaso</t>
        </is>
      </c>
    </row>
    <row r="16" ht="45.75" customHeight="1" s="12">
      <c r="A16" s="14" t="inlineStr">
        <is>
          <t>F0015</t>
        </is>
      </c>
      <c r="B16" s="14" t="inlineStr">
        <is>
          <t>PS 2782 de 2026 - ESE 2 - HUHMP Neiva</t>
        </is>
      </c>
      <c r="C16" s="14" t="inlineStr">
        <is>
          <t>Ley 1751 de 2015 - derecho fundamental a la salud</t>
        </is>
      </c>
      <c r="D16" s="14" t="inlineStr">
        <is>
          <t>Profesional</t>
        </is>
      </c>
      <c r="E16" s="14" t="inlineStr">
        <is>
          <t>C005</t>
        </is>
      </c>
      <c r="F16" s="14" t="inlineStr">
        <is>
          <t>Caso 005</t>
        </is>
      </c>
      <c r="G16" s="14" t="inlineStr">
        <is>
          <t>Una paciente del área rural del Huila reclama que se le negó una consulta especializada porque el servicio no está disponible en su municipio y el hospital le exigió tramitar primero una autorización.</t>
        </is>
      </c>
      <c r="H16" s="14" t="inlineStr">
        <is>
          <t>La paciente es adulta mayor y presenta discapacidad. Esto implica que:</t>
        </is>
      </c>
      <c r="I16" s="14" t="inlineStr">
        <is>
          <t>Recibe atención en el mismo orden general de solicitud</t>
        </is>
      </c>
      <c r="J16" s="14" t="inlineStr">
        <is>
          <t>Es sujeto de especial protección y su atención no puede ser limitada por ningún tipo de restricción administrativa o económica</t>
        </is>
      </c>
      <c r="K16" s="14" t="inlineStr">
        <is>
          <t>Debe acreditar su condición ante la EPS antes de cualquier atención</t>
        </is>
      </c>
      <c r="L16" s="14" t="inlineStr">
        <is>
          <t>b</t>
        </is>
      </c>
      <c r="M16" s="14" t="inlineStr">
        <is>
          <t>El artículo 11 de la Ley 1751 de 2015 reconoce como sujetos de especial protección, entre otros, a los adultos mayores y a las personas con discapacidad, cuya atención no puede limitarse por restricciones administrativas o económicas.</t>
        </is>
      </c>
      <c r="N16" s="14" t="inlineStr">
        <is>
          <t>Las opciones a) y c) niegan la protección reforzada o la condicionan a un trámite previo que la ley no exige.</t>
        </is>
      </c>
      <c r="O16" s="14" t="inlineStr">
        <is>
          <t>Ley 1751 de 2015, art. 11</t>
        </is>
      </c>
      <c r="P16" s="14" t="inlineStr">
        <is>
          <t>SI</t>
        </is>
      </c>
      <c r="Q16" s="11" t="inlineStr">
        <is>
          <t>Basica</t>
        </is>
      </c>
      <c r="R16" s="11" t="inlineStr">
        <is>
          <t>repaso</t>
        </is>
      </c>
    </row>
    <row r="17" ht="34.5" customHeight="1" s="12">
      <c r="A17" s="14" t="inlineStr">
        <is>
          <t>F0016</t>
        </is>
      </c>
      <c r="B17" s="14" t="inlineStr">
        <is>
          <t>PS 2782 de 2026 - ESE 2 - HUHMP Neiva</t>
        </is>
      </c>
      <c r="C17" s="14" t="inlineStr">
        <is>
          <t>Ley 1751 de 2015 - derecho fundamental a la salud</t>
        </is>
      </c>
      <c r="D17" s="14" t="inlineStr">
        <is>
          <t>Profesional</t>
        </is>
      </c>
      <c r="E17" s="14" t="inlineStr">
        <is>
          <t>C006</t>
        </is>
      </c>
      <c r="F17" s="14" t="inlineStr">
        <is>
          <t>Caso 006</t>
        </is>
      </c>
      <c r="G17" s="14" t="inlineStr">
        <is>
          <t>El comité técnico discute qué servicios pueden excluirse de la financiación con recursos públicos y quién decide esa exclusión.</t>
        </is>
      </c>
      <c r="H17" s="14" t="inlineStr">
        <is>
          <t>Conforme a la Ley Estatutaria, las exclusiones:</t>
        </is>
      </c>
      <c r="I17" s="14" t="inlineStr">
        <is>
          <t>Las define cada EPS en su manual interno</t>
        </is>
      </c>
      <c r="J17" s="14" t="inlineStr">
        <is>
          <t>Resultan de un procedimiento técnico-científico, público, colectivo, participativo y transparente</t>
        </is>
      </c>
      <c r="K17" s="14" t="inlineStr">
        <is>
          <t>Las define el prestador en el momento de la atención</t>
        </is>
      </c>
      <c r="L17" s="14" t="inlineStr">
        <is>
          <t>b</t>
        </is>
      </c>
      <c r="M17" s="14" t="inlineStr">
        <is>
          <t>El artículo 15 de la Ley 1751 de 2015 exige que los criterios de exclusión se apliquen mediante un procedimiento técnico-científico, público, colectivo, participativo y transparente.</t>
        </is>
      </c>
      <c r="N17" s="14" t="inlineStr">
        <is>
          <t>Las opciones a) y c) entregan a un actor particular una decisión que la ley reservó a un procedimiento reglado y participativo.</t>
        </is>
      </c>
      <c r="O17" s="14" t="inlineStr">
        <is>
          <t>Ley 1751 de 2015, art. 15</t>
        </is>
      </c>
      <c r="P17" s="14" t="inlineStr">
        <is>
          <t>SI</t>
        </is>
      </c>
      <c r="Q17" s="11" t="inlineStr">
        <is>
          <t>Basica</t>
        </is>
      </c>
      <c r="R17" s="11" t="inlineStr">
        <is>
          <t>repaso</t>
        </is>
      </c>
    </row>
    <row r="18" ht="34.5" customHeight="1" s="12">
      <c r="A18" s="14" t="inlineStr">
        <is>
          <t>F0017</t>
        </is>
      </c>
      <c r="B18" s="14" t="inlineStr">
        <is>
          <t>PS 2782 de 2026 - ESE 2 - HUHMP Neiva</t>
        </is>
      </c>
      <c r="C18" s="14" t="inlineStr">
        <is>
          <t>Ley 1751 de 2015 - derecho fundamental a la salud</t>
        </is>
      </c>
      <c r="D18" s="14" t="inlineStr">
        <is>
          <t>Profesional</t>
        </is>
      </c>
      <c r="E18" s="14" t="inlineStr">
        <is>
          <t>C006</t>
        </is>
      </c>
      <c r="F18" s="14" t="inlineStr">
        <is>
          <t>Caso 006</t>
        </is>
      </c>
      <c r="G18" s="14" t="inlineStr">
        <is>
          <t>El comité técnico discute qué servicios pueden excluirse de la financiación con recursos públicos y quién decide esa exclusión.</t>
        </is>
      </c>
      <c r="H18" s="14" t="inlineStr">
        <is>
          <t>La autonomía profesional implica que el médico tratante:</t>
        </is>
      </c>
      <c r="I18" s="14" t="inlineStr">
        <is>
          <t>Puede prescribir sin sujeción a la autorregulación ni a la ética profesional</t>
        </is>
      </c>
      <c r="J18" s="14" t="inlineStr">
        <is>
          <t>Adopta decisiones sobre diagnóstico y tratamiento con autonomía, en el marco de la autorregulación, la ética y la evidencia científica</t>
        </is>
      </c>
      <c r="K18" s="14" t="inlineStr">
        <is>
          <t>Debe seguir estrictamente la instrucción administrativa del pagador</t>
        </is>
      </c>
      <c r="L18" s="14" t="inlineStr">
        <is>
          <t>b</t>
        </is>
      </c>
      <c r="M18" s="14" t="inlineStr">
        <is>
          <t>El artículo 17 de la Ley 1751 de 2015 garantiza la autonomía de los profesionales de la salud, enmarcada en la autorregulación, la ética, la racionalidad y la evidencia científica.</t>
        </is>
      </c>
      <c r="N18" s="14" t="inlineStr">
        <is>
          <t>La opción a) elimina límites que la propia ley fija; la opción c) subordina el juicio clínico a la decisión administrativa, prohibido por la norma.</t>
        </is>
      </c>
      <c r="O18" s="14" t="inlineStr">
        <is>
          <t>Ley 1751 de 2015, art. 17</t>
        </is>
      </c>
      <c r="P18" s="14" t="inlineStr">
        <is>
          <t>SI</t>
        </is>
      </c>
      <c r="Q18" s="11" t="inlineStr">
        <is>
          <t>Basica</t>
        </is>
      </c>
      <c r="R18" s="11" t="inlineStr">
        <is>
          <t>repaso</t>
        </is>
      </c>
    </row>
    <row r="19" ht="34.5" customHeight="1" s="12">
      <c r="A19" s="14" t="inlineStr">
        <is>
          <t>F0018</t>
        </is>
      </c>
      <c r="B19" s="14" t="inlineStr">
        <is>
          <t>PS 2782 de 2026 - ESE 2 - HUHMP Neiva</t>
        </is>
      </c>
      <c r="C19" s="14" t="inlineStr">
        <is>
          <t>Ley 1751 de 2015 - derecho fundamental a la salud</t>
        </is>
      </c>
      <c r="D19" s="14" t="inlineStr">
        <is>
          <t>Profesional</t>
        </is>
      </c>
      <c r="E19" s="14" t="inlineStr">
        <is>
          <t>C006</t>
        </is>
      </c>
      <c r="F19" s="14" t="inlineStr">
        <is>
          <t>Caso 006</t>
        </is>
      </c>
      <c r="G19" s="14" t="inlineStr">
        <is>
          <t>El comité técnico discute qué servicios pueden excluirse de la financiación con recursos públicos y quién decide esa exclusión.</t>
        </is>
      </c>
      <c r="H19" s="14" t="inlineStr">
        <is>
          <t>La prohibición de negar la prestación de servicios se concreta en que:</t>
        </is>
      </c>
      <c r="I19" s="14" t="inlineStr">
        <is>
          <t>Puede negarse mientras se surte la autorización</t>
        </is>
      </c>
      <c r="J19" s="14" t="inlineStr">
        <is>
          <t>No se puede negar la prestación de servicios e insumos necesarios, y la atención de urgencias no requiere autorización previa</t>
        </is>
      </c>
      <c r="K19" s="14" t="inlineStr">
        <is>
          <t>Solo aplica a servicios incluidos en el plan de beneficios</t>
        </is>
      </c>
      <c r="L19" s="14" t="inlineStr">
        <is>
          <t>b</t>
        </is>
      </c>
      <c r="M19" s="14" t="inlineStr">
        <is>
          <t>El artículo 14 de la Ley 1751 de 2015 prohíbe negar la prestación de servicios e insumos necesarios y excluye la exigencia de autorización previa para la atención de urgencias.</t>
        </is>
      </c>
      <c r="N19" s="14" t="inlineStr">
        <is>
          <t>Las opciones a) y c) reintroducen la autorización o restringen el mandato a un listado, cuando la norma lo formula como prohibición general.</t>
        </is>
      </c>
      <c r="O19" s="14" t="inlineStr">
        <is>
          <t>Ley 1751 de 2015, art. 14</t>
        </is>
      </c>
      <c r="P19" s="14" t="inlineStr">
        <is>
          <t>SI</t>
        </is>
      </c>
      <c r="Q19" s="11" t="inlineStr">
        <is>
          <t>Basica</t>
        </is>
      </c>
      <c r="R19" s="11" t="inlineStr">
        <is>
          <t>repaso</t>
        </is>
      </c>
    </row>
    <row r="20" ht="23.25" customHeight="1" s="12">
      <c r="A20" s="14" t="inlineStr">
        <is>
          <t>F0019</t>
        </is>
      </c>
      <c r="B20" s="14" t="inlineStr">
        <is>
          <t>PS 2782 de 2026 - ESE 2 - HUHMP Neiva</t>
        </is>
      </c>
      <c r="C20" s="14" t="inlineStr">
        <is>
          <t>Ley 1751 de 2015 - derecho fundamental a la salud</t>
        </is>
      </c>
      <c r="D20" s="14" t="inlineStr">
        <is>
          <t>Técnico</t>
        </is>
      </c>
      <c r="E20" s="14" t="inlineStr">
        <is>
          <t>C007</t>
        </is>
      </c>
      <c r="F20" s="14" t="inlineStr">
        <is>
          <t>Caso 007</t>
        </is>
      </c>
      <c r="G20" s="14" t="inlineStr">
        <is>
          <t>Un usuario solicita por escrito copia de la información sobre su tratamiento y los costos que el hospital facturó a su EPS.</t>
        </is>
      </c>
      <c r="H20" s="14" t="inlineStr">
        <is>
          <t>El derecho a la información en salud comprende:</t>
        </is>
      </c>
      <c r="I20" s="14" t="inlineStr">
        <is>
          <t>Solo los datos clínicos, nunca los costos</t>
        </is>
      </c>
      <c r="J20" s="14" t="inlineStr">
        <is>
          <t>Información clara, apropiada, suficiente y oportuna sobre la atención, incluidos los costos</t>
        </is>
      </c>
      <c r="K20" s="14" t="inlineStr">
        <is>
          <t>Únicamente lo que autorice la EPS</t>
        </is>
      </c>
      <c r="L20" s="14" t="inlineStr">
        <is>
          <t>b</t>
        </is>
      </c>
      <c r="M20" s="14" t="inlineStr">
        <is>
          <t>La Ley Estatutaria reconoce el derecho a recibir información clara, apropiada, suficiente y oportuna sobre la atención y sus costos.</t>
        </is>
      </c>
      <c r="N20" s="14" t="inlineStr">
        <is>
          <t>Las opciones a) y c) recortan un derecho que la ley define de manera amplia y no supeditan a autorización del pagador.</t>
        </is>
      </c>
      <c r="O20" s="14" t="inlineStr">
        <is>
          <t>Ley 1751 de 2015, art. 10</t>
        </is>
      </c>
      <c r="P20" s="14" t="inlineStr">
        <is>
          <t>SI</t>
        </is>
      </c>
      <c r="Q20" s="11" t="inlineStr">
        <is>
          <t>Basica</t>
        </is>
      </c>
      <c r="R20" s="11" t="inlineStr">
        <is>
          <t>repaso</t>
        </is>
      </c>
    </row>
    <row r="21" ht="34.5" customHeight="1" s="12">
      <c r="A21" s="14" t="inlineStr">
        <is>
          <t>F0020</t>
        </is>
      </c>
      <c r="B21" s="14" t="inlineStr">
        <is>
          <t>PS 2782 de 2026 - ESE 2 - HUHMP Neiva</t>
        </is>
      </c>
      <c r="C21" s="14" t="inlineStr">
        <is>
          <t>Ley 1751 de 2015 - derecho fundamental a la salud</t>
        </is>
      </c>
      <c r="D21" s="14" t="inlineStr">
        <is>
          <t>Técnico</t>
        </is>
      </c>
      <c r="E21" s="14" t="inlineStr">
        <is>
          <t>C007</t>
        </is>
      </c>
      <c r="F21" s="14" t="inlineStr">
        <is>
          <t>Caso 007</t>
        </is>
      </c>
      <c r="G21" s="14" t="inlineStr">
        <is>
          <t>Un usuario solicita por escrito copia de la información sobre su tratamiento y los costos que el hospital facturó a su EPS.</t>
        </is>
      </c>
      <c r="H21" s="14" t="inlineStr">
        <is>
          <t>El plazo general para responder ese derecho de petición es de:</t>
        </is>
      </c>
      <c r="I21" s="14" t="inlineStr">
        <is>
          <t>Quince (15) días hábiles</t>
        </is>
      </c>
      <c r="J21" s="14" t="inlineStr">
        <is>
          <t>Diez (10) días hábiles en todos los casos</t>
        </is>
      </c>
      <c r="K21" s="14" t="inlineStr">
        <is>
          <t>Treinta (30) días hábiles en todos los casos</t>
        </is>
      </c>
      <c r="L21" s="14" t="inlineStr">
        <is>
          <t>a</t>
        </is>
      </c>
      <c r="M21" s="14" t="inlineStr">
        <is>
          <t>El artículo 14 de la Ley 1755 de 2015 fija quince días hábiles como término general, con términos especiales de diez días para documentos e información y treinta para consultas.</t>
        </is>
      </c>
      <c r="N21" s="14" t="inlineStr">
        <is>
          <t>La opción b) generaliza el término especial de documentos e información y la c) el de consultas.</t>
        </is>
      </c>
      <c r="O21" s="14" t="inlineStr">
        <is>
          <t>Ley 1755 de 2015, art. 14</t>
        </is>
      </c>
      <c r="P21" s="14" t="inlineStr">
        <is>
          <t>SI</t>
        </is>
      </c>
      <c r="Q21" s="11" t="inlineStr">
        <is>
          <t>Basica</t>
        </is>
      </c>
      <c r="R21" s="11" t="inlineStr">
        <is>
          <t>repaso</t>
        </is>
      </c>
    </row>
    <row r="22" ht="23.25" customHeight="1" s="12">
      <c r="A22" s="14" t="inlineStr">
        <is>
          <t>F0021</t>
        </is>
      </c>
      <c r="B22" s="14" t="inlineStr">
        <is>
          <t>PS 2782 de 2026 - ESE 2 - HUHMP Neiva</t>
        </is>
      </c>
      <c r="C22" s="14" t="inlineStr">
        <is>
          <t>Ley 1751 de 2015 - derecho fundamental a la salud</t>
        </is>
      </c>
      <c r="D22" s="14" t="inlineStr">
        <is>
          <t>Técnico</t>
        </is>
      </c>
      <c r="E22" s="14" t="inlineStr">
        <is>
          <t>C007</t>
        </is>
      </c>
      <c r="F22" s="14" t="inlineStr">
        <is>
          <t>Caso 007</t>
        </is>
      </c>
      <c r="G22" s="14" t="inlineStr">
        <is>
          <t>Un usuario solicita por escrito copia de la información sobre su tratamiento y los costos que el hospital facturó a su EPS.</t>
        </is>
      </c>
      <c r="H22" s="14" t="inlineStr">
        <is>
          <t>Si no es posible responder dentro del término, la entidad debe:</t>
        </is>
      </c>
      <c r="I22" s="14" t="inlineStr">
        <is>
          <t>Guardar silencio hasta tener la respuesta completa</t>
        </is>
      </c>
      <c r="J22" s="14" t="inlineStr">
        <is>
          <t>Informar antes del vencimiento la razón de la demora y señalar el plazo en que responderá</t>
        </is>
      </c>
      <c r="K22" s="14" t="inlineStr">
        <is>
          <t>Remitir la petición al usuario para que la reformule</t>
        </is>
      </c>
      <c r="L22" s="14" t="inlineStr">
        <is>
          <t>b</t>
        </is>
      </c>
      <c r="M22" s="14" t="inlineStr">
        <is>
          <t>El parágrafo del artículo 14 de la Ley 1755 de 2015 obliga a informar antes del vencimiento los motivos de la demora y el plazo razonable de respuesta.</t>
        </is>
      </c>
      <c r="N22" s="14" t="inlineStr">
        <is>
          <t>La opción a) configura una vulneración del derecho de petición y la c) traslada al peticionario una carga que la ley no prevé.</t>
        </is>
      </c>
      <c r="O22" s="14" t="inlineStr">
        <is>
          <t>Ley 1755 de 2015, art. 14, parágrafo</t>
        </is>
      </c>
      <c r="P22" s="14" t="inlineStr">
        <is>
          <t>SI</t>
        </is>
      </c>
      <c r="Q22" s="11" t="inlineStr">
        <is>
          <t>Basica</t>
        </is>
      </c>
      <c r="R22" s="11" t="inlineStr">
        <is>
          <t>repaso</t>
        </is>
      </c>
    </row>
    <row r="23" ht="23.25" customHeight="1" s="12">
      <c r="A23" s="14" t="inlineStr">
        <is>
          <t>F0022</t>
        </is>
      </c>
      <c r="B23" s="14" t="inlineStr">
        <is>
          <t>PS 2782 de 2026 - ESE 2 - HUHMP Neiva</t>
        </is>
      </c>
      <c r="C23" s="14" t="inlineStr">
        <is>
          <t>Ley 1751 de 2015 - derecho fundamental a la salud</t>
        </is>
      </c>
      <c r="D23" s="14" t="inlineStr">
        <is>
          <t>Profesional</t>
        </is>
      </c>
      <c r="E23" s="14" t="inlineStr">
        <is>
          <t>C008</t>
        </is>
      </c>
      <c r="F23" s="14" t="inlineStr">
        <is>
          <t>Caso 008</t>
        </is>
      </c>
      <c r="G23" s="14" t="inlineStr">
        <is>
          <t>Ante una tutela por acceso a un servicio, el área jurídica prepara la defensa institucional del hospital.</t>
        </is>
      </c>
      <c r="H23" s="14" t="inlineStr">
        <is>
          <t>La Ley 1751 de 2015 es una ley estatutaria, lo que significa que:</t>
        </is>
      </c>
      <c r="I23" s="14" t="inlineStr">
        <is>
          <t>Puede ser modificada por decreto reglamentario</t>
        </is>
      </c>
      <c r="J23" s="14" t="inlineStr">
        <is>
          <t>Regula un derecho fundamental y su trámite y control son cualificados</t>
        </is>
      </c>
      <c r="K23" s="14" t="inlineStr">
        <is>
          <t>Tiene la misma jerarquía de una resolución ministerial</t>
        </is>
      </c>
      <c r="L23" s="14" t="inlineStr">
        <is>
          <t>b</t>
        </is>
      </c>
      <c r="M23" s="14" t="inlineStr">
        <is>
          <t>Las leyes estatutarias regulan derechos fundamentales y están sujetas a trámite especial y control previo de constitucionalidad.</t>
        </is>
      </c>
      <c r="N23" s="14" t="inlineStr">
        <is>
          <t>Las opciones a) y c) desconocen la jerarquía normativa: ni un decreto ni una resolución pueden modificar una ley estatutaria.</t>
        </is>
      </c>
      <c r="O23" s="14" t="inlineStr">
        <is>
          <t>C.P. art. 152; Ley 1751 de 2015</t>
        </is>
      </c>
      <c r="P23" s="14" t="inlineStr">
        <is>
          <t>SI</t>
        </is>
      </c>
      <c r="Q23" s="11" t="inlineStr">
        <is>
          <t>Basica</t>
        </is>
      </c>
      <c r="R23" s="11" t="inlineStr">
        <is>
          <t>repaso</t>
        </is>
      </c>
    </row>
    <row r="24" ht="34.5" customHeight="1" s="12">
      <c r="A24" s="14" t="inlineStr">
        <is>
          <t>F0023</t>
        </is>
      </c>
      <c r="B24" s="14" t="inlineStr">
        <is>
          <t>PS 2782 de 2026 - ESE 2 - HUHMP Neiva</t>
        </is>
      </c>
      <c r="C24" s="14" t="inlineStr">
        <is>
          <t>Ley 1751 de 2015 - derecho fundamental a la salud</t>
        </is>
      </c>
      <c r="D24" s="14" t="inlineStr">
        <is>
          <t>Profesional</t>
        </is>
      </c>
      <c r="E24" s="14" t="inlineStr">
        <is>
          <t>C008</t>
        </is>
      </c>
      <c r="F24" s="14" t="inlineStr">
        <is>
          <t>Caso 008</t>
        </is>
      </c>
      <c r="G24" s="14" t="inlineStr">
        <is>
          <t>Ante una tutela por acceso a un servicio, el área jurídica prepara la defensa institucional del hospital.</t>
        </is>
      </c>
      <c r="H24" s="14" t="inlineStr">
        <is>
          <t>El deber del usuario de propender por su autocuidado:</t>
        </is>
      </c>
      <c r="I24" s="14" t="inlineStr">
        <is>
          <t>No existe en la ley</t>
        </is>
      </c>
      <c r="J24" s="14" t="inlineStr">
        <is>
          <t>Está previsto como deber, sin que su incumplimiento justifique negar la atención</t>
        </is>
      </c>
      <c r="K24" s="14" t="inlineStr">
        <is>
          <t>Permite negar la atención a quien no lo cumpla</t>
        </is>
      </c>
      <c r="L24" s="14" t="inlineStr">
        <is>
          <t>b</t>
        </is>
      </c>
      <c r="M24" s="14" t="inlineStr">
        <is>
          <t>La ley enuncia deberes de las personas frente al sistema, entre ellos el autocuidado, sin autorizar que su inobservancia se convierta en causal de negación del servicio.</t>
        </is>
      </c>
      <c r="N24" s="14" t="inlineStr">
        <is>
          <t>La opción a) ignora el texto legal y la opción c) convierte un deber en una sanción que la ley no contempla.</t>
        </is>
      </c>
      <c r="O24" s="14" t="inlineStr">
        <is>
          <t>Ley 1751 de 2015, art. 10</t>
        </is>
      </c>
      <c r="P24" s="14" t="inlineStr">
        <is>
          <t>SI</t>
        </is>
      </c>
      <c r="Q24" s="11" t="inlineStr">
        <is>
          <t>Basica</t>
        </is>
      </c>
      <c r="R24" s="11" t="inlineStr">
        <is>
          <t>repaso</t>
        </is>
      </c>
    </row>
    <row r="25" ht="34.5" customHeight="1" s="12">
      <c r="A25" s="14" t="inlineStr">
        <is>
          <t>F0024</t>
        </is>
      </c>
      <c r="B25" s="14" t="inlineStr">
        <is>
          <t>PS 2782 de 2026 - ESE 2 - HUHMP Neiva</t>
        </is>
      </c>
      <c r="C25" s="14" t="inlineStr">
        <is>
          <t>Ley 1751 de 2015 - derecho fundamental a la salud</t>
        </is>
      </c>
      <c r="D25" s="14" t="inlineStr">
        <is>
          <t>Profesional</t>
        </is>
      </c>
      <c r="E25" s="14" t="inlineStr">
        <is>
          <t>C008</t>
        </is>
      </c>
      <c r="F25" s="14" t="inlineStr">
        <is>
          <t>Caso 008</t>
        </is>
      </c>
      <c r="G25" s="14" t="inlineStr">
        <is>
          <t>Ante una tutela por acceso a un servicio, el área jurídica prepara la defensa institucional del hospital.</t>
        </is>
      </c>
      <c r="H25" s="14" t="inlineStr">
        <is>
          <t>La sostenibilidad financiera del sistema, según la ley, es:</t>
        </is>
      </c>
      <c r="I25" s="14" t="inlineStr">
        <is>
          <t>Una razón válida para negar servicios requeridos por el paciente</t>
        </is>
      </c>
      <c r="J25" s="14" t="inlineStr">
        <is>
          <t>Un deber del Estado que no puede oponerse como argumento para negar la prestación</t>
        </is>
      </c>
      <c r="K25" s="14" t="inlineStr">
        <is>
          <t>Un criterio que prevalece sobre el derecho fundamental</t>
        </is>
      </c>
      <c r="L25" s="14" t="inlineStr">
        <is>
          <t>b</t>
        </is>
      </c>
      <c r="M25" s="14" t="inlineStr">
        <is>
          <t>La jurisprudencia constitucional y la Ley Estatutaria precisan que la sostenibilidad es un deber estatal y no un argumento para negar servicios necesarios.</t>
        </is>
      </c>
      <c r="N25" s="14" t="inlineStr">
        <is>
          <t>Las opciones a) y c) invierten la relación entre el derecho fundamental y su financiación.</t>
        </is>
      </c>
      <c r="O25" s="14" t="inlineStr">
        <is>
          <t>Ley 1751 de 2015, arts. 5 y 6</t>
        </is>
      </c>
      <c r="P25" s="14" t="inlineStr">
        <is>
          <t>SI</t>
        </is>
      </c>
      <c r="Q25" s="11" t="inlineStr">
        <is>
          <t>Basica</t>
        </is>
      </c>
      <c r="R25" s="11" t="inlineStr">
        <is>
          <t>repaso</t>
        </is>
      </c>
    </row>
    <row r="26" ht="34.5" customHeight="1" s="12">
      <c r="A26" s="14" t="inlineStr">
        <is>
          <t>F0025</t>
        </is>
      </c>
      <c r="B26" s="14" t="inlineStr">
        <is>
          <t>PS 2782 de 2026 - ESE 2 - HUHMP Neiva</t>
        </is>
      </c>
      <c r="C26" s="14" t="inlineStr">
        <is>
          <t>Habilitacion y calidad (Resolucion 3100 de 2019)</t>
        </is>
      </c>
      <c r="D26" s="14" t="inlineStr">
        <is>
          <t>Profesional</t>
        </is>
      </c>
      <c r="E26" s="14" t="inlineStr">
        <is>
          <t>C009</t>
        </is>
      </c>
      <c r="F26" s="14" t="inlineStr">
        <is>
          <t>Caso 009</t>
        </is>
      </c>
      <c r="G26" s="14" t="inlineStr">
        <is>
          <t>El hospital habilitará un nuevo servicio en la Torre Materno Infantil. El equipo pregunta cuál es la norma vigente de habilitación en 2026, tras las noticias sobre su actualización.</t>
        </is>
      </c>
      <c r="H26" s="14" t="inlineStr">
        <is>
          <t>La norma de habilitación vigente es:</t>
        </is>
      </c>
      <c r="I26" s="14" t="inlineStr">
        <is>
          <t>La Resolución 1732 de 2026, que reemplazó a la 3100 de 2019</t>
        </is>
      </c>
      <c r="J26" s="14" t="inlineStr">
        <is>
          <t>La Resolución 3100 de 2019 con sus modificaciones, pues la 1732 de 2026 fue revocada por la Resolución 2080 de 2026</t>
        </is>
      </c>
      <c r="K26" s="14" t="inlineStr">
        <is>
          <t>La Resolución 1441 de 2013</t>
        </is>
      </c>
      <c r="L26" s="14" t="inlineStr">
        <is>
          <t>b</t>
        </is>
      </c>
      <c r="M26" s="14" t="inlineStr">
        <is>
          <t>La Resolución 1732 de 2026 derogaba la 3100 de 2019, pero fue revocada íntegramente por la Resolución 2080 de 2026, de modo que continúa vigente el marco de la 3100 y sus modificaciones.</t>
        </is>
      </c>
      <c r="N26" s="14" t="inlineStr">
        <is>
          <t>La opción a) aplica una norma revocada antes de producir efectos y la c) invoca una resolución ya derogada por la 3100.</t>
        </is>
      </c>
      <c r="O26" s="14" t="inlineStr">
        <is>
          <t>Resolución 3100 de 2019; Resolución 2080 de 2026 (Minsalud)</t>
        </is>
      </c>
      <c r="P26" s="14" t="inlineStr">
        <is>
          <t>SI</t>
        </is>
      </c>
      <c r="Q26" s="11" t="inlineStr">
        <is>
          <t>Basica</t>
        </is>
      </c>
      <c r="R26" s="11" t="inlineStr">
        <is>
          <t>repaso</t>
        </is>
      </c>
    </row>
    <row r="27" ht="34.5" customHeight="1" s="12">
      <c r="A27" s="14" t="inlineStr">
        <is>
          <t>F0026</t>
        </is>
      </c>
      <c r="B27" s="14" t="inlineStr">
        <is>
          <t>PS 2782 de 2026 - ESE 2 - HUHMP Neiva</t>
        </is>
      </c>
      <c r="C27" s="14" t="inlineStr">
        <is>
          <t>Habilitacion y calidad (Resolucion 3100 de 2019)</t>
        </is>
      </c>
      <c r="D27" s="14" t="inlineStr">
        <is>
          <t>Profesional</t>
        </is>
      </c>
      <c r="E27" s="14" t="inlineStr">
        <is>
          <t>C009</t>
        </is>
      </c>
      <c r="F27" s="14" t="inlineStr">
        <is>
          <t>Caso 009</t>
        </is>
      </c>
      <c r="G27" s="14" t="inlineStr">
        <is>
          <t>El hospital habilitará un nuevo servicio en la Torre Materno Infantil. El equipo pregunta cuál es la norma vigente de habilitación en 2026, tras las noticias sobre su actualización.</t>
        </is>
      </c>
      <c r="H27" s="14" t="inlineStr">
        <is>
          <t>La inscripción del prestador y la declaración de servicios se realiza en:</t>
        </is>
      </c>
      <c r="I27" s="14" t="inlineStr">
        <is>
          <t>El REPS, mediante autoevaluación de las condiciones de habilitación</t>
        </is>
      </c>
      <c r="J27" s="14" t="inlineStr">
        <is>
          <t>El SECOP II</t>
        </is>
      </c>
      <c r="K27" s="14" t="inlineStr">
        <is>
          <t>El RUAF</t>
        </is>
      </c>
      <c r="L27" s="14" t="inlineStr">
        <is>
          <t>a</t>
        </is>
      </c>
      <c r="M27" s="14" t="inlineStr">
        <is>
          <t>El prestador se inscribe y declara sus servicios en el Registro Especial de Prestadores de Servicios de Salud, previa autoevaluación del cumplimiento de las condiciones de habilitación.</t>
        </is>
      </c>
      <c r="N27" s="14" t="inlineStr">
        <is>
          <t>El SECOP II es la plataforma de contratación pública y el RUAF registra afiliados: ninguno soporta la habilitación.</t>
        </is>
      </c>
      <c r="O27" s="14" t="inlineStr">
        <is>
          <t>Resolución 3100 de 2019</t>
        </is>
      </c>
      <c r="P27" s="14" t="inlineStr">
        <is>
          <t>SI</t>
        </is>
      </c>
      <c r="Q27" s="11" t="inlineStr">
        <is>
          <t>Basica</t>
        </is>
      </c>
      <c r="R27" s="11" t="inlineStr">
        <is>
          <t>repaso</t>
        </is>
      </c>
    </row>
    <row r="28" ht="34.5" customHeight="1" s="12">
      <c r="A28" s="14" t="inlineStr">
        <is>
          <t>F0027</t>
        </is>
      </c>
      <c r="B28" s="14" t="inlineStr">
        <is>
          <t>PS 2782 de 2026 - ESE 2 - HUHMP Neiva</t>
        </is>
      </c>
      <c r="C28" s="14" t="inlineStr">
        <is>
          <t>Habilitacion y calidad (Resolucion 3100 de 2019)</t>
        </is>
      </c>
      <c r="D28" s="14" t="inlineStr">
        <is>
          <t>Profesional</t>
        </is>
      </c>
      <c r="E28" s="14" t="inlineStr">
        <is>
          <t>C009</t>
        </is>
      </c>
      <c r="F28" s="14" t="inlineStr">
        <is>
          <t>Caso 009</t>
        </is>
      </c>
      <c r="G28" s="14" t="inlineStr">
        <is>
          <t>El hospital habilitará un nuevo servicio en la Torre Materno Infantil. El equipo pregunta cuál es la norma vigente de habilitación en 2026, tras las noticias sobre su actualización.</t>
        </is>
      </c>
      <c r="H28" s="14" t="inlineStr">
        <is>
          <t>Las condiciones que debe cumplir el prestador para habilitar un servicio son:</t>
        </is>
      </c>
      <c r="I28" s="14" t="inlineStr">
        <is>
          <t>Únicamente de infraestructura física</t>
        </is>
      </c>
      <c r="J28" s="14" t="inlineStr">
        <is>
          <t>De capacidad técnico-administrativa, suficiencia patrimonial y financiera y capacidad tecnológica y científica</t>
        </is>
      </c>
      <c r="K28" s="14" t="inlineStr">
        <is>
          <t>Únicamente de talento humano</t>
        </is>
      </c>
      <c r="L28" s="14" t="inlineStr">
        <is>
          <t>b</t>
        </is>
      </c>
      <c r="M28" s="14" t="inlineStr">
        <is>
          <t>La habilitación exige el cumplimiento simultáneo de las condiciones de capacidad técnico-administrativa, de suficiencia patrimonial y financiera y de capacidad tecnológica y científica.</t>
        </is>
      </c>
      <c r="N28" s="14" t="inlineStr">
        <is>
          <t>Las opciones a) y c) toman un estándar aislado por el conjunto de condiciones exigidas.</t>
        </is>
      </c>
      <c r="O28" s="14" t="inlineStr">
        <is>
          <t>Resolución 3100 de 2019; Decreto 780 de 2016</t>
        </is>
      </c>
      <c r="P28" s="14" t="inlineStr">
        <is>
          <t>SI</t>
        </is>
      </c>
      <c r="Q28" s="11" t="inlineStr">
        <is>
          <t>Basica</t>
        </is>
      </c>
      <c r="R28" s="11" t="inlineStr">
        <is>
          <t>repaso</t>
        </is>
      </c>
    </row>
    <row r="29" ht="34.5" customHeight="1" s="12">
      <c r="A29" s="14" t="inlineStr">
        <is>
          <t>F0028</t>
        </is>
      </c>
      <c r="B29" s="14" t="inlineStr">
        <is>
          <t>PS 2782 de 2026 - ESE 2 - HUHMP Neiva</t>
        </is>
      </c>
      <c r="C29" s="14" t="inlineStr">
        <is>
          <t>Habilitacion y calidad (Resolucion 3100 de 2019)</t>
        </is>
      </c>
      <c r="D29" s="14" t="inlineStr">
        <is>
          <t>Profesional</t>
        </is>
      </c>
      <c r="E29" s="14" t="inlineStr">
        <is>
          <t>C010</t>
        </is>
      </c>
      <c r="F29" s="14" t="inlineStr">
        <is>
          <t>Caso 010</t>
        </is>
      </c>
      <c r="G29" s="14" t="inlineStr">
        <is>
          <t>Durante una visita de verificación, la Secretaría de Salud departamental encuentra que un servicio declarado no cuenta con el talento humano declarado en el REPS.</t>
        </is>
      </c>
      <c r="H29" s="14" t="inlineStr">
        <is>
          <t>La autoevaluación previa a la declaración implica que:</t>
        </is>
      </c>
      <c r="I29" s="14" t="inlineStr">
        <is>
          <t>El prestador declara bajo su responsabilidad el cumplimiento de los estándares y debe mantenerlo durante toda la vigencia</t>
        </is>
      </c>
      <c r="J29" s="14" t="inlineStr">
        <is>
          <t>Basta cumplir el día de la visita</t>
        </is>
      </c>
      <c r="K29" s="14" t="inlineStr">
        <is>
          <t>La responsabilidad recae en la entidad territorial que verifica</t>
        </is>
      </c>
      <c r="L29" s="14" t="inlineStr">
        <is>
          <t>a</t>
        </is>
      </c>
      <c r="M29" s="14" t="inlineStr">
        <is>
          <t>La habilitación se basa en la autoevaluación y declaración del prestador, quien debe mantener el cumplimiento durante toda la vigencia de la habilitación.</t>
        </is>
      </c>
      <c r="N29" s="14" t="inlineStr">
        <is>
          <t>Las opciones b) y c) trasladan la responsabilidad del cumplimiento continuo al momento de la visita o al verificador.</t>
        </is>
      </c>
      <c r="O29" s="14" t="inlineStr">
        <is>
          <t>Resolución 3100 de 2019</t>
        </is>
      </c>
      <c r="P29" s="14" t="inlineStr">
        <is>
          <t>SI</t>
        </is>
      </c>
      <c r="Q29" s="11" t="inlineStr">
        <is>
          <t>Basica</t>
        </is>
      </c>
      <c r="R29" s="11" t="inlineStr">
        <is>
          <t>repaso</t>
        </is>
      </c>
    </row>
    <row r="30" ht="34.5" customHeight="1" s="12">
      <c r="A30" s="14" t="inlineStr">
        <is>
          <t>F0029</t>
        </is>
      </c>
      <c r="B30" s="14" t="inlineStr">
        <is>
          <t>PS 2782 de 2026 - ESE 2 - HUHMP Neiva</t>
        </is>
      </c>
      <c r="C30" s="14" t="inlineStr">
        <is>
          <t>Habilitacion y calidad (Resolucion 3100 de 2019)</t>
        </is>
      </c>
      <c r="D30" s="14" t="inlineStr">
        <is>
          <t>Profesional</t>
        </is>
      </c>
      <c r="E30" s="14" t="inlineStr">
        <is>
          <t>C010</t>
        </is>
      </c>
      <c r="F30" s="14" t="inlineStr">
        <is>
          <t>Caso 010</t>
        </is>
      </c>
      <c r="G30" s="14" t="inlineStr">
        <is>
          <t>Durante una visita de verificación, la Secretaría de Salud departamental encuentra que un servicio declarado no cuenta con el talento humano declarado en el REPS.</t>
        </is>
      </c>
      <c r="H30" s="14" t="inlineStr">
        <is>
          <t>Un cambio en la capacidad instalada o en los servicios declarados debe:</t>
        </is>
      </c>
      <c r="I30" s="14" t="inlineStr">
        <is>
          <t>Esperar a la siguiente renovación</t>
        </is>
      </c>
      <c r="J30" s="14" t="inlineStr">
        <is>
          <t>Reportarse como novedad en el REPS dentro de los términos previstos</t>
        </is>
      </c>
      <c r="K30" s="14" t="inlineStr">
        <is>
          <t>Comunicarse solo a la EPS contratante</t>
        </is>
      </c>
      <c r="L30" s="14" t="inlineStr">
        <is>
          <t>b</t>
        </is>
      </c>
      <c r="M30" s="14" t="inlineStr">
        <is>
          <t>Las modificaciones de la información declarada deben reportarse como novedad en el REPS en los términos de la norma de habilitación.</t>
        </is>
      </c>
      <c r="N30" s="14" t="inlineStr">
        <is>
          <t>Las opciones a) y c) mantienen desactualizado el registro público que soporta la vigilancia y la contratación.</t>
        </is>
      </c>
      <c r="O30" s="14" t="inlineStr">
        <is>
          <t>Resolución 3100 de 2019</t>
        </is>
      </c>
      <c r="P30" s="14" t="inlineStr">
        <is>
          <t>SI</t>
        </is>
      </c>
      <c r="Q30" s="11" t="inlineStr">
        <is>
          <t>Basica</t>
        </is>
      </c>
      <c r="R30" s="11" t="inlineStr">
        <is>
          <t>repaso</t>
        </is>
      </c>
    </row>
    <row r="31" ht="34.5" customHeight="1" s="12">
      <c r="A31" s="14" t="inlineStr">
        <is>
          <t>F0030</t>
        </is>
      </c>
      <c r="B31" s="14" t="inlineStr">
        <is>
          <t>PS 2782 de 2026 - ESE 2 - HUHMP Neiva</t>
        </is>
      </c>
      <c r="C31" s="14" t="inlineStr">
        <is>
          <t>Habilitacion y calidad (Resolucion 3100 de 2019)</t>
        </is>
      </c>
      <c r="D31" s="14" t="inlineStr">
        <is>
          <t>Profesional</t>
        </is>
      </c>
      <c r="E31" s="14" t="inlineStr">
        <is>
          <t>C010</t>
        </is>
      </c>
      <c r="F31" s="14" t="inlineStr">
        <is>
          <t>Caso 010</t>
        </is>
      </c>
      <c r="G31" s="14" t="inlineStr">
        <is>
          <t>Durante una visita de verificación, la Secretaría de Salud departamental encuentra que un servicio declarado no cuenta con el talento humano declarado en el REPS.</t>
        </is>
      </c>
      <c r="H31" s="14" t="inlineStr">
        <is>
          <t>La habilitación se distingue de la acreditación en que:</t>
        </is>
      </c>
      <c r="I31" s="14" t="inlineStr">
        <is>
          <t>La habilitación es voluntaria y la acreditación obligatoria</t>
        </is>
      </c>
      <c r="J31" s="14" t="inlineStr">
        <is>
          <t>La habilitación fija condiciones mínimas obligatorias y la acreditación es voluntaria y de superioridad en calidad</t>
        </is>
      </c>
      <c r="K31" s="14" t="inlineStr">
        <is>
          <t>Ambas son voluntarias</t>
        </is>
      </c>
      <c r="L31" s="14" t="inlineStr">
        <is>
          <t>b</t>
        </is>
      </c>
      <c r="M31" s="14" t="inlineStr">
        <is>
          <t>En el SOGCS la habilitación establece las condiciones mínimas obligatorias de entrada y permanencia, mientras la acreditación es un proceso voluntario de altos estándares de calidad.</t>
        </is>
      </c>
      <c r="N31" s="14" t="inlineStr">
        <is>
          <t>Las opciones a) y c) invierten o igualan la naturaleza de dos componentes distintos del sistema de calidad.</t>
        </is>
      </c>
      <c r="O31" s="14" t="inlineStr">
        <is>
          <t>Decreto 780 de 2016, SOGCS</t>
        </is>
      </c>
      <c r="P31" s="14" t="inlineStr">
        <is>
          <t>SI</t>
        </is>
      </c>
      <c r="Q31" s="11" t="inlineStr">
        <is>
          <t>Basica</t>
        </is>
      </c>
      <c r="R31" s="11" t="inlineStr">
        <is>
          <t>repaso</t>
        </is>
      </c>
    </row>
    <row r="32" ht="34.5" customHeight="1" s="12">
      <c r="A32" s="14" t="inlineStr">
        <is>
          <t>F0031</t>
        </is>
      </c>
      <c r="B32" s="14" t="inlineStr">
        <is>
          <t>PS 2782 de 2026 - ESE 2 - HUHMP Neiva</t>
        </is>
      </c>
      <c r="C32" s="14" t="inlineStr">
        <is>
          <t>Habilitacion y calidad (Resolucion 3100 de 2019)</t>
        </is>
      </c>
      <c r="D32" s="14" t="inlineStr">
        <is>
          <t>Técnico</t>
        </is>
      </c>
      <c r="E32" s="14" t="inlineStr">
        <is>
          <t>C011</t>
        </is>
      </c>
      <c r="F32" s="14" t="inlineStr">
        <is>
          <t>Caso 011</t>
        </is>
      </c>
      <c r="G32" s="14" t="inlineStr">
        <is>
          <t>El técnico del área de calidad debe explicar los componentes del Sistema Obligatorio de Garantía de Calidad y los indicadores que reporta el hospital.</t>
        </is>
      </c>
      <c r="H32" s="14" t="inlineStr">
        <is>
          <t>Los componentes del SOGCS son:</t>
        </is>
      </c>
      <c r="I32" s="14" t="inlineStr">
        <is>
          <t>Habilitación, PAMEC, acreditación y sistema de información para la calidad</t>
        </is>
      </c>
      <c r="J32" s="14" t="inlineStr">
        <is>
          <t>Habilitación, licencia de construcción, acreditación y auditoría de cuentas</t>
        </is>
      </c>
      <c r="K32" s="14" t="inlineStr">
        <is>
          <t>Solo habilitación y acreditación</t>
        </is>
      </c>
      <c r="L32" s="14" t="inlineStr">
        <is>
          <t>a</t>
        </is>
      </c>
      <c r="M32" s="14" t="inlineStr">
        <is>
          <t>El SOGCS se integra por el Sistema Único de Habilitación, la auditoría para el mejoramiento de la calidad (PAMEC), el Sistema Único de Acreditación y el Sistema de Información para la Calidad.</t>
        </is>
      </c>
      <c r="N32" s="14" t="inlineStr">
        <is>
          <t>Las opciones b) y c) incluyen elementos ajenos o dejan por fuera dos de los cuatro componentes.</t>
        </is>
      </c>
      <c r="O32" s="14" t="inlineStr">
        <is>
          <t>Decreto 780 de 2016, SOGCS</t>
        </is>
      </c>
      <c r="P32" s="14" t="inlineStr">
        <is>
          <t>SI</t>
        </is>
      </c>
      <c r="Q32" s="11" t="inlineStr">
        <is>
          <t>Basica</t>
        </is>
      </c>
      <c r="R32" s="11" t="inlineStr">
        <is>
          <t>repaso</t>
        </is>
      </c>
    </row>
    <row r="33" ht="23.25" customHeight="1" s="12">
      <c r="A33" s="14" t="inlineStr">
        <is>
          <t>F0032</t>
        </is>
      </c>
      <c r="B33" s="14" t="inlineStr">
        <is>
          <t>PS 2782 de 2026 - ESE 2 - HUHMP Neiva</t>
        </is>
      </c>
      <c r="C33" s="14" t="inlineStr">
        <is>
          <t>Habilitacion y calidad (Resolucion 3100 de 2019)</t>
        </is>
      </c>
      <c r="D33" s="14" t="inlineStr">
        <is>
          <t>Técnico</t>
        </is>
      </c>
      <c r="E33" s="14" t="inlineStr">
        <is>
          <t>C011</t>
        </is>
      </c>
      <c r="F33" s="14" t="inlineStr">
        <is>
          <t>Caso 011</t>
        </is>
      </c>
      <c r="G33" s="14" t="inlineStr">
        <is>
          <t>El técnico del área de calidad debe explicar los componentes del Sistema Obligatorio de Garantía de Calidad y los indicadores que reporta el hospital.</t>
        </is>
      </c>
      <c r="H33" s="14" t="inlineStr">
        <is>
          <t>El PAMEC consiste en:</t>
        </is>
      </c>
      <c r="I33" s="14" t="inlineStr">
        <is>
          <t>Un plan de compras de tecnología biomédica</t>
        </is>
      </c>
      <c r="J33" s="14" t="inlineStr">
        <is>
          <t>La auditoría para el mejoramiento de la calidad, con autoevaluación, priorización y planes de mejora</t>
        </is>
      </c>
      <c r="K33" s="14" t="inlineStr">
        <is>
          <t>Un informe financiero trimestral</t>
        </is>
      </c>
      <c r="L33" s="14" t="inlineStr">
        <is>
          <t>b</t>
        </is>
      </c>
      <c r="M33" s="14" t="inlineStr">
        <is>
          <t>El PAMEC es el mecanismo sistemático de evaluación y mejoramiento de la calidad observada frente a la calidad esperada.</t>
        </is>
      </c>
      <c r="N33" s="14" t="inlineStr">
        <is>
          <t>Las opciones a) y c) describen instrumentos administrativos sin relación con la auditoría de calidad.</t>
        </is>
      </c>
      <c r="O33" s="14" t="inlineStr">
        <is>
          <t>Decreto 780 de 2016</t>
        </is>
      </c>
      <c r="P33" s="14" t="inlineStr">
        <is>
          <t>SI</t>
        </is>
      </c>
      <c r="Q33" s="11" t="inlineStr">
        <is>
          <t>Basica</t>
        </is>
      </c>
      <c r="R33" s="11" t="inlineStr">
        <is>
          <t>repaso</t>
        </is>
      </c>
    </row>
    <row r="34" ht="34.5" customHeight="1" s="12">
      <c r="A34" s="14" t="inlineStr">
        <is>
          <t>F0033</t>
        </is>
      </c>
      <c r="B34" s="14" t="inlineStr">
        <is>
          <t>PS 2782 de 2026 - ESE 2 - HUHMP Neiva</t>
        </is>
      </c>
      <c r="C34" s="14" t="inlineStr">
        <is>
          <t>Habilitacion y calidad (Resolucion 3100 de 2019)</t>
        </is>
      </c>
      <c r="D34" s="14" t="inlineStr">
        <is>
          <t>Técnico</t>
        </is>
      </c>
      <c r="E34" s="14" t="inlineStr">
        <is>
          <t>C011</t>
        </is>
      </c>
      <c r="F34" s="14" t="inlineStr">
        <is>
          <t>Caso 011</t>
        </is>
      </c>
      <c r="G34" s="14" t="inlineStr">
        <is>
          <t>El técnico del área de calidad debe explicar los componentes del Sistema Obligatorio de Garantía de Calidad y los indicadores que reporta el hospital.</t>
        </is>
      </c>
      <c r="H34" s="14" t="inlineStr">
        <is>
          <t>El reporte de indicadores de calidad al Ministerio tiene por objeto:</t>
        </is>
      </c>
      <c r="I34" s="14" t="inlineStr">
        <is>
          <t>Facilitar el monitoreo, la referenciación comparativa y la información al usuario</t>
        </is>
      </c>
      <c r="J34" s="14" t="inlineStr">
        <is>
          <t>Sustituir la historia clínica</t>
        </is>
      </c>
      <c r="K34" s="14" t="inlineStr">
        <is>
          <t>Reemplazar la visita de verificación</t>
        </is>
      </c>
      <c r="L34" s="14" t="inlineStr">
        <is>
          <t>a</t>
        </is>
      </c>
      <c r="M34" s="14" t="inlineStr">
        <is>
          <t>El Sistema de Información para la Calidad busca monitorear, orientar la elección del usuario y permitir la referenciación comparativa entre prestadores.</t>
        </is>
      </c>
      <c r="N34" s="14" t="inlineStr">
        <is>
          <t>Las opciones b) y c) atribuyen al reporte de indicadores funciones de registro clínico o de inspección que no cumple.</t>
        </is>
      </c>
      <c r="O34" s="14" t="inlineStr">
        <is>
          <t>Resolución 256 de 2016</t>
        </is>
      </c>
      <c r="P34" s="14" t="inlineStr">
        <is>
          <t>SI</t>
        </is>
      </c>
      <c r="Q34" s="11" t="inlineStr">
        <is>
          <t>Basica</t>
        </is>
      </c>
      <c r="R34" s="11" t="inlineStr">
        <is>
          <t>repaso</t>
        </is>
      </c>
    </row>
    <row r="35" ht="23.25" customHeight="1" s="12">
      <c r="A35" s="14" t="inlineStr">
        <is>
          <t>F0034</t>
        </is>
      </c>
      <c r="B35" s="14" t="inlineStr">
        <is>
          <t>PS 2782 de 2026 - ESE 2 - HUHMP Neiva</t>
        </is>
      </c>
      <c r="C35" s="14" t="inlineStr">
        <is>
          <t>Habilitacion y calidad (Resolucion 3100 de 2019)</t>
        </is>
      </c>
      <c r="D35" s="14" t="inlineStr">
        <is>
          <t>Profesional</t>
        </is>
      </c>
      <c r="E35" s="14" t="inlineStr">
        <is>
          <t>C012</t>
        </is>
      </c>
      <c r="F35" s="14" t="inlineStr">
        <is>
          <t>Caso 012</t>
        </is>
      </c>
      <c r="G35" s="14" t="inlineStr">
        <is>
          <t>La oficina de calidad revisa el cumplimiento del estándar de historia clínica y registros dentro de la habilitación de un servicio ambulatorio.</t>
        </is>
      </c>
      <c r="H35" s="14" t="inlineStr">
        <is>
          <t>Frente al estándar de historia clínica en habilitación, lo exigible es:</t>
        </is>
      </c>
      <c r="I35" s="14" t="inlineStr">
        <is>
          <t>Contar con historia clínica única por paciente, con registros completos y disponibles</t>
        </is>
      </c>
      <c r="J35" s="14" t="inlineStr">
        <is>
          <t>Contar con una historia por episodio de atención, sin necesidad de unificarla</t>
        </is>
      </c>
      <c r="K35" s="14" t="inlineStr">
        <is>
          <t>Archivar solo los resúmenes de egreso</t>
        </is>
      </c>
      <c r="L35" s="14" t="inlineStr">
        <is>
          <t>a</t>
        </is>
      </c>
      <c r="M35" s="14" t="inlineStr">
        <is>
          <t>La normativa exige historia clínica única por usuario, con registros completos, legibles y disponibles para la atención.</t>
        </is>
      </c>
      <c r="N35" s="14" t="inlineStr">
        <is>
          <t>Las opciones b) y c) fragmentan el registro y comprometen la integralidad y la secuencialidad exigidas.</t>
        </is>
      </c>
      <c r="O35" s="14" t="inlineStr">
        <is>
          <t>Resolución 1995 de 1999; Resolución 3100 de 2019</t>
        </is>
      </c>
      <c r="P35" s="14" t="inlineStr">
        <is>
          <t>SI</t>
        </is>
      </c>
      <c r="Q35" s="11" t="inlineStr">
        <is>
          <t>Basica</t>
        </is>
      </c>
      <c r="R35" s="11" t="inlineStr">
        <is>
          <t>repaso</t>
        </is>
      </c>
    </row>
    <row r="36" ht="23.25" customHeight="1" s="12">
      <c r="A36" s="14" t="inlineStr">
        <is>
          <t>F0035</t>
        </is>
      </c>
      <c r="B36" s="14" t="inlineStr">
        <is>
          <t>PS 2782 de 2026 - ESE 2 - HUHMP Neiva</t>
        </is>
      </c>
      <c r="C36" s="14" t="inlineStr">
        <is>
          <t>Habilitacion y calidad (Resolucion 3100 de 2019)</t>
        </is>
      </c>
      <c r="D36" s="14" t="inlineStr">
        <is>
          <t>Profesional</t>
        </is>
      </c>
      <c r="E36" s="14" t="inlineStr">
        <is>
          <t>C012</t>
        </is>
      </c>
      <c r="F36" s="14" t="inlineStr">
        <is>
          <t>Caso 012</t>
        </is>
      </c>
      <c r="G36" s="14" t="inlineStr">
        <is>
          <t>La oficina de calidad revisa el cumplimiento del estándar de historia clínica y registros dentro de la habilitación de un servicio ambulatorio.</t>
        </is>
      </c>
      <c r="H36" s="14" t="inlineStr">
        <is>
          <t>Si el servicio no cumple un estándar, la consecuencia inmediata es:</t>
        </is>
      </c>
      <c r="I36" s="14" t="inlineStr">
        <is>
          <t>Se debe abstener de prestar el servicio hasta cumplirlo</t>
        </is>
      </c>
      <c r="J36" s="14" t="inlineStr">
        <is>
          <t>Puede prestarlo mientras subsana en un plazo de un año</t>
        </is>
      </c>
      <c r="K36" s="14" t="inlineStr">
        <is>
          <t>Puede prestarlo si la EPS lo autoriza</t>
        </is>
      </c>
      <c r="L36" s="14" t="inlineStr">
        <is>
          <t>a</t>
        </is>
      </c>
      <c r="M36" s="14" t="inlineStr">
        <is>
          <t>La habilitación es condición de entrada y permanencia: sin el cumplimiento del estándar el servicio no puede ofertarse ni prestarse.</t>
        </is>
      </c>
      <c r="N36" s="14" t="inlineStr">
        <is>
          <t>Las opciones b) y c) permiten prestar un servicio no habilitado, lo que da lugar a medidas sanitarias y sanciones.</t>
        </is>
      </c>
      <c r="O36" s="14" t="inlineStr">
        <is>
          <t>Resolución 3100 de 2019</t>
        </is>
      </c>
      <c r="P36" s="14" t="inlineStr">
        <is>
          <t>SI</t>
        </is>
      </c>
      <c r="Q36" s="11" t="inlineStr">
        <is>
          <t>Basica</t>
        </is>
      </c>
      <c r="R36" s="11" t="inlineStr">
        <is>
          <t>repaso</t>
        </is>
      </c>
    </row>
    <row r="37" ht="34.5" customHeight="1" s="12">
      <c r="A37" s="14" t="inlineStr">
        <is>
          <t>F0036</t>
        </is>
      </c>
      <c r="B37" s="14" t="inlineStr">
        <is>
          <t>PS 2782 de 2026 - ESE 2 - HUHMP Neiva</t>
        </is>
      </c>
      <c r="C37" s="14" t="inlineStr">
        <is>
          <t>Habilitacion y calidad (Resolucion 3100 de 2019)</t>
        </is>
      </c>
      <c r="D37" s="14" t="inlineStr">
        <is>
          <t>Profesional</t>
        </is>
      </c>
      <c r="E37" s="14" t="inlineStr">
        <is>
          <t>C012</t>
        </is>
      </c>
      <c r="F37" s="14" t="inlineStr">
        <is>
          <t>Caso 012</t>
        </is>
      </c>
      <c r="G37" s="14" t="inlineStr">
        <is>
          <t>La oficina de calidad revisa el cumplimiento del estándar de historia clínica y registros dentro de la habilitación de un servicio ambulatorio.</t>
        </is>
      </c>
      <c r="H37" s="14" t="inlineStr">
        <is>
          <t>La vigilancia del cumplimiento de la habilitación corresponde principalmente a:</t>
        </is>
      </c>
      <c r="I37" s="14" t="inlineStr">
        <is>
          <t>La entidad departamental o distrital de salud, sin perjuicio de las competencias de la Superintendencia Nacional de Salud</t>
        </is>
      </c>
      <c r="J37" s="14" t="inlineStr">
        <is>
          <t>Al Invima de manera exclusiva</t>
        </is>
      </c>
      <c r="K37" s="14" t="inlineStr">
        <is>
          <t>A la EPS contratante</t>
        </is>
      </c>
      <c r="L37" s="14" t="inlineStr">
        <is>
          <t>a</t>
        </is>
      </c>
      <c r="M37" s="14" t="inlineStr">
        <is>
          <t>Las direcciones departamentales y distritales de salud verifican el cumplimiento de las condiciones de habilitación, sin perjuicio de la inspección, vigilancia y control de la Superintendencia Nacional de Salud.</t>
        </is>
      </c>
      <c r="N37" s="14" t="inlineStr">
        <is>
          <t>El Invima vigila productos y establecimientos de su competencia y la EPS ejerce auditoría contractual, no la función de habilitación.</t>
        </is>
      </c>
      <c r="O37" s="14" t="inlineStr">
        <is>
          <t>Resolución 3100 de 2019; Ley 715 de 2001</t>
        </is>
      </c>
      <c r="P37" s="14" t="inlineStr">
        <is>
          <t>SI</t>
        </is>
      </c>
      <c r="Q37" s="11" t="inlineStr">
        <is>
          <t>Basica</t>
        </is>
      </c>
      <c r="R37" s="11" t="inlineStr">
        <is>
          <t>repaso</t>
        </is>
      </c>
    </row>
    <row r="38" ht="34.5" customHeight="1" s="12">
      <c r="A38" s="14" t="inlineStr">
        <is>
          <t>F0037</t>
        </is>
      </c>
      <c r="B38" s="14" t="inlineStr">
        <is>
          <t>PS 2782 de 2026 - ESE 2 - HUHMP Neiva</t>
        </is>
      </c>
      <c r="C38" s="14" t="inlineStr">
        <is>
          <t>Seguridad del paciente</t>
        </is>
      </c>
      <c r="D38" s="14" t="inlineStr">
        <is>
          <t>Profesional</t>
        </is>
      </c>
      <c r="E38" s="14" t="inlineStr">
        <is>
          <t>C013</t>
        </is>
      </c>
      <c r="F38" s="14" t="inlineStr">
        <is>
          <t>Caso 013</t>
        </is>
      </c>
      <c r="G38" s="14" t="inlineStr">
        <is>
          <t>En hospitalización se detecta la administración de un medicamento a un paciente equivocado. El paciente no presenta daño. El jefe de servicio propone abrir de inmediato una investigación disciplinaria contra la auxiliar.</t>
        </is>
      </c>
      <c r="H38" s="14" t="inlineStr">
        <is>
          <t>Técnicamente, el hecho descrito corresponde a:</t>
        </is>
      </c>
      <c r="I38" s="14" t="inlineStr">
        <is>
          <t>Un evento adverso</t>
        </is>
      </c>
      <c r="J38" s="14" t="inlineStr">
        <is>
          <t>Un incidente, porque no alcanzó a generar daño al paciente</t>
        </is>
      </c>
      <c r="K38" s="14" t="inlineStr">
        <is>
          <t>Una complicación inherente a la enfermedad</t>
        </is>
      </c>
      <c r="L38" s="14" t="inlineStr">
        <is>
          <t>b</t>
        </is>
      </c>
      <c r="M38" s="14" t="inlineStr">
        <is>
          <t>El incidente es el evento que no alcanza a generar daño al paciente; el evento adverso sí produce daño no intencional derivado de la atención.</t>
        </is>
      </c>
      <c r="N38" s="14" t="inlineStr">
        <is>
          <t>La opción a) exige daño que no se produjo y la c) atribuye a la enfermedad un hecho originado en el proceso de atención.</t>
        </is>
      </c>
      <c r="O38" s="14" t="inlineStr">
        <is>
          <t>Lineamientos para la implementación de la Política de Seguridad del Paciente, Minsalud</t>
        </is>
      </c>
      <c r="P38" s="14" t="inlineStr">
        <is>
          <t>SI</t>
        </is>
      </c>
      <c r="Q38" s="11" t="inlineStr">
        <is>
          <t>Basica</t>
        </is>
      </c>
      <c r="R38" s="11" t="inlineStr">
        <is>
          <t>repaso</t>
        </is>
      </c>
    </row>
    <row r="39" ht="34.5" customHeight="1" s="12">
      <c r="A39" s="14" t="inlineStr">
        <is>
          <t>F0038</t>
        </is>
      </c>
      <c r="B39" s="14" t="inlineStr">
        <is>
          <t>PS 2782 de 2026 - ESE 2 - HUHMP Neiva</t>
        </is>
      </c>
      <c r="C39" s="14" t="inlineStr">
        <is>
          <t>Seguridad del paciente</t>
        </is>
      </c>
      <c r="D39" s="14" t="inlineStr">
        <is>
          <t>Profesional</t>
        </is>
      </c>
      <c r="E39" s="14" t="inlineStr">
        <is>
          <t>C013</t>
        </is>
      </c>
      <c r="F39" s="14" t="inlineStr">
        <is>
          <t>Caso 013</t>
        </is>
      </c>
      <c r="G39" s="14" t="inlineStr">
        <is>
          <t>En hospitalización se detecta la administración de un medicamento a un paciente equivocado. El paciente no presenta daño. El jefe de servicio propone abrir de inmediato una investigación disciplinaria contra la auxiliar.</t>
        </is>
      </c>
      <c r="H39" s="14" t="inlineStr">
        <is>
          <t>El enfoque correcto del reporte institucional es:</t>
        </is>
      </c>
      <c r="I39" s="14" t="inlineStr">
        <is>
          <t>Punitivo, para desincentivar errores</t>
        </is>
      </c>
      <c r="J39" s="14" t="inlineStr">
        <is>
          <t>No punitivo, orientado al aprendizaje organizacional y al análisis de causas</t>
        </is>
      </c>
      <c r="K39" s="14" t="inlineStr">
        <is>
          <t>Reservado solo para eventos con muerte del paciente</t>
        </is>
      </c>
      <c r="L39" s="14" t="inlineStr">
        <is>
          <t>b</t>
        </is>
      </c>
      <c r="M39" s="14" t="inlineStr">
        <is>
          <t>La política de seguridad del paciente promueve una cultura no punitiva de reporte, orientada al análisis de causas y al mejoramiento del sistema.</t>
        </is>
      </c>
      <c r="N39" s="14" t="inlineStr">
        <is>
          <t>Las opciones a) y c) inhiben el reporte y dejan sin analizar la mayoría de los eventos, que son los de menor severidad.</t>
        </is>
      </c>
      <c r="O39" s="14" t="inlineStr">
        <is>
          <t>Política de Seguridad del Paciente, Minsalud</t>
        </is>
      </c>
      <c r="P39" s="14" t="inlineStr">
        <is>
          <t>SI</t>
        </is>
      </c>
      <c r="Q39" s="11" t="inlineStr">
        <is>
          <t>Basica</t>
        </is>
      </c>
      <c r="R39" s="11" t="inlineStr">
        <is>
          <t>repaso</t>
        </is>
      </c>
    </row>
    <row r="40" ht="34.5" customHeight="1" s="12">
      <c r="A40" s="14" t="inlineStr">
        <is>
          <t>F0039</t>
        </is>
      </c>
      <c r="B40" s="14" t="inlineStr">
        <is>
          <t>PS 2782 de 2026 - ESE 2 - HUHMP Neiva</t>
        </is>
      </c>
      <c r="C40" s="14" t="inlineStr">
        <is>
          <t>Seguridad del paciente</t>
        </is>
      </c>
      <c r="D40" s="14" t="inlineStr">
        <is>
          <t>Profesional</t>
        </is>
      </c>
      <c r="E40" s="14" t="inlineStr">
        <is>
          <t>C013</t>
        </is>
      </c>
      <c r="F40" s="14" t="inlineStr">
        <is>
          <t>Caso 013</t>
        </is>
      </c>
      <c r="G40" s="14" t="inlineStr">
        <is>
          <t>En hospitalización se detecta la administración de un medicamento a un paciente equivocado. El paciente no presenta daño. El jefe de servicio propone abrir de inmediato una investigación disciplinaria contra la auxiliar.</t>
        </is>
      </c>
      <c r="H40" s="14" t="inlineStr">
        <is>
          <t>El análisis del caso debe centrarse en:</t>
        </is>
      </c>
      <c r="I40" s="14" t="inlineStr">
        <is>
          <t>La falla individual de quien administró el medicamento</t>
        </is>
      </c>
      <c r="J40" s="14" t="inlineStr">
        <is>
          <t>Las fallas activas y latentes del proceso, mediante análisis causal (protocolo de Londres o similar)</t>
        </is>
      </c>
      <c r="K40" s="14" t="inlineStr">
        <is>
          <t>La reposición económica del medicamento</t>
        </is>
      </c>
      <c r="L40" s="14" t="inlineStr">
        <is>
          <t>b</t>
        </is>
      </c>
      <c r="M40" s="14" t="inlineStr">
        <is>
          <t>El análisis de causa raíz identifica fallas activas y latentes del sistema y define barreras de seguridad, más allá de la conducta individual.</t>
        </is>
      </c>
      <c r="N40" s="14" t="inlineStr">
        <is>
          <t>Las opciones a) y c) cierran el caso sin corregir el proceso, de modo que el error puede repetirse.</t>
        </is>
      </c>
      <c r="O40" s="14" t="inlineStr">
        <is>
          <t>Política de Seguridad del Paciente, Minsalud</t>
        </is>
      </c>
      <c r="P40" s="14" t="inlineStr">
        <is>
          <t>SI</t>
        </is>
      </c>
      <c r="Q40" s="11" t="inlineStr">
        <is>
          <t>Basica</t>
        </is>
      </c>
      <c r="R40" s="11" t="inlineStr">
        <is>
          <t>repaso</t>
        </is>
      </c>
    </row>
    <row r="41" ht="34.5" customHeight="1" s="12">
      <c r="A41" s="14" t="inlineStr">
        <is>
          <t>F0040</t>
        </is>
      </c>
      <c r="B41" s="14" t="inlineStr">
        <is>
          <t>PS 2782 de 2026 - ESE 2 - HUHMP Neiva</t>
        </is>
      </c>
      <c r="C41" s="14" t="inlineStr">
        <is>
          <t>Seguridad del paciente</t>
        </is>
      </c>
      <c r="D41" s="14" t="inlineStr">
        <is>
          <t>Profesional</t>
        </is>
      </c>
      <c r="E41" s="14" t="inlineStr">
        <is>
          <t>C014</t>
        </is>
      </c>
      <c r="F41" s="14" t="inlineStr">
        <is>
          <t>Caso 014</t>
        </is>
      </c>
      <c r="G41" s="14" t="inlineStr">
        <is>
          <t>El comité de seguridad del paciente revisa las barreras para prevenir errores en cirugía y en la identificación de los usuarios.</t>
        </is>
      </c>
      <c r="H41" s="14" t="inlineStr">
        <is>
          <t>La lista de chequeo de cirugía segura busca:</t>
        </is>
      </c>
      <c r="I41" s="14" t="inlineStr">
        <is>
          <t>Documentar el consumo de insumos</t>
        </is>
      </c>
      <c r="J41" s="14" t="inlineStr">
        <is>
          <t>Verificar sitio, procedimiento y paciente correctos, y prevenir eventos en momentos críticos</t>
        </is>
      </c>
      <c r="K41" s="14" t="inlineStr">
        <is>
          <t>Sustituir el consentimiento informado</t>
        </is>
      </c>
      <c r="L41" s="14" t="inlineStr">
        <is>
          <t>b</t>
        </is>
      </c>
      <c r="M41" s="14" t="inlineStr">
        <is>
          <t>La lista de chequeo verifica los aspectos críticos antes de la inducción, antes de la incisión y antes de la salida del quirófano.</t>
        </is>
      </c>
      <c r="N41" s="14" t="inlineStr">
        <is>
          <t>Las opciones a) y c) confunden la barrera de seguridad con un registro de inventario o con el consentimiento, que es un requisito distinto y adicional.</t>
        </is>
      </c>
      <c r="O41" s="14" t="inlineStr">
        <is>
          <t>Paquetes instruccionales de seguridad del paciente, Minsalud</t>
        </is>
      </c>
      <c r="P41" s="14" t="inlineStr">
        <is>
          <t>SI</t>
        </is>
      </c>
      <c r="Q41" s="11" t="inlineStr">
        <is>
          <t>Basica</t>
        </is>
      </c>
      <c r="R41" s="11" t="inlineStr">
        <is>
          <t>repaso</t>
        </is>
      </c>
    </row>
    <row r="42" ht="23.25" customHeight="1" s="12">
      <c r="A42" s="14" t="inlineStr">
        <is>
          <t>F0041</t>
        </is>
      </c>
      <c r="B42" s="14" t="inlineStr">
        <is>
          <t>PS 2782 de 2026 - ESE 2 - HUHMP Neiva</t>
        </is>
      </c>
      <c r="C42" s="14" t="inlineStr">
        <is>
          <t>Seguridad del paciente</t>
        </is>
      </c>
      <c r="D42" s="14" t="inlineStr">
        <is>
          <t>Profesional</t>
        </is>
      </c>
      <c r="E42" s="14" t="inlineStr">
        <is>
          <t>C014</t>
        </is>
      </c>
      <c r="F42" s="14" t="inlineStr">
        <is>
          <t>Caso 014</t>
        </is>
      </c>
      <c r="G42" s="14" t="inlineStr">
        <is>
          <t>El comité de seguridad del paciente revisa las barreras para prevenir errores en cirugía y en la identificación de los usuarios.</t>
        </is>
      </c>
      <c r="H42" s="14" t="inlineStr">
        <is>
          <t>La identificación correcta del paciente exige:</t>
        </is>
      </c>
      <c r="I42" s="14" t="inlineStr">
        <is>
          <t>Usar al menos dos identificadores, ninguno de los cuales sea el número de cama</t>
        </is>
      </c>
      <c r="J42" s="14" t="inlineStr">
        <is>
          <t>Usar el número de cama como identificador principal</t>
        </is>
      </c>
      <c r="K42" s="14" t="inlineStr">
        <is>
          <t>Confiar en el reconocimiento visual del personal</t>
        </is>
      </c>
      <c r="L42" s="14" t="inlineStr">
        <is>
          <t>a</t>
        </is>
      </c>
      <c r="M42" s="14" t="inlineStr">
        <is>
          <t>La práctica segura exige verificar al menos dos identificadores del paciente, y el número de habitación o cama no es un identificador válido.</t>
        </is>
      </c>
      <c r="N42" s="14" t="inlineStr">
        <is>
          <t>Las opciones b) y c) usan referencias que cambian o que dependen de la memoria del personal.</t>
        </is>
      </c>
      <c r="O42" s="14" t="inlineStr">
        <is>
          <t>Paquetes instruccionales de seguridad del paciente, Minsalud</t>
        </is>
      </c>
      <c r="P42" s="14" t="inlineStr">
        <is>
          <t>SI</t>
        </is>
      </c>
      <c r="Q42" s="11" t="inlineStr">
        <is>
          <t>Basica</t>
        </is>
      </c>
      <c r="R42" s="11" t="inlineStr">
        <is>
          <t>repaso</t>
        </is>
      </c>
    </row>
    <row r="43" ht="23.25" customHeight="1" s="12">
      <c r="A43" s="14" t="inlineStr">
        <is>
          <t>F0042</t>
        </is>
      </c>
      <c r="B43" s="14" t="inlineStr">
        <is>
          <t>PS 2782 de 2026 - ESE 2 - HUHMP Neiva</t>
        </is>
      </c>
      <c r="C43" s="14" t="inlineStr">
        <is>
          <t>Seguridad del paciente</t>
        </is>
      </c>
      <c r="D43" s="14" t="inlineStr">
        <is>
          <t>Profesional</t>
        </is>
      </c>
      <c r="E43" s="14" t="inlineStr">
        <is>
          <t>C014</t>
        </is>
      </c>
      <c r="F43" s="14" t="inlineStr">
        <is>
          <t>Caso 014</t>
        </is>
      </c>
      <c r="G43" s="14" t="inlineStr">
        <is>
          <t>El comité de seguridad del paciente revisa las barreras para prevenir errores en cirugía y en la identificación de los usuarios.</t>
        </is>
      </c>
      <c r="H43" s="14" t="inlineStr">
        <is>
          <t>El consentimiento informado debe entenderse como:</t>
        </is>
      </c>
      <c r="I43" s="14" t="inlineStr">
        <is>
          <t>Un formato firmado para proteger jurídicamente a la institución</t>
        </is>
      </c>
      <c r="J43" s="14" t="inlineStr">
        <is>
          <t>Un proceso de información y decisión del paciente, del que el documento es soporte</t>
        </is>
      </c>
      <c r="K43" s="14" t="inlineStr">
        <is>
          <t>Un trámite que puede firmar cualquier acompañante</t>
        </is>
      </c>
      <c r="L43" s="14" t="inlineStr">
        <is>
          <t>b</t>
        </is>
      </c>
      <c r="M43" s="14" t="inlineStr">
        <is>
          <t>El consentimiento informado es un proceso de comunicación y decisión autónoma del paciente; el documento solo lo evidencia.</t>
        </is>
      </c>
      <c r="N43" s="14" t="inlineStr">
        <is>
          <t>Las opciones a) y c) reducen el consentimiento a un trámite formal y desconocen la titularidad de la decisión.</t>
        </is>
      </c>
      <c r="O43" s="14" t="inlineStr">
        <is>
          <t>Ley 23 de 1981; Resolución 1995 de 1999</t>
        </is>
      </c>
      <c r="P43" s="14" t="inlineStr">
        <is>
          <t>SI</t>
        </is>
      </c>
      <c r="Q43" s="11" t="inlineStr">
        <is>
          <t>Basica</t>
        </is>
      </c>
      <c r="R43" s="11" t="inlineStr">
        <is>
          <t>repaso</t>
        </is>
      </c>
    </row>
    <row r="44" ht="23.25" customHeight="1" s="12">
      <c r="A44" s="14" t="inlineStr">
        <is>
          <t>F0043</t>
        </is>
      </c>
      <c r="B44" s="14" t="inlineStr">
        <is>
          <t>PS 2782 de 2026 - ESE 2 - HUHMP Neiva</t>
        </is>
      </c>
      <c r="C44" s="14" t="inlineStr">
        <is>
          <t>Seguridad del paciente</t>
        </is>
      </c>
      <c r="D44" s="14" t="inlineStr">
        <is>
          <t>Técnico</t>
        </is>
      </c>
      <c r="E44" s="14" t="inlineStr">
        <is>
          <t>C015</t>
        </is>
      </c>
      <c r="F44" s="14" t="inlineStr">
        <is>
          <t>Caso 015</t>
        </is>
      </c>
      <c r="G44" s="14" t="inlineStr">
        <is>
          <t>En el servicio de hospitalización aumentan las infecciones asociadas a dispositivos y el comité solicita reforzar prácticas básicas.</t>
        </is>
      </c>
      <c r="H44" s="14" t="inlineStr">
        <is>
          <t>La medida individual más costo-efectiva para prevenir infecciones asociadas a la atención es:</t>
        </is>
      </c>
      <c r="I44" s="14" t="inlineStr">
        <is>
          <t>El uso permanente de guantes estériles</t>
        </is>
      </c>
      <c r="J44" s="14" t="inlineStr">
        <is>
          <t>La higiene de manos en los momentos definidos</t>
        </is>
      </c>
      <c r="K44" s="14" t="inlineStr">
        <is>
          <t>La profilaxis antibiótica prolongada</t>
        </is>
      </c>
      <c r="L44" s="14" t="inlineStr">
        <is>
          <t>b</t>
        </is>
      </c>
      <c r="M44" s="14" t="inlineStr">
        <is>
          <t>La higiene de manos en los momentos establecidos es la medida más costo-efectiva para prevenir infecciones asociadas a la atención en salud.</t>
        </is>
      </c>
      <c r="N44" s="14" t="inlineStr">
        <is>
          <t>El uso de guantes no reemplaza la higiene de manos y la profilaxis prolongada favorece la resistencia antimicrobiana.</t>
        </is>
      </c>
      <c r="O44" s="14" t="inlineStr">
        <is>
          <t>Programa de prevención y control de IAAS, Minsalud - OMS</t>
        </is>
      </c>
      <c r="P44" s="14" t="inlineStr">
        <is>
          <t>SI</t>
        </is>
      </c>
      <c r="Q44" s="11" t="inlineStr">
        <is>
          <t>Basica</t>
        </is>
      </c>
      <c r="R44" s="11" t="inlineStr">
        <is>
          <t>repaso</t>
        </is>
      </c>
    </row>
    <row r="45" ht="34.5" customHeight="1" s="12">
      <c r="A45" s="14" t="inlineStr">
        <is>
          <t>F0044</t>
        </is>
      </c>
      <c r="B45" s="14" t="inlineStr">
        <is>
          <t>PS 2782 de 2026 - ESE 2 - HUHMP Neiva</t>
        </is>
      </c>
      <c r="C45" s="14" t="inlineStr">
        <is>
          <t>Seguridad del paciente</t>
        </is>
      </c>
      <c r="D45" s="14" t="inlineStr">
        <is>
          <t>Técnico</t>
        </is>
      </c>
      <c r="E45" s="14" t="inlineStr">
        <is>
          <t>C015</t>
        </is>
      </c>
      <c r="F45" s="14" t="inlineStr">
        <is>
          <t>Caso 015</t>
        </is>
      </c>
      <c r="G45" s="14" t="inlineStr">
        <is>
          <t>En el servicio de hospitalización aumentan las infecciones asociadas a dispositivos y el comité solicita reforzar prácticas básicas.</t>
        </is>
      </c>
      <c r="H45" s="14" t="inlineStr">
        <is>
          <t>El reporte de infecciones asociadas a la atención se realiza:</t>
        </is>
      </c>
      <c r="I45" s="14" t="inlineStr">
        <is>
          <t>Solo al comité interno, por confidencialidad</t>
        </is>
      </c>
      <c r="J45" s="14" t="inlineStr">
        <is>
          <t>Al sistema de vigilancia en salud pública, conforme a los protocolos vigentes</t>
        </is>
      </c>
      <c r="K45" s="14" t="inlineStr">
        <is>
          <t>Únicamente a la EPS</t>
        </is>
      </c>
      <c r="L45" s="14" t="inlineStr">
        <is>
          <t>b</t>
        </is>
      </c>
      <c r="M45" s="14" t="inlineStr">
        <is>
          <t>Los eventos de interés en salud pública, incluidas las IAAS sujetas a vigilancia, se notifican al sistema de vigilancia conforme a los protocolos del Instituto Nacional de Salud.</t>
        </is>
      </c>
      <c r="N45" s="14" t="inlineStr">
        <is>
          <t>Las opciones a) y c) mantienen la información fuera del sistema de vigilancia obligatoria.</t>
        </is>
      </c>
      <c r="O45" s="14" t="inlineStr">
        <is>
          <t>Decreto 780 de 2016; protocolos INS</t>
        </is>
      </c>
      <c r="P45" s="14" t="inlineStr">
        <is>
          <t>SI</t>
        </is>
      </c>
      <c r="Q45" s="11" t="inlineStr">
        <is>
          <t>Basica</t>
        </is>
      </c>
      <c r="R45" s="11" t="inlineStr">
        <is>
          <t>repaso</t>
        </is>
      </c>
    </row>
    <row r="46" ht="34.5" customHeight="1" s="12">
      <c r="A46" s="14" t="inlineStr">
        <is>
          <t>F0045</t>
        </is>
      </c>
      <c r="B46" s="14" t="inlineStr">
        <is>
          <t>PS 2782 de 2026 - ESE 2 - HUHMP Neiva</t>
        </is>
      </c>
      <c r="C46" s="14" t="inlineStr">
        <is>
          <t>Seguridad del paciente</t>
        </is>
      </c>
      <c r="D46" s="14" t="inlineStr">
        <is>
          <t>Técnico</t>
        </is>
      </c>
      <c r="E46" s="14" t="inlineStr">
        <is>
          <t>C015</t>
        </is>
      </c>
      <c r="F46" s="14" t="inlineStr">
        <is>
          <t>Caso 015</t>
        </is>
      </c>
      <c r="G46" s="14" t="inlineStr">
        <is>
          <t>En el servicio de hospitalización aumentan las infecciones asociadas a dispositivos y el comité solicita reforzar prácticas básicas.</t>
        </is>
      </c>
      <c r="H46" s="14" t="inlineStr">
        <is>
          <t>La tecnovigilancia se ocupa de:</t>
        </is>
      </c>
      <c r="I46" s="14" t="inlineStr">
        <is>
          <t>Los eventos e incidentes adversos asociados a dispositivos médicos</t>
        </is>
      </c>
      <c r="J46" s="14" t="inlineStr">
        <is>
          <t>Las reacciones adversas a medicamentos</t>
        </is>
      </c>
      <c r="K46" s="14" t="inlineStr">
        <is>
          <t>Los accidentes de trabajo del personal</t>
        </is>
      </c>
      <c r="L46" s="14" t="inlineStr">
        <is>
          <t>a</t>
        </is>
      </c>
      <c r="M46" s="14" t="inlineStr">
        <is>
          <t>La tecnovigilancia identifica, evalúa y gestiona los eventos e incidentes adversos relacionados con dispositivos médicos; la farmacovigilancia se ocupa de los medicamentos.</t>
        </is>
      </c>
      <c r="N46" s="14" t="inlineStr">
        <is>
          <t>La opción b) corresponde a farmacovigilancia y la c) al sistema de gestión de seguridad y salud en el trabajo.</t>
        </is>
      </c>
      <c r="O46" s="14" t="inlineStr">
        <is>
          <t>Resolución 4816 de 2008</t>
        </is>
      </c>
      <c r="P46" s="14" t="inlineStr">
        <is>
          <t>SI</t>
        </is>
      </c>
      <c r="Q46" s="11" t="inlineStr">
        <is>
          <t>Basica</t>
        </is>
      </c>
      <c r="R46" s="11" t="inlineStr">
        <is>
          <t>repaso</t>
        </is>
      </c>
    </row>
    <row r="47" ht="23.25" customHeight="1" s="12">
      <c r="A47" s="14" t="inlineStr">
        <is>
          <t>F0046</t>
        </is>
      </c>
      <c r="B47" s="14" t="inlineStr">
        <is>
          <t>PS 2782 de 2026 - ESE 2 - HUHMP Neiva</t>
        </is>
      </c>
      <c r="C47" s="14" t="inlineStr">
        <is>
          <t>Seguridad del paciente</t>
        </is>
      </c>
      <c r="D47" s="14" t="inlineStr">
        <is>
          <t>Profesional</t>
        </is>
      </c>
      <c r="E47" s="14" t="inlineStr">
        <is>
          <t>C016</t>
        </is>
      </c>
      <c r="F47" s="14" t="inlineStr">
        <is>
          <t>Caso 016</t>
        </is>
      </c>
      <c r="G47" s="14" t="inlineStr">
        <is>
          <t>Tras un evento adverso con daño, la familia solicita explicaciones y el hospital debe definir su conducta institucional.</t>
        </is>
      </c>
      <c r="H47" s="14" t="inlineStr">
        <is>
          <t>La conducta correcta frente al paciente y su familia es:</t>
        </is>
      </c>
      <c r="I47" s="14" t="inlineStr">
        <is>
          <t>Evitar cualquier información hasta que termine la investigación</t>
        </is>
      </c>
      <c r="J47" s="14" t="inlineStr">
        <is>
          <t>Informar de manera oportuna, veraz y comprensible lo ocurrido, sin perjuicio del análisis institucional</t>
        </is>
      </c>
      <c r="K47" s="14" t="inlineStr">
        <is>
          <t>Ofrecer una compensación económica inmediata para cerrar el caso</t>
        </is>
      </c>
      <c r="L47" s="14" t="inlineStr">
        <is>
          <t>b</t>
        </is>
      </c>
      <c r="M47" s="14" t="inlineStr">
        <is>
          <t>El deber de información y la política de seguridad del paciente imponen comunicar lo ocurrido de forma oportuna y comprensible.</t>
        </is>
      </c>
      <c r="N47" s="14" t="inlineStr">
        <is>
          <t>La opción a) desconoce el derecho a la información y la c) sustituye el análisis y las instancias competentes por una transacción apresurada.</t>
        </is>
      </c>
      <c r="O47" s="14" t="inlineStr">
        <is>
          <t>Ley 1751 de 2015, art. 10; Política de Seguridad del Paciente</t>
        </is>
      </c>
      <c r="P47" s="14" t="inlineStr">
        <is>
          <t>SI</t>
        </is>
      </c>
      <c r="Q47" s="11" t="inlineStr">
        <is>
          <t>Basica</t>
        </is>
      </c>
      <c r="R47" s="11" t="inlineStr">
        <is>
          <t>repaso</t>
        </is>
      </c>
    </row>
    <row r="48" ht="23.25" customHeight="1" s="12">
      <c r="A48" s="14" t="inlineStr">
        <is>
          <t>F0047</t>
        </is>
      </c>
      <c r="B48" s="14" t="inlineStr">
        <is>
          <t>PS 2782 de 2026 - ESE 2 - HUHMP Neiva</t>
        </is>
      </c>
      <c r="C48" s="14" t="inlineStr">
        <is>
          <t>Seguridad del paciente</t>
        </is>
      </c>
      <c r="D48" s="14" t="inlineStr">
        <is>
          <t>Profesional</t>
        </is>
      </c>
      <c r="E48" s="14" t="inlineStr">
        <is>
          <t>C016</t>
        </is>
      </c>
      <c r="F48" s="14" t="inlineStr">
        <is>
          <t>Caso 016</t>
        </is>
      </c>
      <c r="G48" s="14" t="inlineStr">
        <is>
          <t>Tras un evento adverso con daño, la familia solicita explicaciones y el hospital debe definir su conducta institucional.</t>
        </is>
      </c>
      <c r="H48" s="14" t="inlineStr">
        <is>
          <t>La historia clínica del caso debe:</t>
        </is>
      </c>
      <c r="I48" s="14" t="inlineStr">
        <is>
          <t>Corregirse para eliminar la anotación del error</t>
        </is>
      </c>
      <c r="J48" s="14" t="inlineStr">
        <is>
          <t>Conservarse íntegra; las correcciones se hacen mediante nota aclaratoria sin borrar el registro original</t>
        </is>
      </c>
      <c r="K48" s="14" t="inlineStr">
        <is>
          <t>Reescribirse completa por el jefe de servicio</t>
        </is>
      </c>
      <c r="L48" s="14" t="inlineStr">
        <is>
          <t>b</t>
        </is>
      </c>
      <c r="M48" s="14" t="inlineStr">
        <is>
          <t>La historia clínica no admite enmendaduras ni supresiones: las precisiones se incorporan como notas aclaratorias que preservan el registro original.</t>
        </is>
      </c>
      <c r="N48" s="14" t="inlineStr">
        <is>
          <t>Las opciones a) y c) constituyen alteración de un documento y comprometen responsabilidad penal y disciplinaria.</t>
        </is>
      </c>
      <c r="O48" s="14" t="inlineStr">
        <is>
          <t>Resolución 1995 de 1999</t>
        </is>
      </c>
      <c r="P48" s="14" t="inlineStr">
        <is>
          <t>SI</t>
        </is>
      </c>
      <c r="Q48" s="11" t="inlineStr">
        <is>
          <t>Basica</t>
        </is>
      </c>
      <c r="R48" s="11" t="inlineStr">
        <is>
          <t>repaso</t>
        </is>
      </c>
    </row>
    <row r="49" ht="23.25" customHeight="1" s="12">
      <c r="A49" s="14" t="inlineStr">
        <is>
          <t>F0048</t>
        </is>
      </c>
      <c r="B49" s="14" t="inlineStr">
        <is>
          <t>PS 2782 de 2026 - ESE 2 - HUHMP Neiva</t>
        </is>
      </c>
      <c r="C49" s="14" t="inlineStr">
        <is>
          <t>Seguridad del paciente</t>
        </is>
      </c>
      <c r="D49" s="14" t="inlineStr">
        <is>
          <t>Profesional</t>
        </is>
      </c>
      <c r="E49" s="14" t="inlineStr">
        <is>
          <t>C016</t>
        </is>
      </c>
      <c r="F49" s="14" t="inlineStr">
        <is>
          <t>Caso 016</t>
        </is>
      </c>
      <c r="G49" s="14" t="inlineStr">
        <is>
          <t>Tras un evento adverso con daño, la familia solicita explicaciones y el hospital debe definir su conducta institucional.</t>
        </is>
      </c>
      <c r="H49" s="14" t="inlineStr">
        <is>
          <t>El seguimiento del plan de mejora derivado del evento corresponde a:</t>
        </is>
      </c>
      <c r="I49" s="14" t="inlineStr">
        <is>
          <t>Cerrarlo con la sola socialización al personal</t>
        </is>
      </c>
      <c r="J49" s="14" t="inlineStr">
        <is>
          <t>Verificar la implementación de las barreras y medir su efectividad en el tiempo</t>
        </is>
      </c>
      <c r="K49" s="14" t="inlineStr">
        <is>
          <t>Trasladarlo íntegramente a la EPS</t>
        </is>
      </c>
      <c r="L49" s="14" t="inlineStr">
        <is>
          <t>b</t>
        </is>
      </c>
      <c r="M49" s="14" t="inlineStr">
        <is>
          <t>El ciclo de mejoramiento exige verificar la implementación de las acciones y medir su efectividad, no solo divulgarlas.</t>
        </is>
      </c>
      <c r="N49" s="14" t="inlineStr">
        <is>
          <t>Las opciones a) y c) cierran el ciclo antes de comprobar que la barrera funciona.</t>
        </is>
      </c>
      <c r="O49" s="14" t="inlineStr">
        <is>
          <t>PAMEC, Decreto 780 de 2016</t>
        </is>
      </c>
      <c r="P49" s="14" t="inlineStr">
        <is>
          <t>SI</t>
        </is>
      </c>
      <c r="Q49" s="11" t="inlineStr">
        <is>
          <t>Basica</t>
        </is>
      </c>
      <c r="R49" s="11" t="inlineStr">
        <is>
          <t>repaso</t>
        </is>
      </c>
    </row>
    <row r="50" ht="34.5" customHeight="1" s="12">
      <c r="A50" s="14" t="inlineStr">
        <is>
          <t>F0049</t>
        </is>
      </c>
      <c r="B50" s="14" t="inlineStr">
        <is>
          <t>PS 2782 de 2026 - ESE 2 - HUHMP Neiva</t>
        </is>
      </c>
      <c r="C50" s="14" t="inlineStr">
        <is>
          <t>Historia clinica y proteccion de datos (Ley 1581 de 2012)</t>
        </is>
      </c>
      <c r="D50" s="14" t="inlineStr">
        <is>
          <t>Profesional</t>
        </is>
      </c>
      <c r="E50" s="14" t="inlineStr">
        <is>
          <t>C017</t>
        </is>
      </c>
      <c r="F50" s="14" t="inlineStr">
        <is>
          <t>Caso 017</t>
        </is>
      </c>
      <c r="G50" s="14" t="inlineStr">
        <is>
          <t>Un abogado solicita por escrito copia de la historia clínica de un paciente adulto, alegando que representa a la familia. No aporta autorización del paciente ni orden judicial.</t>
        </is>
      </c>
      <c r="H50" s="14" t="inlineStr">
        <is>
          <t>La regla general sobre la historia clínica es que:</t>
        </is>
      </c>
      <c r="I50" s="14" t="inlineStr">
        <is>
          <t>Es un documento público de libre consulta</t>
        </is>
      </c>
      <c r="J50" s="14" t="inlineStr">
        <is>
          <t>Es un documento privado, sometido a reserva, que solo puede conocerse por el usuario, el equipo de salud y las autoridades en los casos previstos</t>
        </is>
      </c>
      <c r="K50" s="14" t="inlineStr">
        <is>
          <t>Puede entregarse a cualquier familiar en primer grado</t>
        </is>
      </c>
      <c r="L50" s="14" t="inlineStr">
        <is>
          <t>b</t>
        </is>
      </c>
      <c r="M50" s="14" t="inlineStr">
        <is>
          <t>La historia clínica es un documento privado, obligatorio y sometido a reserva, y solo puede ser conocida por terceros previa autorización del usuario o en los casos previstos en la ley.</t>
        </is>
      </c>
      <c r="N50" s="14" t="inlineStr">
        <is>
          <t>La opción a) desconoce la reserva y la c) crea una excepción por parentesco que la norma no contempla para el paciente adulto capaz.</t>
        </is>
      </c>
      <c r="O50" s="14" t="inlineStr">
        <is>
          <t>Resolución 1995 de 1999, art. 14; Ley 23 de 1981, art. 34</t>
        </is>
      </c>
      <c r="P50" s="14" t="inlineStr">
        <is>
          <t>SI</t>
        </is>
      </c>
      <c r="Q50" s="11" t="inlineStr">
        <is>
          <t>Basica</t>
        </is>
      </c>
      <c r="R50" s="11" t="inlineStr">
        <is>
          <t>repaso</t>
        </is>
      </c>
    </row>
    <row r="51" ht="34.5" customHeight="1" s="12">
      <c r="A51" s="14" t="inlineStr">
        <is>
          <t>F0050</t>
        </is>
      </c>
      <c r="B51" s="14" t="inlineStr">
        <is>
          <t>PS 2782 de 2026 - ESE 2 - HUHMP Neiva</t>
        </is>
      </c>
      <c r="C51" s="14" t="inlineStr">
        <is>
          <t>Historia clinica y proteccion de datos (Ley 1581 de 2012)</t>
        </is>
      </c>
      <c r="D51" s="14" t="inlineStr">
        <is>
          <t>Profesional</t>
        </is>
      </c>
      <c r="E51" s="14" t="inlineStr">
        <is>
          <t>C017</t>
        </is>
      </c>
      <c r="F51" s="14" t="inlineStr">
        <is>
          <t>Caso 017</t>
        </is>
      </c>
      <c r="G51" s="14" t="inlineStr">
        <is>
          <t>Un abogado solicita por escrito copia de la historia clínica de un paciente adulto, alegando que representa a la familia. No aporta autorización del paciente ni orden judicial.</t>
        </is>
      </c>
      <c r="H51" s="14" t="inlineStr">
        <is>
          <t>Los datos de salud, en la Ley 1581 de 2012, se clasifican como:</t>
        </is>
      </c>
      <c r="I51" s="14" t="inlineStr">
        <is>
          <t>Datos públicos</t>
        </is>
      </c>
      <c r="J51" s="14" t="inlineStr">
        <is>
          <t>Datos sensibles, cuyo tratamiento está prohibido salvo las excepciones legales</t>
        </is>
      </c>
      <c r="K51" s="14" t="inlineStr">
        <is>
          <t>Datos semiprivados</t>
        </is>
      </c>
      <c r="L51" s="14" t="inlineStr">
        <is>
          <t>b</t>
        </is>
      </c>
      <c r="M51" s="14" t="inlineStr">
        <is>
          <t>Los datos relativos a la salud son datos sensibles y su tratamiento está prohibido, salvo las excepciones del artículo 6 de la Ley 1581 de 2012.</t>
        </is>
      </c>
      <c r="N51" s="14" t="inlineStr">
        <is>
          <t>Las opciones a) y c) rebajan el nivel de protección que la ley asigna a la información de salud.</t>
        </is>
      </c>
      <c r="O51" s="14" t="inlineStr">
        <is>
          <t>Ley 1581 de 2012, arts. 5 y 6</t>
        </is>
      </c>
      <c r="P51" s="14" t="inlineStr">
        <is>
          <t>SI</t>
        </is>
      </c>
      <c r="Q51" s="11" t="inlineStr">
        <is>
          <t>Basica</t>
        </is>
      </c>
      <c r="R51" s="11" t="inlineStr">
        <is>
          <t>repaso</t>
        </is>
      </c>
    </row>
    <row r="52" ht="34.5" customHeight="1" s="12">
      <c r="A52" s="14" t="inlineStr">
        <is>
          <t>F0051</t>
        </is>
      </c>
      <c r="B52" s="14" t="inlineStr">
        <is>
          <t>PS 2782 de 2026 - ESE 2 - HUHMP Neiva</t>
        </is>
      </c>
      <c r="C52" s="14" t="inlineStr">
        <is>
          <t>Historia clinica y proteccion de datos (Ley 1581 de 2012)</t>
        </is>
      </c>
      <c r="D52" s="14" t="inlineStr">
        <is>
          <t>Profesional</t>
        </is>
      </c>
      <c r="E52" s="14" t="inlineStr">
        <is>
          <t>C017</t>
        </is>
      </c>
      <c r="F52" s="14" t="inlineStr">
        <is>
          <t>Caso 017</t>
        </is>
      </c>
      <c r="G52" s="14" t="inlineStr">
        <is>
          <t>Un abogado solicita por escrito copia de la historia clínica de un paciente adulto, alegando que representa a la familia. No aporta autorización del paciente ni orden judicial.</t>
        </is>
      </c>
      <c r="H52" s="14" t="inlineStr">
        <is>
          <t>La respuesta institucional adecuada al abogado es:</t>
        </is>
      </c>
      <c r="I52" s="14" t="inlineStr">
        <is>
          <t>Entregar la copia porque actúa como apoderado de la familia</t>
        </is>
      </c>
      <c r="J52" s="14" t="inlineStr">
        <is>
          <t>Negar la entrega e informar los requisitos: autorización expresa del titular, poder específico u orden de autoridad competente</t>
        </is>
      </c>
      <c r="K52" s="14" t="inlineStr">
        <is>
          <t>Entregar un resumen sin diagnósticos</t>
        </is>
      </c>
      <c r="L52" s="14" t="inlineStr">
        <is>
          <t>b</t>
        </is>
      </c>
      <c r="M52" s="14" t="inlineStr">
        <is>
          <t>Sin autorización del titular o requerimiento de autoridad competente no procede la entrega; la respuesta debe indicar el requisito faltante.</t>
        </is>
      </c>
      <c r="N52" s="14" t="inlineStr">
        <is>
          <t>La opción a) traslada al abogado una legitimación que no acreditó y la c) entrega información reservada de forma parcial, que sigue siendo reserva.</t>
        </is>
      </c>
      <c r="O52" s="14" t="inlineStr">
        <is>
          <t>Resolución 1995 de 1999; Ley 1581 de 2012</t>
        </is>
      </c>
      <c r="P52" s="14" t="inlineStr">
        <is>
          <t>SI</t>
        </is>
      </c>
      <c r="Q52" s="11" t="inlineStr">
        <is>
          <t>Basica</t>
        </is>
      </c>
      <c r="R52" s="11" t="inlineStr">
        <is>
          <t>repaso</t>
        </is>
      </c>
    </row>
    <row r="53" ht="23.25" customHeight="1" s="12">
      <c r="A53" s="14" t="inlineStr">
        <is>
          <t>F0052</t>
        </is>
      </c>
      <c r="B53" s="14" t="inlineStr">
        <is>
          <t>PS 2782 de 2026 - ESE 2 - HUHMP Neiva</t>
        </is>
      </c>
      <c r="C53" s="14" t="inlineStr">
        <is>
          <t>Historia clinica y proteccion de datos (Ley 1581 de 2012)</t>
        </is>
      </c>
      <c r="D53" s="14" t="inlineStr">
        <is>
          <t>Técnico</t>
        </is>
      </c>
      <c r="E53" s="14" t="inlineStr">
        <is>
          <t>C018</t>
        </is>
      </c>
      <c r="F53" s="14" t="inlineStr">
        <is>
          <t>Caso 018</t>
        </is>
      </c>
      <c r="G53" s="14" t="inlineStr">
        <is>
          <t>El auxiliar del archivo clínico organiza la conservación de historias clínicas y recibe la instrucción de depurar carpetas antiguas para liberar espacio.</t>
        </is>
      </c>
      <c r="H53" s="14" t="inlineStr">
        <is>
          <t>El tiempo mínimo de retención de la historia clínica es de:</t>
        </is>
      </c>
      <c r="I53" s="14" t="inlineStr">
        <is>
          <t>Cinco (5) años desde la última atención</t>
        </is>
      </c>
      <c r="J53" s="14" t="inlineStr">
        <is>
          <t>Quince (15) años contados desde la fecha de la última atención</t>
        </is>
      </c>
      <c r="K53" s="14" t="inlineStr">
        <is>
          <t>Diez (10) años desde la apertura</t>
        </is>
      </c>
      <c r="L53" s="14" t="inlineStr">
        <is>
          <t>b</t>
        </is>
      </c>
      <c r="M53" s="14" t="inlineStr">
        <is>
          <t>La normativa vigente fija en quince años el término mínimo de retención de la historia clínica, contados desde la última atención.</t>
        </is>
      </c>
      <c r="N53" s="14" t="inlineStr">
        <is>
          <t>Las opciones a) y c) toman parte del término o cambian el hecho desde el cual se cuenta.</t>
        </is>
      </c>
      <c r="O53" s="14" t="inlineStr">
        <is>
          <t>Resolución 1995 de 1999, modificada por la Resolución 839 de 2017</t>
        </is>
      </c>
      <c r="P53" s="14" t="inlineStr">
        <is>
          <t>SI</t>
        </is>
      </c>
      <c r="Q53" s="11" t="inlineStr">
        <is>
          <t>Basica</t>
        </is>
      </c>
      <c r="R53" s="11" t="inlineStr">
        <is>
          <t>repaso</t>
        </is>
      </c>
    </row>
    <row r="54" ht="23.25" customHeight="1" s="12">
      <c r="A54" s="14" t="inlineStr">
        <is>
          <t>F0053</t>
        </is>
      </c>
      <c r="B54" s="14" t="inlineStr">
        <is>
          <t>PS 2782 de 2026 - ESE 2 - HUHMP Neiva</t>
        </is>
      </c>
      <c r="C54" s="14" t="inlineStr">
        <is>
          <t>Historia clinica y proteccion de datos (Ley 1581 de 2012)</t>
        </is>
      </c>
      <c r="D54" s="14" t="inlineStr">
        <is>
          <t>Técnico</t>
        </is>
      </c>
      <c r="E54" s="14" t="inlineStr">
        <is>
          <t>C018</t>
        </is>
      </c>
      <c r="F54" s="14" t="inlineStr">
        <is>
          <t>Caso 018</t>
        </is>
      </c>
      <c r="G54" s="14" t="inlineStr">
        <is>
          <t>El auxiliar del archivo clínico organiza la conservación de historias clínicas y recibe la instrucción de depurar carpetas antiguas para liberar espacio.</t>
        </is>
      </c>
      <c r="H54" s="14" t="inlineStr">
        <is>
          <t>Las características de la historia clínica son:</t>
        </is>
      </c>
      <c r="I54" s="14" t="inlineStr">
        <is>
          <t>Integralidad, secuencialidad, racionalidad científica, disponibilidad y oportunidad</t>
        </is>
      </c>
      <c r="J54" s="14" t="inlineStr">
        <is>
          <t>Publicidad, gratuidad y celeridad</t>
        </is>
      </c>
      <c r="K54" s="14" t="inlineStr">
        <is>
          <t>Economía, eficacia y eficiencia</t>
        </is>
      </c>
      <c r="L54" s="14" t="inlineStr">
        <is>
          <t>a</t>
        </is>
      </c>
      <c r="M54" s="14" t="inlineStr">
        <is>
          <t>El artículo 3 de la Resolución 1995 de 1999 enuncia integralidad, secuencialidad, racionalidad científica, disponibilidad y oportunidad.</t>
        </is>
      </c>
      <c r="N54" s="14" t="inlineStr">
        <is>
          <t>Las opciones b) y c) enuncian principios de la actuación administrativa, no características del registro clínico.</t>
        </is>
      </c>
      <c r="O54" s="14" t="inlineStr">
        <is>
          <t>Resolución 1995 de 1999, art. 3</t>
        </is>
      </c>
      <c r="P54" s="14" t="inlineStr">
        <is>
          <t>SI</t>
        </is>
      </c>
      <c r="Q54" s="11" t="inlineStr">
        <is>
          <t>Basica</t>
        </is>
      </c>
      <c r="R54" s="11" t="inlineStr">
        <is>
          <t>repaso</t>
        </is>
      </c>
    </row>
    <row r="55" ht="34.5" customHeight="1" s="12">
      <c r="A55" s="14" t="inlineStr">
        <is>
          <t>F0054</t>
        </is>
      </c>
      <c r="B55" s="14" t="inlineStr">
        <is>
          <t>PS 2782 de 2026 - ESE 2 - HUHMP Neiva</t>
        </is>
      </c>
      <c r="C55" s="14" t="inlineStr">
        <is>
          <t>Historia clinica y proteccion de datos (Ley 1581 de 2012)</t>
        </is>
      </c>
      <c r="D55" s="14" t="inlineStr">
        <is>
          <t>Técnico</t>
        </is>
      </c>
      <c r="E55" s="14" t="inlineStr">
        <is>
          <t>C018</t>
        </is>
      </c>
      <c r="F55" s="14" t="inlineStr">
        <is>
          <t>Caso 018</t>
        </is>
      </c>
      <c r="G55" s="14" t="inlineStr">
        <is>
          <t>El auxiliar del archivo clínico organiza la conservación de historias clínicas y recibe la instrucción de depurar carpetas antiguas para liberar espacio.</t>
        </is>
      </c>
      <c r="H55" s="14" t="inlineStr">
        <is>
          <t>Antes de eliminar cualquier documento del archivo clínico se requiere:</t>
        </is>
      </c>
      <c r="I55" s="14" t="inlineStr">
        <is>
          <t>Autorización verbal del jefe inmediato</t>
        </is>
      </c>
      <c r="J55" s="14" t="inlineStr">
        <is>
          <t>Aplicar las tablas de retención documental y el procedimiento del comité de archivo, respetando los términos legales</t>
        </is>
      </c>
      <c r="K55" s="14" t="inlineStr">
        <is>
          <t>Solicitud escrita del paciente</t>
        </is>
      </c>
      <c r="L55" s="14" t="inlineStr">
        <is>
          <t>b</t>
        </is>
      </c>
      <c r="M55" s="14" t="inlineStr">
        <is>
          <t>La eliminación documental procede únicamente con sujeción a las tablas de retención y al procedimiento del comité institucional de archivo.</t>
        </is>
      </c>
      <c r="N55" s="14" t="inlineStr">
        <is>
          <t>Las opciones a) y c) omiten el instrumento archivístico y pueden dar lugar a pérdida irreparable de información clínica.</t>
        </is>
      </c>
      <c r="O55" s="14" t="inlineStr">
        <is>
          <t>Ley 594 de 2000; Resolución 839 de 2017</t>
        </is>
      </c>
      <c r="P55" s="14" t="inlineStr">
        <is>
          <t>SI</t>
        </is>
      </c>
      <c r="Q55" s="11" t="inlineStr">
        <is>
          <t>Basica</t>
        </is>
      </c>
      <c r="R55" s="11" t="inlineStr">
        <is>
          <t>repaso</t>
        </is>
      </c>
    </row>
    <row r="56" ht="34.5" customHeight="1" s="12">
      <c r="A56" s="14" t="inlineStr">
        <is>
          <t>F0055</t>
        </is>
      </c>
      <c r="B56" s="14" t="inlineStr">
        <is>
          <t>PS 2782 de 2026 - ESE 2 - HUHMP Neiva</t>
        </is>
      </c>
      <c r="C56" s="14" t="inlineStr">
        <is>
          <t>Historia clinica y proteccion de datos (Ley 1581 de 2012)</t>
        </is>
      </c>
      <c r="D56" s="14" t="inlineStr">
        <is>
          <t>Profesional</t>
        </is>
      </c>
      <c r="E56" s="14" t="inlineStr">
        <is>
          <t>C019</t>
        </is>
      </c>
      <c r="F56" s="14" t="inlineStr">
        <is>
          <t>Caso 019</t>
        </is>
      </c>
      <c r="G56" s="14" t="inlineStr">
        <is>
          <t>El hospital implementará un tablero con datos de pacientes para un proyecto de investigación con una universidad.</t>
        </is>
      </c>
      <c r="H56" s="14" t="inlineStr">
        <is>
          <t>El tratamiento de datos de salud con fines de investigación exige:</t>
        </is>
      </c>
      <c r="I56" s="14" t="inlineStr">
        <is>
          <t>Autorización previa, expresa e informada del titular, salvo excepción legal, y medidas de anonimización o seudonimización</t>
        </is>
      </c>
      <c r="J56" s="14" t="inlineStr">
        <is>
          <t>Solo el visto bueno del comité de compras</t>
        </is>
      </c>
      <c r="K56" s="14" t="inlineStr">
        <is>
          <t>Nada, si los datos quedan dentro del hospital</t>
        </is>
      </c>
      <c r="L56" s="14" t="inlineStr">
        <is>
          <t>a</t>
        </is>
      </c>
      <c r="M56" s="14" t="inlineStr">
        <is>
          <t>El tratamiento de datos sensibles exige autorización previa, expresa e informada del titular y medidas técnicas que reduzcan el riesgo de identificación.</t>
        </is>
      </c>
      <c r="N56" s="14" t="inlineStr">
        <is>
          <t>Las opciones b) y c) omiten el consentimiento del titular y las garantías exigidas por la ley de protección de datos.</t>
        </is>
      </c>
      <c r="O56" s="14" t="inlineStr">
        <is>
          <t>Ley 1581 de 2012; Decreto 1377 de 2013</t>
        </is>
      </c>
      <c r="P56" s="14" t="inlineStr">
        <is>
          <t>SI</t>
        </is>
      </c>
      <c r="Q56" s="11" t="inlineStr">
        <is>
          <t>Basica</t>
        </is>
      </c>
      <c r="R56" s="11" t="inlineStr">
        <is>
          <t>repaso</t>
        </is>
      </c>
    </row>
    <row r="57" ht="34.5" customHeight="1" s="12">
      <c r="A57" s="14" t="inlineStr">
        <is>
          <t>F0056</t>
        </is>
      </c>
      <c r="B57" s="14" t="inlineStr">
        <is>
          <t>PS 2782 de 2026 - ESE 2 - HUHMP Neiva</t>
        </is>
      </c>
      <c r="C57" s="14" t="inlineStr">
        <is>
          <t>Historia clinica y proteccion de datos (Ley 1581 de 2012)</t>
        </is>
      </c>
      <c r="D57" s="14" t="inlineStr">
        <is>
          <t>Profesional</t>
        </is>
      </c>
      <c r="E57" s="14" t="inlineStr">
        <is>
          <t>C019</t>
        </is>
      </c>
      <c r="F57" s="14" t="inlineStr">
        <is>
          <t>Caso 019</t>
        </is>
      </c>
      <c r="G57" s="14" t="inlineStr">
        <is>
          <t>El hospital implementará un tablero con datos de pacientes para un proyecto de investigación con una universidad.</t>
        </is>
      </c>
      <c r="H57" s="14" t="inlineStr">
        <is>
          <t>El responsable del tratamiento debe garantizar al titular los derechos de:</t>
        </is>
      </c>
      <c r="I57" s="14" t="inlineStr">
        <is>
          <t>Conocer, actualizar, rectificar y solicitar prueba de la autorización</t>
        </is>
      </c>
      <c r="J57" s="14" t="inlineStr">
        <is>
          <t>Vender y ceder libremente sus datos</t>
        </is>
      </c>
      <c r="K57" s="14" t="inlineStr">
        <is>
          <t>Publicar sus datos en el sitio web institucional</t>
        </is>
      </c>
      <c r="L57" s="14" t="inlineStr">
        <is>
          <t>a</t>
        </is>
      </c>
      <c r="M57" s="14" t="inlineStr">
        <is>
          <t>El artículo 8 de la Ley 1581 de 2012 reconoce al titular los derechos de conocer, actualizar, rectificar, revocar la autorización y solicitar prueba de esta.</t>
        </is>
      </c>
      <c r="N57" s="14" t="inlineStr">
        <is>
          <t>Las opciones b) y c) describen actuaciones que vulneran la finalidad y la seguridad del tratamiento.</t>
        </is>
      </c>
      <c r="O57" s="14" t="inlineStr">
        <is>
          <t>Ley 1581 de 2012, art. 8</t>
        </is>
      </c>
      <c r="P57" s="14" t="inlineStr">
        <is>
          <t>SI</t>
        </is>
      </c>
      <c r="Q57" s="11" t="inlineStr">
        <is>
          <t>Basica</t>
        </is>
      </c>
      <c r="R57" s="11" t="inlineStr">
        <is>
          <t>repaso</t>
        </is>
      </c>
    </row>
    <row r="58" ht="34.5" customHeight="1" s="12">
      <c r="A58" s="14" t="inlineStr">
        <is>
          <t>F0057</t>
        </is>
      </c>
      <c r="B58" s="14" t="inlineStr">
        <is>
          <t>PS 2782 de 2026 - ESE 2 - HUHMP Neiva</t>
        </is>
      </c>
      <c r="C58" s="14" t="inlineStr">
        <is>
          <t>Historia clinica y proteccion de datos (Ley 1581 de 2012)</t>
        </is>
      </c>
      <c r="D58" s="14" t="inlineStr">
        <is>
          <t>Profesional</t>
        </is>
      </c>
      <c r="E58" s="14" t="inlineStr">
        <is>
          <t>C019</t>
        </is>
      </c>
      <c r="F58" s="14" t="inlineStr">
        <is>
          <t>Caso 019</t>
        </is>
      </c>
      <c r="G58" s="14" t="inlineStr">
        <is>
          <t>El hospital implementará un tablero con datos de pacientes para un proyecto de investigación con una universidad.</t>
        </is>
      </c>
      <c r="H58" s="14" t="inlineStr">
        <is>
          <t>Ante un incidente de seguridad que afecte datos personales, corresponde:</t>
        </is>
      </c>
      <c r="I58" s="14" t="inlineStr">
        <is>
          <t>Informar a la Superintendencia de Industria y Comercio y adoptar medidas correctivas</t>
        </is>
      </c>
      <c r="J58" s="14" t="inlineStr">
        <is>
          <t>Esperar a que el titular reclame</t>
        </is>
      </c>
      <c r="K58" s="14" t="inlineStr">
        <is>
          <t>Reportarlo únicamente al proveedor del software</t>
        </is>
      </c>
      <c r="L58" s="14" t="inlineStr">
        <is>
          <t>a</t>
        </is>
      </c>
      <c r="M58" s="14" t="inlineStr">
        <is>
          <t>El responsable debe informar a la autoridad de protección de datos las violaciones a los códigos de seguridad y los riesgos en la administración de la información, además de corregir la causa.</t>
        </is>
      </c>
      <c r="N58" s="14" t="inlineStr">
        <is>
          <t>Las opciones b) y c) omiten el deber legal de reporte a la autoridad competente.</t>
        </is>
      </c>
      <c r="O58" s="14" t="inlineStr">
        <is>
          <t>Ley 1581 de 2012, art. 17</t>
        </is>
      </c>
      <c r="P58" s="14" t="inlineStr">
        <is>
          <t>SI</t>
        </is>
      </c>
      <c r="Q58" s="11" t="inlineStr">
        <is>
          <t>Basica</t>
        </is>
      </c>
      <c r="R58" s="11" t="inlineStr">
        <is>
          <t>repaso</t>
        </is>
      </c>
    </row>
    <row r="59" ht="34.5" customHeight="1" s="12">
      <c r="A59" s="14" t="inlineStr">
        <is>
          <t>F0058</t>
        </is>
      </c>
      <c r="B59" s="14" t="inlineStr">
        <is>
          <t>PS 2782 de 2026 - ESE 2 - HUHMP Neiva</t>
        </is>
      </c>
      <c r="C59" s="14" t="inlineStr">
        <is>
          <t>Historia clinica y proteccion de datos (Ley 1581 de 2012)</t>
        </is>
      </c>
      <c r="D59" s="14" t="inlineStr">
        <is>
          <t>Técnico</t>
        </is>
      </c>
      <c r="E59" s="14" t="inlineStr">
        <is>
          <t>C020</t>
        </is>
      </c>
      <c r="F59" s="14" t="inlineStr">
        <is>
          <t>Caso 020</t>
        </is>
      </c>
      <c r="G59" s="14" t="inlineStr">
        <is>
          <t>Un funcionario consulta en el sistema la historia clínica de una persona conocida que no está bajo su cuidado, por curiosidad.</t>
        </is>
      </c>
      <c r="H59" s="14" t="inlineStr">
        <is>
          <t>Esa conducta constituye:</t>
        </is>
      </c>
      <c r="I59" s="14" t="inlineStr">
        <is>
          <t>Un uso indebido de información reservada, con consecuencias disciplinarias y eventualmente penales</t>
        </is>
      </c>
      <c r="J59" s="14" t="inlineStr">
        <is>
          <t>Una práctica admisible si no divulga la información</t>
        </is>
      </c>
      <c r="K59" s="14" t="inlineStr">
        <is>
          <t>Una falta solo si el paciente se entera</t>
        </is>
      </c>
      <c r="L59" s="14" t="inlineStr">
        <is>
          <t>a</t>
        </is>
      </c>
      <c r="M59" s="14" t="inlineStr">
        <is>
          <t>El acceso a la historia clínica está limitado a quienes intervienen en la atención; consultarla sin esa finalidad vulnera la reserva y compromete responsabilidad.</t>
        </is>
      </c>
      <c r="N59" s="14" t="inlineStr">
        <is>
          <t>Las opciones b) y c) condicionan la falta a la divulgación o al conocimiento del afectado, cuando la vulneración se consuma con el acceso indebido.</t>
        </is>
      </c>
      <c r="O59" s="14" t="inlineStr">
        <is>
          <t>Resolución 1995 de 1999; Ley 1952 de 2019</t>
        </is>
      </c>
      <c r="P59" s="14" t="inlineStr">
        <is>
          <t>SI</t>
        </is>
      </c>
      <c r="Q59" s="11" t="inlineStr">
        <is>
          <t>Basica</t>
        </is>
      </c>
      <c r="R59" s="11" t="inlineStr">
        <is>
          <t>repaso</t>
        </is>
      </c>
    </row>
    <row r="60" ht="23.25" customHeight="1" s="12">
      <c r="A60" s="14" t="inlineStr">
        <is>
          <t>F0059</t>
        </is>
      </c>
      <c r="B60" s="14" t="inlineStr">
        <is>
          <t>PS 2782 de 2026 - ESE 2 - HUHMP Neiva</t>
        </is>
      </c>
      <c r="C60" s="14" t="inlineStr">
        <is>
          <t>Historia clinica y proteccion de datos (Ley 1581 de 2012)</t>
        </is>
      </c>
      <c r="D60" s="14" t="inlineStr">
        <is>
          <t>Técnico</t>
        </is>
      </c>
      <c r="E60" s="14" t="inlineStr">
        <is>
          <t>C020</t>
        </is>
      </c>
      <c r="F60" s="14" t="inlineStr">
        <is>
          <t>Caso 020</t>
        </is>
      </c>
      <c r="G60" s="14" t="inlineStr">
        <is>
          <t>Un funcionario consulta en el sistema la historia clínica de una persona conocida que no está bajo su cuidado, por curiosidad.</t>
        </is>
      </c>
      <c r="H60" s="14" t="inlineStr">
        <is>
          <t>La trazabilidad de los accesos en la historia clínica electrónica sirve para:</t>
        </is>
      </c>
      <c r="I60" s="14" t="inlineStr">
        <is>
          <t>Auditar quién consultó y modificó la información y cuándo</t>
        </is>
      </c>
      <c r="J60" s="14" t="inlineStr">
        <is>
          <t>Acelerar la facturación</t>
        </is>
      </c>
      <c r="K60" s="14" t="inlineStr">
        <is>
          <t>Reemplazar las copias de seguridad</t>
        </is>
      </c>
      <c r="L60" s="14" t="inlineStr">
        <is>
          <t>a</t>
        </is>
      </c>
      <c r="M60" s="14" t="inlineStr">
        <is>
          <t>Los registros de auditoría permiten establecer la trazabilidad de consultas y modificaciones, garantía esencial de confidencialidad e integridad.</t>
        </is>
      </c>
      <c r="N60" s="14" t="inlineStr">
        <is>
          <t>Las opciones b) y c) atribuyen a la trazabilidad funciones administrativas o de respaldo que no cumple.</t>
        </is>
      </c>
      <c r="O60" s="14" t="inlineStr">
        <is>
          <t>Ley 2015 de 2020; Ley 1581 de 2012</t>
        </is>
      </c>
      <c r="P60" s="14" t="inlineStr">
        <is>
          <t>SI</t>
        </is>
      </c>
      <c r="Q60" s="11" t="inlineStr">
        <is>
          <t>Basica</t>
        </is>
      </c>
      <c r="R60" s="11" t="inlineStr">
        <is>
          <t>repaso</t>
        </is>
      </c>
    </row>
    <row r="61" ht="23.25" customHeight="1" s="12">
      <c r="A61" s="14" t="inlineStr">
        <is>
          <t>F0060</t>
        </is>
      </c>
      <c r="B61" s="14" t="inlineStr">
        <is>
          <t>PS 2782 de 2026 - ESE 2 - HUHMP Neiva</t>
        </is>
      </c>
      <c r="C61" s="14" t="inlineStr">
        <is>
          <t>Historia clinica y proteccion de datos (Ley 1581 de 2012)</t>
        </is>
      </c>
      <c r="D61" s="14" t="inlineStr">
        <is>
          <t>Técnico</t>
        </is>
      </c>
      <c r="E61" s="14" t="inlineStr">
        <is>
          <t>C020</t>
        </is>
      </c>
      <c r="F61" s="14" t="inlineStr">
        <is>
          <t>Caso 020</t>
        </is>
      </c>
      <c r="G61" s="14" t="inlineStr">
        <is>
          <t>Un funcionario consulta en el sistema la historia clínica de una persona conocida que no está bajo su cuidado, por curiosidad.</t>
        </is>
      </c>
      <c r="H61" s="14" t="inlineStr">
        <is>
          <t>La custodia de la historia clínica corresponde a:</t>
        </is>
      </c>
      <c r="I61" s="14" t="inlineStr">
        <is>
          <t>El paciente</t>
        </is>
      </c>
      <c r="J61" s="14" t="inlineStr">
        <is>
          <t>El prestador de servicios de salud que la generó</t>
        </is>
      </c>
      <c r="K61" s="14" t="inlineStr">
        <is>
          <t>La EPS del usuario</t>
        </is>
      </c>
      <c r="L61" s="14" t="inlineStr">
        <is>
          <t>b</t>
        </is>
      </c>
      <c r="M61" s="14" t="inlineStr">
        <is>
          <t>La custodia de la historia clínica está a cargo del prestador que la generó, sin perjuicio del derecho del usuario a obtener copia.</t>
        </is>
      </c>
      <c r="N61" s="14" t="inlineStr">
        <is>
          <t>Las opciones a) y c) confunden la titularidad de la información con la custodia del documento.</t>
        </is>
      </c>
      <c r="O61" s="14" t="inlineStr">
        <is>
          <t>Resolución 1995 de 1999, art. 13</t>
        </is>
      </c>
      <c r="P61" s="14" t="inlineStr">
        <is>
          <t>SI</t>
        </is>
      </c>
      <c r="Q61" s="11" t="inlineStr">
        <is>
          <t>Basica</t>
        </is>
      </c>
      <c r="R61" s="11" t="inlineStr">
        <is>
          <t>repaso</t>
        </is>
      </c>
    </row>
    <row r="62" ht="34.5" customHeight="1" s="12">
      <c r="A62" s="14" t="inlineStr">
        <is>
          <t>F0061</t>
        </is>
      </c>
      <c r="B62" s="14" t="inlineStr">
        <is>
          <t>PS 2782 de 2026 - ESE 2 - HUHMP Neiva</t>
        </is>
      </c>
      <c r="C62" s="14" t="inlineStr">
        <is>
          <t>Humanizacion y derechos del paciente</t>
        </is>
      </c>
      <c r="D62" s="14" t="inlineStr">
        <is>
          <t>Profesional</t>
        </is>
      </c>
      <c r="E62" s="14" t="inlineStr">
        <is>
          <t>C021</t>
        </is>
      </c>
      <c r="F62" s="14" t="inlineStr">
        <is>
          <t>Caso 021</t>
        </is>
      </c>
      <c r="G62" s="14" t="inlineStr">
        <is>
          <t>Una usuaria presenta queja por trato indigno durante su atención y por no haber recibido información sobre su procedimiento.</t>
        </is>
      </c>
      <c r="H62" s="14" t="inlineStr">
        <is>
          <t>El trámite institucional apropiado es:</t>
        </is>
      </c>
      <c r="I62" s="14" t="inlineStr">
        <is>
          <t>Archivar la queja por no aportar pruebas</t>
        </is>
      </c>
      <c r="J62" s="14" t="inlineStr">
        <is>
          <t>Tramitarla por el SIAU, dar respuesta de fondo dentro del término legal y generar acciones de mejora</t>
        </is>
      </c>
      <c r="K62" s="14" t="inlineStr">
        <is>
          <t>Remitirla a la EPS por competencia</t>
        </is>
      </c>
      <c r="L62" s="14" t="inlineStr">
        <is>
          <t>b</t>
        </is>
      </c>
      <c r="M62" s="14" t="inlineStr">
        <is>
          <t>La queja se atiende por el sistema de información y atención al usuario, con respuesta de fondo dentro del término del derecho de petición y acciones de mejora derivadas.</t>
        </is>
      </c>
      <c r="N62" s="14" t="inlineStr">
        <is>
          <t>La opción a) exige una carga probatoria improcedente y la c) traslada una competencia que es del prestador.</t>
        </is>
      </c>
      <c r="O62" s="14" t="inlineStr">
        <is>
          <t>Ley 1122 de 2007; Ley 1755 de 2015</t>
        </is>
      </c>
      <c r="P62" s="14" t="inlineStr">
        <is>
          <t>SI</t>
        </is>
      </c>
      <c r="Q62" s="11" t="inlineStr">
        <is>
          <t>Basica</t>
        </is>
      </c>
      <c r="R62" s="11" t="inlineStr">
        <is>
          <t>repaso</t>
        </is>
      </c>
    </row>
    <row r="63" ht="34.5" customHeight="1" s="12">
      <c r="A63" s="14" t="inlineStr">
        <is>
          <t>F0062</t>
        </is>
      </c>
      <c r="B63" s="14" t="inlineStr">
        <is>
          <t>PS 2782 de 2026 - ESE 2 - HUHMP Neiva</t>
        </is>
      </c>
      <c r="C63" s="14" t="inlineStr">
        <is>
          <t>Humanizacion y derechos del paciente</t>
        </is>
      </c>
      <c r="D63" s="14" t="inlineStr">
        <is>
          <t>Profesional</t>
        </is>
      </c>
      <c r="E63" s="14" t="inlineStr">
        <is>
          <t>C021</t>
        </is>
      </c>
      <c r="F63" s="14" t="inlineStr">
        <is>
          <t>Caso 021</t>
        </is>
      </c>
      <c r="G63" s="14" t="inlineStr">
        <is>
          <t>Una usuaria presenta queja por trato indigno durante su atención y por no haber recibido información sobre su procedimiento.</t>
        </is>
      </c>
      <c r="H63" s="14" t="inlineStr">
        <is>
          <t>La humanización de la atención implica, entre otros:</t>
        </is>
      </c>
      <c r="I63" s="14" t="inlineStr">
        <is>
          <t>Reducir los tiempos de espera sin considerar la información al paciente</t>
        </is>
      </c>
      <c r="J63" s="14" t="inlineStr">
        <is>
          <t>Trato digno, información comprensible, respeto por la intimidad y participación del usuario en las decisiones</t>
        </is>
      </c>
      <c r="K63" s="14" t="inlineStr">
        <is>
          <t>Limitar el acompañamiento familiar en todos los servicios</t>
        </is>
      </c>
      <c r="L63" s="14" t="inlineStr">
        <is>
          <t>b</t>
        </is>
      </c>
      <c r="M63" s="14" t="inlineStr">
        <is>
          <t>La humanización se expresa en el trato digno, la información comprensible, el respeto por la intimidad y la participación del usuario en las decisiones sobre su salud.</t>
        </is>
      </c>
      <c r="N63" s="14" t="inlineStr">
        <is>
          <t>Las opciones a) y c) sacrifican dimensiones del trato digno y del acompañamiento que forman parte del estándar.</t>
        </is>
      </c>
      <c r="O63" s="14" t="inlineStr">
        <is>
          <t>Resolución 13437 de 1991; Ley 1751 de 2015, art. 10</t>
        </is>
      </c>
      <c r="P63" s="14" t="inlineStr">
        <is>
          <t>SI</t>
        </is>
      </c>
      <c r="Q63" s="11" t="inlineStr">
        <is>
          <t>Basica</t>
        </is>
      </c>
      <c r="R63" s="11" t="inlineStr">
        <is>
          <t>repaso</t>
        </is>
      </c>
    </row>
    <row r="64" ht="34.5" customHeight="1" s="12">
      <c r="A64" s="14" t="inlineStr">
        <is>
          <t>F0063</t>
        </is>
      </c>
      <c r="B64" s="14" t="inlineStr">
        <is>
          <t>PS 2782 de 2026 - ESE 2 - HUHMP Neiva</t>
        </is>
      </c>
      <c r="C64" s="14" t="inlineStr">
        <is>
          <t>Humanizacion y derechos del paciente</t>
        </is>
      </c>
      <c r="D64" s="14" t="inlineStr">
        <is>
          <t>Profesional</t>
        </is>
      </c>
      <c r="E64" s="14" t="inlineStr">
        <is>
          <t>C021</t>
        </is>
      </c>
      <c r="F64" s="14" t="inlineStr">
        <is>
          <t>Caso 021</t>
        </is>
      </c>
      <c r="G64" s="14" t="inlineStr">
        <is>
          <t>Una usuaria presenta queja por trato indigno durante su atención y por no haber recibido información sobre su procedimiento.</t>
        </is>
      </c>
      <c r="H64" s="14" t="inlineStr">
        <is>
          <t>Las asociaciones de usuarios en la E.S.E. tienen como función:</t>
        </is>
      </c>
      <c r="I64" s="14" t="inlineStr">
        <is>
          <t>Administrar los recursos del hospital</t>
        </is>
      </c>
      <c r="J64" s="14" t="inlineStr">
        <is>
          <t>Participar en las instancias de deliberación y velar por la calidad del servicio</t>
        </is>
      </c>
      <c r="K64" s="14" t="inlineStr">
        <is>
          <t>Autorizar los servicios de los afiliados</t>
        </is>
      </c>
      <c r="L64" s="14" t="inlineStr">
        <is>
          <t>b</t>
        </is>
      </c>
      <c r="M64" s="14" t="inlineStr">
        <is>
          <t>Las asociaciones o alianzas de usuarios participan en las juntas directivas y en los espacios de deliberación, y ejercen veeduría sobre la calidad del servicio.</t>
        </is>
      </c>
      <c r="N64" s="14" t="inlineStr">
        <is>
          <t>Las opciones a) y c) atribuyen funciones de gestión o de aseguramiento que no les corresponden.</t>
        </is>
      </c>
      <c r="O64" s="14" t="inlineStr">
        <is>
          <t>Decreto 1757 de 1994; Decreto 780 de 2016</t>
        </is>
      </c>
      <c r="P64" s="14" t="inlineStr">
        <is>
          <t>SI</t>
        </is>
      </c>
      <c r="Q64" s="11" t="inlineStr">
        <is>
          <t>Basica</t>
        </is>
      </c>
      <c r="R64" s="11" t="inlineStr">
        <is>
          <t>repaso</t>
        </is>
      </c>
    </row>
    <row r="65" ht="23.25" customHeight="1" s="12">
      <c r="A65" s="14" t="inlineStr">
        <is>
          <t>F0064</t>
        </is>
      </c>
      <c r="B65" s="14" t="inlineStr">
        <is>
          <t>PS 2782 de 2026 - ESE 2 - HUHMP Neiva</t>
        </is>
      </c>
      <c r="C65" s="14" t="inlineStr">
        <is>
          <t>Humanizacion y derechos del paciente</t>
        </is>
      </c>
      <c r="D65" s="14" t="inlineStr">
        <is>
          <t>Técnico</t>
        </is>
      </c>
      <c r="E65" s="14" t="inlineStr">
        <is>
          <t>C022</t>
        </is>
      </c>
      <c r="F65" s="14" t="inlineStr">
        <is>
          <t>Caso 022</t>
        </is>
      </c>
      <c r="G65" s="14" t="inlineStr">
        <is>
          <t>En la ventanilla de atención al usuario llega una persona mayor con discapacidad auditiva y su acompañante.</t>
        </is>
      </c>
      <c r="H65" s="14" t="inlineStr">
        <is>
          <t>La atención preferente y los ajustes razonables implican:</t>
        </is>
      </c>
      <c r="I65" s="14" t="inlineStr">
        <is>
          <t>Atenderla en el mismo turno general para no afectar la fila</t>
        </is>
      </c>
      <c r="J65" s="14" t="inlineStr">
        <is>
          <t>Garantizar atención preferente y los apoyos necesarios para que comprenda la información</t>
        </is>
      </c>
      <c r="K65" s="14" t="inlineStr">
        <is>
          <t>Entregar la información solo por escrito sin verificar comprensión</t>
        </is>
      </c>
      <c r="L65" s="14" t="inlineStr">
        <is>
          <t>b</t>
        </is>
      </c>
      <c r="M65" s="14" t="inlineStr">
        <is>
          <t>La atención preferente y los ajustes razonables buscan que la persona acceda a la información y al servicio en igualdad de condiciones.</t>
        </is>
      </c>
      <c r="N65" s="14" t="inlineStr">
        <is>
          <t>Las opciones a) y c) formalizan la atención sin remover la barrera de comunicación.</t>
        </is>
      </c>
      <c r="O65" s="14" t="inlineStr">
        <is>
          <t>Ley 1618 de 2013; Ley 1751 de 2015, art. 11</t>
        </is>
      </c>
      <c r="P65" s="14" t="inlineStr">
        <is>
          <t>SI</t>
        </is>
      </c>
      <c r="Q65" s="11" t="inlineStr">
        <is>
          <t>Basica</t>
        </is>
      </c>
      <c r="R65" s="11" t="inlineStr">
        <is>
          <t>repaso</t>
        </is>
      </c>
    </row>
    <row r="66" ht="23.25" customHeight="1" s="12">
      <c r="A66" s="14" t="inlineStr">
        <is>
          <t>F0065</t>
        </is>
      </c>
      <c r="B66" s="14" t="inlineStr">
        <is>
          <t>PS 2782 de 2026 - ESE 2 - HUHMP Neiva</t>
        </is>
      </c>
      <c r="C66" s="14" t="inlineStr">
        <is>
          <t>Humanizacion y derechos del paciente</t>
        </is>
      </c>
      <c r="D66" s="14" t="inlineStr">
        <is>
          <t>Técnico</t>
        </is>
      </c>
      <c r="E66" s="14" t="inlineStr">
        <is>
          <t>C022</t>
        </is>
      </c>
      <c r="F66" s="14" t="inlineStr">
        <is>
          <t>Caso 022</t>
        </is>
      </c>
      <c r="G66" s="14" t="inlineStr">
        <is>
          <t>En la ventanilla de atención al usuario llega una persona mayor con discapacidad auditiva y su acompañante.</t>
        </is>
      </c>
      <c r="H66" s="14" t="inlineStr">
        <is>
          <t>El decálogo de derechos de los pacientes incluye:</t>
        </is>
      </c>
      <c r="I66" s="14" t="inlineStr">
        <is>
          <t>El derecho a recibir información clara sobre diagnóstico, tratamiento y pronóstico</t>
        </is>
      </c>
      <c r="J66" s="14" t="inlineStr">
        <is>
          <t>El derecho a elegir el medicamento sin prescripción</t>
        </is>
      </c>
      <c r="K66" s="14" t="inlineStr">
        <is>
          <t>El derecho a exigir la historia clínica de otro paciente</t>
        </is>
      </c>
      <c r="L66" s="14" t="inlineStr">
        <is>
          <t>a</t>
        </is>
      </c>
      <c r="M66" s="14" t="inlineStr">
        <is>
          <t>El decálogo reconoce, entre otros, el derecho a recibir información clara y completa sobre su diagnóstico, tratamiento y pronóstico.</t>
        </is>
      </c>
      <c r="N66" s="14" t="inlineStr">
        <is>
          <t>Las opciones b) y c) enuncian pretensiones que no constituyen derechos del usuario y desconocen la prescripción y la reserva.</t>
        </is>
      </c>
      <c r="O66" s="14" t="inlineStr">
        <is>
          <t>Resolución 13437 de 1991</t>
        </is>
      </c>
      <c r="P66" s="14" t="inlineStr">
        <is>
          <t>SI</t>
        </is>
      </c>
      <c r="Q66" s="11" t="inlineStr">
        <is>
          <t>Basica</t>
        </is>
      </c>
      <c r="R66" s="11" t="inlineStr">
        <is>
          <t>repaso</t>
        </is>
      </c>
    </row>
    <row r="67" ht="23.25" customHeight="1" s="12">
      <c r="A67" s="14" t="inlineStr">
        <is>
          <t>F0066</t>
        </is>
      </c>
      <c r="B67" s="14" t="inlineStr">
        <is>
          <t>PS 2782 de 2026 - ESE 2 - HUHMP Neiva</t>
        </is>
      </c>
      <c r="C67" s="14" t="inlineStr">
        <is>
          <t>Humanizacion y derechos del paciente</t>
        </is>
      </c>
      <c r="D67" s="14" t="inlineStr">
        <is>
          <t>Técnico</t>
        </is>
      </c>
      <c r="E67" s="14" t="inlineStr">
        <is>
          <t>C022</t>
        </is>
      </c>
      <c r="F67" s="14" t="inlineStr">
        <is>
          <t>Caso 022</t>
        </is>
      </c>
      <c r="G67" s="14" t="inlineStr">
        <is>
          <t>En la ventanilla de atención al usuario llega una persona mayor con discapacidad auditiva y su acompañante.</t>
        </is>
      </c>
      <c r="H67" s="14" t="inlineStr">
        <is>
          <t>Si el usuario manifiesta no entender el consentimiento, corresponde:</t>
        </is>
      </c>
      <c r="I67" s="14" t="inlineStr">
        <is>
          <t>Solicitar su firma igualmente para no retrasar el procedimiento</t>
        </is>
      </c>
      <c r="J67" s="14" t="inlineStr">
        <is>
          <t>Explicar nuevamente en lenguaje comprensible y verificar la comprensión antes de la firma</t>
        </is>
      </c>
      <c r="K67" s="14" t="inlineStr">
        <is>
          <t>Pedir que firme el acompañante</t>
        </is>
      </c>
      <c r="L67" s="14" t="inlineStr">
        <is>
          <t>b</t>
        </is>
      </c>
      <c r="M67" s="14" t="inlineStr">
        <is>
          <t>La validez del consentimiento depende de la comprensión efectiva de la información por el titular de la decisión.</t>
        </is>
      </c>
      <c r="N67" s="14" t="inlineStr">
        <is>
          <t>Las opciones a) y c) obtienen una firma sin decisión informada y desplazan indebidamente al titular.</t>
        </is>
      </c>
      <c r="O67" s="14" t="inlineStr">
        <is>
          <t>Ley 23 de 1981; Resolución 1995 de 1999</t>
        </is>
      </c>
      <c r="P67" s="14" t="inlineStr">
        <is>
          <t>SI</t>
        </is>
      </c>
      <c r="Q67" s="11" t="inlineStr">
        <is>
          <t>Basica</t>
        </is>
      </c>
      <c r="R67" s="11" t="inlineStr">
        <is>
          <t>repaso</t>
        </is>
      </c>
    </row>
    <row r="68" ht="23.25" customHeight="1" s="12">
      <c r="A68" s="14" t="inlineStr">
        <is>
          <t>F0067</t>
        </is>
      </c>
      <c r="B68" s="14" t="inlineStr">
        <is>
          <t>PS 2782 de 2026 - ESE 2 - HUHMP Neiva</t>
        </is>
      </c>
      <c r="C68" s="14" t="inlineStr">
        <is>
          <t>Humanizacion y derechos del paciente</t>
        </is>
      </c>
      <c r="D68" s="14" t="inlineStr">
        <is>
          <t>Profesional</t>
        </is>
      </c>
      <c r="E68" s="14" t="inlineStr">
        <is>
          <t>C023</t>
        </is>
      </c>
      <c r="F68" s="14" t="inlineStr">
        <is>
          <t>Caso 023</t>
        </is>
      </c>
      <c r="G68" s="14" t="inlineStr">
        <is>
          <t>El comité de ética hospitalaria estudia un caso de un paciente que rechaza un tratamiento indicado por el equipo tratante.</t>
        </is>
      </c>
      <c r="H68" s="14" t="inlineStr">
        <is>
          <t>Frente a un paciente adulto, consciente e informado que rechaza el tratamiento:</t>
        </is>
      </c>
      <c r="I68" s="14" t="inlineStr">
        <is>
          <t>Debe respetarse su decisión autónoma, dejando constancia en la historia clínica</t>
        </is>
      </c>
      <c r="J68" s="14" t="inlineStr">
        <is>
          <t>Debe aplicarse el tratamiento por el principio de beneficencia</t>
        </is>
      </c>
      <c r="K68" s="14" t="inlineStr">
        <is>
          <t>Debe decidir la familia</t>
        </is>
      </c>
      <c r="L68" s="14" t="inlineStr">
        <is>
          <t>a</t>
        </is>
      </c>
      <c r="M68" s="14" t="inlineStr">
        <is>
          <t>La autonomía del paciente capaz e informado prevalece; su decisión y la información suministrada deben quedar registradas en la historia clínica.</t>
        </is>
      </c>
      <c r="N68" s="14" t="inlineStr">
        <is>
          <t>Las opciones b) y c) sustituyen la voluntad del titular por el criterio del equipo o de terceros.</t>
        </is>
      </c>
      <c r="O68" s="14" t="inlineStr">
        <is>
          <t>Ley 23 de 1981; Ley 1751 de 2015, art. 10</t>
        </is>
      </c>
      <c r="P68" s="14" t="inlineStr">
        <is>
          <t>SI</t>
        </is>
      </c>
      <c r="Q68" s="11" t="inlineStr">
        <is>
          <t>Basica</t>
        </is>
      </c>
      <c r="R68" s="11" t="inlineStr">
        <is>
          <t>repaso</t>
        </is>
      </c>
    </row>
    <row r="69" ht="23.25" customHeight="1" s="12">
      <c r="A69" s="14" t="inlineStr">
        <is>
          <t>F0068</t>
        </is>
      </c>
      <c r="B69" s="14" t="inlineStr">
        <is>
          <t>PS 2782 de 2026 - ESE 2 - HUHMP Neiva</t>
        </is>
      </c>
      <c r="C69" s="14" t="inlineStr">
        <is>
          <t>Humanizacion y derechos del paciente</t>
        </is>
      </c>
      <c r="D69" s="14" t="inlineStr">
        <is>
          <t>Profesional</t>
        </is>
      </c>
      <c r="E69" s="14" t="inlineStr">
        <is>
          <t>C023</t>
        </is>
      </c>
      <c r="F69" s="14" t="inlineStr">
        <is>
          <t>Caso 023</t>
        </is>
      </c>
      <c r="G69" s="14" t="inlineStr">
        <is>
          <t>El comité de ética hospitalaria estudia un caso de un paciente que rechaza un tratamiento indicado por el equipo tratante.</t>
        </is>
      </c>
      <c r="H69" s="14" t="inlineStr">
        <is>
          <t>La objeción de conciencia del profesional:</t>
        </is>
      </c>
      <c r="I69" s="14" t="inlineStr">
        <is>
          <t>Es institucional y puede alegarla la E.S.E. como persona jurídica</t>
        </is>
      </c>
      <c r="J69" s="14" t="inlineStr">
        <is>
          <t>Es individual y no puede traducirse en la negación del servicio al usuario</t>
        </is>
      </c>
      <c r="K69" s="14" t="inlineStr">
        <is>
          <t>Permite suspender la atención de urgencias</t>
        </is>
      </c>
      <c r="L69" s="14" t="inlineStr">
        <is>
          <t>b</t>
        </is>
      </c>
      <c r="M69" s="14" t="inlineStr">
        <is>
          <t>La objeción de conciencia es de carácter individual y obliga a garantizar la remisión oportuna para que el usuario reciba el servicio.</t>
        </is>
      </c>
      <c r="N69" s="14" t="inlineStr">
        <is>
          <t>Las opciones a) y c) extienden la objeción a la institución o a las urgencias, lo que la jurisprudencia ha proscrito.</t>
        </is>
      </c>
      <c r="O69" s="14" t="inlineStr">
        <is>
          <t>Jurisprudencia constitucional; Ley 1751 de 2015</t>
        </is>
      </c>
      <c r="P69" s="14" t="inlineStr">
        <is>
          <t>SI</t>
        </is>
      </c>
      <c r="Q69" s="11" t="inlineStr">
        <is>
          <t>Basica</t>
        </is>
      </c>
      <c r="R69" s="11" t="inlineStr">
        <is>
          <t>repaso</t>
        </is>
      </c>
    </row>
    <row r="70" ht="23.25" customHeight="1" s="12">
      <c r="A70" s="14" t="inlineStr">
        <is>
          <t>F0069</t>
        </is>
      </c>
      <c r="B70" s="14" t="inlineStr">
        <is>
          <t>PS 2782 de 2026 - ESE 2 - HUHMP Neiva</t>
        </is>
      </c>
      <c r="C70" s="14" t="inlineStr">
        <is>
          <t>Humanizacion y derechos del paciente</t>
        </is>
      </c>
      <c r="D70" s="14" t="inlineStr">
        <is>
          <t>Profesional</t>
        </is>
      </c>
      <c r="E70" s="14" t="inlineStr">
        <is>
          <t>C023</t>
        </is>
      </c>
      <c r="F70" s="14" t="inlineStr">
        <is>
          <t>Caso 023</t>
        </is>
      </c>
      <c r="G70" s="14" t="inlineStr">
        <is>
          <t>El comité de ética hospitalaria estudia un caso de un paciente que rechaza un tratamiento indicado por el equipo tratante.</t>
        </is>
      </c>
      <c r="H70" s="14" t="inlineStr">
        <is>
          <t>El comité de ética hospitalaria tiene naturaleza:</t>
        </is>
      </c>
      <c r="I70" s="14" t="inlineStr">
        <is>
          <t>Sancionatoria frente al personal</t>
        </is>
      </c>
      <c r="J70" s="14" t="inlineStr">
        <is>
          <t>Deliberativa y consultiva, orientada a apoyar decisiones en casos complejos</t>
        </is>
      </c>
      <c r="K70" s="14" t="inlineStr">
        <is>
          <t>Judicial</t>
        </is>
      </c>
      <c r="L70" s="14" t="inlineStr">
        <is>
          <t>b</t>
        </is>
      </c>
      <c r="M70" s="14" t="inlineStr">
        <is>
          <t>El comité de ética hospitalaria delibera y asesora en casos complejos; no ejerce función sancionatoria ni judicial.</t>
        </is>
      </c>
      <c r="N70" s="14" t="inlineStr">
        <is>
          <t>Las opciones a) y c) atribuyen competencias propias del control disciplinario o de los jueces.</t>
        </is>
      </c>
      <c r="O70" s="14" t="inlineStr">
        <is>
          <t>Decreto 1757 de 1994</t>
        </is>
      </c>
      <c r="P70" s="14" t="inlineStr">
        <is>
          <t>SI</t>
        </is>
      </c>
      <c r="Q70" s="11" t="inlineStr">
        <is>
          <t>Basica</t>
        </is>
      </c>
      <c r="R70" s="11" t="inlineStr">
        <is>
          <t>repaso</t>
        </is>
      </c>
    </row>
    <row r="71" ht="34.5" customHeight="1" s="12">
      <c r="A71" s="14" t="inlineStr">
        <is>
          <t>F0070</t>
        </is>
      </c>
      <c r="B71" s="14" t="inlineStr">
        <is>
          <t>PS 2782 de 2026 - ESE 2 - HUHMP Neiva</t>
        </is>
      </c>
      <c r="C71" s="14" t="inlineStr">
        <is>
          <t>Referencia y contrarreferencia</t>
        </is>
      </c>
      <c r="D71" s="14" t="inlineStr">
        <is>
          <t>Profesional</t>
        </is>
      </c>
      <c r="E71" s="14" t="inlineStr">
        <is>
          <t>C024</t>
        </is>
      </c>
      <c r="F71" s="14" t="inlineStr">
        <is>
          <t>Caso 024</t>
        </is>
      </c>
      <c r="G71" s="14" t="inlineStr">
        <is>
          <t>Un hospital de primer nivel del Huila solicita remisión de un paciente crítico al hospital universitario. La EPS no responde la autorización y el paciente se deteriora.</t>
        </is>
      </c>
      <c r="H71" s="14" t="inlineStr">
        <is>
          <t>La referencia se define como:</t>
        </is>
      </c>
      <c r="I71" s="14" t="inlineStr">
        <is>
          <t>El envío de usuarios o elementos de ayuda diagnóstica a otra institución de mayor complejidad o capacidad resolutiva</t>
        </is>
      </c>
      <c r="J71" s="14" t="inlineStr">
        <is>
          <t>La respuesta que da la institución receptora a la remitente</t>
        </is>
      </c>
      <c r="K71" s="14" t="inlineStr">
        <is>
          <t>El traslado interno entre servicios del mismo hospital</t>
        </is>
      </c>
      <c r="L71" s="14" t="inlineStr">
        <is>
          <t>a</t>
        </is>
      </c>
      <c r="M71" s="14" t="inlineStr">
        <is>
          <t>La referencia es el envío del usuario o de elementos de ayuda diagnóstica a otro prestador con mayor capacidad resolutiva; la respuesta del receptor es la contrarreferencia.</t>
        </is>
      </c>
      <c r="N71" s="14" t="inlineStr">
        <is>
          <t>La opción b) define la contrarreferencia y la c) describe un traslado intrainstitucional.</t>
        </is>
      </c>
      <c r="O71" s="14" t="inlineStr">
        <is>
          <t>Decreto 780 de 2016; Resolución 3047 de 2008</t>
        </is>
      </c>
      <c r="P71" s="14" t="inlineStr">
        <is>
          <t>SI</t>
        </is>
      </c>
      <c r="Q71" s="11" t="inlineStr">
        <is>
          <t>Basica</t>
        </is>
      </c>
      <c r="R71" s="11" t="inlineStr">
        <is>
          <t>repaso</t>
        </is>
      </c>
    </row>
    <row r="72" ht="34.5" customHeight="1" s="12">
      <c r="A72" s="14" t="inlineStr">
        <is>
          <t>F0071</t>
        </is>
      </c>
      <c r="B72" s="14" t="inlineStr">
        <is>
          <t>PS 2782 de 2026 - ESE 2 - HUHMP Neiva</t>
        </is>
      </c>
      <c r="C72" s="14" t="inlineStr">
        <is>
          <t>Referencia y contrarreferencia</t>
        </is>
      </c>
      <c r="D72" s="14" t="inlineStr">
        <is>
          <t>Profesional</t>
        </is>
      </c>
      <c r="E72" s="14" t="inlineStr">
        <is>
          <t>C024</t>
        </is>
      </c>
      <c r="F72" s="14" t="inlineStr">
        <is>
          <t>Caso 024</t>
        </is>
      </c>
      <c r="G72" s="14" t="inlineStr">
        <is>
          <t>Un hospital de primer nivel del Huila solicita remisión de un paciente crítico al hospital universitario. La EPS no responde la autorización y el paciente se deteriora.</t>
        </is>
      </c>
      <c r="H72" s="14" t="inlineStr">
        <is>
          <t>Ante la falta de respuesta del asegurador en un paciente crítico:</t>
        </is>
      </c>
      <c r="I72" s="14" t="inlineStr">
        <is>
          <t>Se espera la autorización antes de gestionar el traslado</t>
        </is>
      </c>
      <c r="J72" s="14" t="inlineStr">
        <is>
          <t>Prevalece la garantía de la atención: se gestiona el traslado y se activa el CRUE, sin condicionar la atención a la autorización</t>
        </is>
      </c>
      <c r="K72" s="14" t="inlineStr">
        <is>
          <t>Se devuelve el paciente a su domicilio</t>
        </is>
      </c>
      <c r="L72" s="14" t="inlineStr">
        <is>
          <t>b</t>
        </is>
      </c>
      <c r="M72" s="14" t="inlineStr">
        <is>
          <t>En urgencias la atención no puede condicionarse a la autorización previa y el centro regulador apoya la asignación de la institución receptora.</t>
        </is>
      </c>
      <c r="N72" s="14" t="inlineStr">
        <is>
          <t>Las opciones a) y c) supeditan la vida del paciente a un trámite administrativo o lo desatienden.</t>
        </is>
      </c>
      <c r="O72" s="14" t="inlineStr">
        <is>
          <t>Ley 1751 de 2015, art. 14; Resolución 1220 de 2010</t>
        </is>
      </c>
      <c r="P72" s="14" t="inlineStr">
        <is>
          <t>SI</t>
        </is>
      </c>
      <c r="Q72" s="11" t="inlineStr">
        <is>
          <t>Basica</t>
        </is>
      </c>
      <c r="R72" s="11" t="inlineStr">
        <is>
          <t>repaso</t>
        </is>
      </c>
    </row>
    <row r="73" ht="34.5" customHeight="1" s="12">
      <c r="A73" s="14" t="inlineStr">
        <is>
          <t>F0072</t>
        </is>
      </c>
      <c r="B73" s="14" t="inlineStr">
        <is>
          <t>PS 2782 de 2026 - ESE 2 - HUHMP Neiva</t>
        </is>
      </c>
      <c r="C73" s="14" t="inlineStr">
        <is>
          <t>Referencia y contrarreferencia</t>
        </is>
      </c>
      <c r="D73" s="14" t="inlineStr">
        <is>
          <t>Profesional</t>
        </is>
      </c>
      <c r="E73" s="14" t="inlineStr">
        <is>
          <t>C024</t>
        </is>
      </c>
      <c r="F73" s="14" t="inlineStr">
        <is>
          <t>Caso 024</t>
        </is>
      </c>
      <c r="G73" s="14" t="inlineStr">
        <is>
          <t>Un hospital de primer nivel del Huila solicita remisión de un paciente crítico al hospital universitario. La EPS no responde la autorización y el paciente se deteriora.</t>
        </is>
      </c>
      <c r="H73" s="14" t="inlineStr">
        <is>
          <t>La contrarreferencia bien hecha implica que el receptor:</t>
        </is>
      </c>
      <c r="I73" s="14" t="inlineStr">
        <is>
          <t>Solo informa el egreso a la EPS</t>
        </is>
      </c>
      <c r="J73" s="14" t="inlineStr">
        <is>
          <t>Remite al prestador de origen la respuesta con los hallazgos, el manejo y las recomendaciones de seguimiento</t>
        </is>
      </c>
      <c r="K73" s="14" t="inlineStr">
        <is>
          <t>No tiene obligación de informar</t>
        </is>
      </c>
      <c r="L73" s="14" t="inlineStr">
        <is>
          <t>b</t>
        </is>
      </c>
      <c r="M73" s="14" t="inlineStr">
        <is>
          <t>La contrarreferencia es la respuesta del prestador receptor al remitente, con la información clínica necesaria para la continuidad del cuidado.</t>
        </is>
      </c>
      <c r="N73" s="14" t="inlineStr">
        <is>
          <t>Las opciones a) y c) rompen la continuidad de la atención y dejan al prestador de origen sin información para el seguimiento.</t>
        </is>
      </c>
      <c r="O73" s="14" t="inlineStr">
        <is>
          <t>Resolución 3047 de 2008</t>
        </is>
      </c>
      <c r="P73" s="14" t="inlineStr">
        <is>
          <t>SI</t>
        </is>
      </c>
      <c r="Q73" s="11" t="inlineStr">
        <is>
          <t>Basica</t>
        </is>
      </c>
      <c r="R73" s="11" t="inlineStr">
        <is>
          <t>repaso</t>
        </is>
      </c>
    </row>
    <row r="74" ht="23.25" customHeight="1" s="12">
      <c r="A74" s="14" t="inlineStr">
        <is>
          <t>F0073</t>
        </is>
      </c>
      <c r="B74" s="14" t="inlineStr">
        <is>
          <t>PS 2782 de 2026 - ESE 2 - HUHMP Neiva</t>
        </is>
      </c>
      <c r="C74" s="14" t="inlineStr">
        <is>
          <t>Referencia y contrarreferencia</t>
        </is>
      </c>
      <c r="D74" s="14" t="inlineStr">
        <is>
          <t>Técnico</t>
        </is>
      </c>
      <c r="E74" s="14" t="inlineStr">
        <is>
          <t>C025</t>
        </is>
      </c>
      <c r="F74" s="14" t="inlineStr">
        <is>
          <t>Caso 025</t>
        </is>
      </c>
      <c r="G74" s="14" t="inlineStr">
        <is>
          <t>El técnico de la oficina de referencia debe documentar una remisión y decidir qué información enviar.</t>
        </is>
      </c>
      <c r="H74" s="14" t="inlineStr">
        <is>
          <t>La solicitud de remisión debe contener como mínimo:</t>
        </is>
      </c>
      <c r="I74" s="14" t="inlineStr">
        <is>
          <t>El nombre del paciente y el servicio solicitado</t>
        </is>
      </c>
      <c r="J74" s="14" t="inlineStr">
        <is>
          <t>La identificación del usuario, el resumen clínico, los soportes diagnósticos y el servicio requerido</t>
        </is>
      </c>
      <c r="K74" s="14" t="inlineStr">
        <is>
          <t>Únicamente los signos vitales</t>
        </is>
      </c>
      <c r="L74" s="14" t="inlineStr">
        <is>
          <t>b</t>
        </is>
      </c>
      <c r="M74" s="14" t="inlineStr">
        <is>
          <t>La remisión requiere identificación del usuario, resumen de historia clínica, soportes diagnósticos y la especificación del servicio requerido.</t>
        </is>
      </c>
      <c r="N74" s="14" t="inlineStr">
        <is>
          <t>Las opciones a) y c) omiten el resumen clínico y los soportes que permiten al receptor decidir la aceptación.</t>
        </is>
      </c>
      <c r="O74" s="14" t="inlineStr">
        <is>
          <t>Resolución 3047 de 2008; Decreto 780 de 2016</t>
        </is>
      </c>
      <c r="P74" s="14" t="inlineStr">
        <is>
          <t>SI</t>
        </is>
      </c>
      <c r="Q74" s="11" t="inlineStr">
        <is>
          <t>Basica</t>
        </is>
      </c>
      <c r="R74" s="11" t="inlineStr">
        <is>
          <t>repaso</t>
        </is>
      </c>
    </row>
    <row r="75" ht="34.5" customHeight="1" s="12">
      <c r="A75" s="14" t="inlineStr">
        <is>
          <t>F0074</t>
        </is>
      </c>
      <c r="B75" s="14" t="inlineStr">
        <is>
          <t>PS 2782 de 2026 - ESE 2 - HUHMP Neiva</t>
        </is>
      </c>
      <c r="C75" s="14" t="inlineStr">
        <is>
          <t>Referencia y contrarreferencia</t>
        </is>
      </c>
      <c r="D75" s="14" t="inlineStr">
        <is>
          <t>Técnico</t>
        </is>
      </c>
      <c r="E75" s="14" t="inlineStr">
        <is>
          <t>C025</t>
        </is>
      </c>
      <c r="F75" s="14" t="inlineStr">
        <is>
          <t>Caso 025</t>
        </is>
      </c>
      <c r="G75" s="14" t="inlineStr">
        <is>
          <t>El técnico de la oficina de referencia debe documentar una remisión y decidir qué información enviar.</t>
        </is>
      </c>
      <c r="H75" s="14" t="inlineStr">
        <is>
          <t>El transporte asistencial del paciente remitido corresponde a:</t>
        </is>
      </c>
      <c r="I75" s="14" t="inlineStr">
        <is>
          <t>Siempre a la familia del paciente</t>
        </is>
      </c>
      <c r="J75" s="14" t="inlineStr">
        <is>
          <t>Al responsable definido en la normativa y en el contrato, garantizando la modalidad adecuada según el estado del paciente</t>
        </is>
      </c>
      <c r="K75" s="14" t="inlineStr">
        <is>
          <t>Al hospital receptor en todos los casos</t>
        </is>
      </c>
      <c r="L75" s="14" t="inlineStr">
        <is>
          <t>b</t>
        </is>
      </c>
      <c r="M75" s="14" t="inlineStr">
        <is>
          <t>La responsabilidad del traslado se determina según la normativa y los acuerdos de voluntades, y la modalidad debe corresponder al estado clínico del usuario.</t>
        </is>
      </c>
      <c r="N75" s="14" t="inlineStr">
        <is>
          <t>Las opciones a) y c) trasladan una obligación a quien no la tiene y desconocen la modalidad requerida.</t>
        </is>
      </c>
      <c r="O75" s="14" t="inlineStr">
        <is>
          <t>Decreto 780 de 2016</t>
        </is>
      </c>
      <c r="P75" s="14" t="inlineStr">
        <is>
          <t>SI</t>
        </is>
      </c>
      <c r="Q75" s="11" t="inlineStr">
        <is>
          <t>Basica</t>
        </is>
      </c>
      <c r="R75" s="11" t="inlineStr">
        <is>
          <t>repaso</t>
        </is>
      </c>
    </row>
    <row r="76" ht="34.5" customHeight="1" s="12">
      <c r="A76" s="14" t="inlineStr">
        <is>
          <t>F0075</t>
        </is>
      </c>
      <c r="B76" s="14" t="inlineStr">
        <is>
          <t>PS 2782 de 2026 - ESE 2 - HUHMP Neiva</t>
        </is>
      </c>
      <c r="C76" s="14" t="inlineStr">
        <is>
          <t>Referencia y contrarreferencia</t>
        </is>
      </c>
      <c r="D76" s="14" t="inlineStr">
        <is>
          <t>Técnico</t>
        </is>
      </c>
      <c r="E76" s="14" t="inlineStr">
        <is>
          <t>C025</t>
        </is>
      </c>
      <c r="F76" s="14" t="inlineStr">
        <is>
          <t>Caso 025</t>
        </is>
      </c>
      <c r="G76" s="14" t="inlineStr">
        <is>
          <t>El técnico de la oficina de referencia debe documentar una remisión y decidir qué información enviar.</t>
        </is>
      </c>
      <c r="H76" s="14" t="inlineStr">
        <is>
          <t>Si el prestador receptor no acepta la remisión debidamente sustentada de un paciente en urgencias:</t>
        </is>
      </c>
      <c r="I76" s="14" t="inlineStr">
        <is>
          <t>El caso se cierra con la negativa</t>
        </is>
      </c>
      <c r="J76" s="14" t="inlineStr">
        <is>
          <t>Se documenta la negativa y se reporta a la entidad competente, sin interrumpir la gestión de un destino asistencial</t>
        </is>
      </c>
      <c r="K76" s="14" t="inlineStr">
        <is>
          <t>Se remite al paciente sin aviso</t>
        </is>
      </c>
      <c r="L76" s="14" t="inlineStr">
        <is>
          <t>b</t>
        </is>
      </c>
      <c r="M76" s="14" t="inlineStr">
        <is>
          <t>La negativa debe documentarse y reportarse a la autoridad competente, mientras se continúa la gestión para garantizar la atención.</t>
        </is>
      </c>
      <c r="N76" s="14" t="inlineStr">
        <is>
          <t>La opción a) abandona al paciente y la c) traslada sin coordinación, con riesgo clínico y jurídico.</t>
        </is>
      </c>
      <c r="O76" s="14" t="inlineStr">
        <is>
          <t>Resolución 1220 de 2010; Ley 1751 de 2015</t>
        </is>
      </c>
      <c r="P76" s="14" t="inlineStr">
        <is>
          <t>SI</t>
        </is>
      </c>
      <c r="Q76" s="11" t="inlineStr">
        <is>
          <t>Basica</t>
        </is>
      </c>
      <c r="R76" s="11" t="inlineStr">
        <is>
          <t>repaso</t>
        </is>
      </c>
    </row>
    <row r="77" ht="23.25" customHeight="1" s="12">
      <c r="A77" s="14" t="inlineStr">
        <is>
          <t>F0076</t>
        </is>
      </c>
      <c r="B77" s="14" t="inlineStr">
        <is>
          <t>PS 2782 de 2026 - ESE 2 - HUHMP Neiva</t>
        </is>
      </c>
      <c r="C77" s="14" t="inlineStr">
        <is>
          <t>Referencia y contrarreferencia</t>
        </is>
      </c>
      <c r="D77" s="14" t="inlineStr">
        <is>
          <t>Profesional</t>
        </is>
      </c>
      <c r="E77" s="14" t="inlineStr">
        <is>
          <t>C026</t>
        </is>
      </c>
      <c r="F77" s="14" t="inlineStr">
        <is>
          <t>Caso 026</t>
        </is>
      </c>
      <c r="G77" s="14" t="inlineStr">
        <is>
          <t>La dirección analiza indicadores de oportunidad en la red y la pertinencia de las remisiones recibidas.</t>
        </is>
      </c>
      <c r="H77" s="14" t="inlineStr">
        <is>
          <t>La red integral de prestadores busca:</t>
        </is>
      </c>
      <c r="I77" s="14" t="inlineStr">
        <is>
          <t>Concentrar toda la atención en el mayor nivel de complejidad</t>
        </is>
      </c>
      <c r="J77" s="14" t="inlineStr">
        <is>
          <t>Garantizar la integralidad y continuidad de la atención en los distintos niveles de complejidad</t>
        </is>
      </c>
      <c r="K77" s="14" t="inlineStr">
        <is>
          <t>Sustituir la libre elección del usuario</t>
        </is>
      </c>
      <c r="L77" s="14" t="inlineStr">
        <is>
          <t>b</t>
        </is>
      </c>
      <c r="M77" s="14" t="inlineStr">
        <is>
          <t>La organización en red persigue la integralidad, la continuidad y la resolutividad en los niveles que corresponda.</t>
        </is>
      </c>
      <c r="N77" s="14" t="inlineStr">
        <is>
          <t>Las opciones a) y c) saturan la alta complejidad o niegan un derecho del usuario.</t>
        </is>
      </c>
      <c r="O77" s="14" t="inlineStr">
        <is>
          <t>Ley 1438 de 2011; Decreto 780 de 2016</t>
        </is>
      </c>
      <c r="P77" s="14" t="inlineStr">
        <is>
          <t>SI</t>
        </is>
      </c>
      <c r="Q77" s="11" t="inlineStr">
        <is>
          <t>Basica</t>
        </is>
      </c>
      <c r="R77" s="11" t="inlineStr">
        <is>
          <t>repaso</t>
        </is>
      </c>
    </row>
    <row r="78" ht="23.25" customHeight="1" s="12">
      <c r="A78" s="14" t="inlineStr">
        <is>
          <t>F0077</t>
        </is>
      </c>
      <c r="B78" s="14" t="inlineStr">
        <is>
          <t>PS 2782 de 2026 - ESE 2 - HUHMP Neiva</t>
        </is>
      </c>
      <c r="C78" s="14" t="inlineStr">
        <is>
          <t>Referencia y contrarreferencia</t>
        </is>
      </c>
      <c r="D78" s="14" t="inlineStr">
        <is>
          <t>Profesional</t>
        </is>
      </c>
      <c r="E78" s="14" t="inlineStr">
        <is>
          <t>C026</t>
        </is>
      </c>
      <c r="F78" s="14" t="inlineStr">
        <is>
          <t>Caso 026</t>
        </is>
      </c>
      <c r="G78" s="14" t="inlineStr">
        <is>
          <t>La dirección analiza indicadores de oportunidad en la red y la pertinencia de las remisiones recibidas.</t>
        </is>
      </c>
      <c r="H78" s="14" t="inlineStr">
        <is>
          <t>Una remisión no pertinente se caracteriza porque:</t>
        </is>
      </c>
      <c r="I78" s="14" t="inlineStr">
        <is>
          <t>El caso podía resolverse en el nivel remitente según su capacidad habilitada</t>
        </is>
      </c>
      <c r="J78" s="14" t="inlineStr">
        <is>
          <t>El paciente pertenece a otro municipio</t>
        </is>
      </c>
      <c r="K78" s="14" t="inlineStr">
        <is>
          <t>El paciente no tiene afiliación vigente</t>
        </is>
      </c>
      <c r="L78" s="14" t="inlineStr">
        <is>
          <t>a</t>
        </is>
      </c>
      <c r="M78" s="14" t="inlineStr">
        <is>
          <t>La pertinencia se evalúa frente a la capacidad resolutiva habilitada del prestador remitente y la condición clínica del usuario.</t>
        </is>
      </c>
      <c r="N78" s="14" t="inlineStr">
        <is>
          <t>Las opciones b) y c) usan criterios administrativos o territoriales, no clínicos, para calificar la pertinencia.</t>
        </is>
      </c>
      <c r="O78" s="14" t="inlineStr">
        <is>
          <t>Resolución 3047 de 2008</t>
        </is>
      </c>
      <c r="P78" s="14" t="inlineStr">
        <is>
          <t>SI</t>
        </is>
      </c>
      <c r="Q78" s="11" t="inlineStr">
        <is>
          <t>Basica</t>
        </is>
      </c>
      <c r="R78" s="11" t="inlineStr">
        <is>
          <t>repaso</t>
        </is>
      </c>
    </row>
    <row r="79" ht="23.25" customHeight="1" s="12">
      <c r="A79" s="14" t="inlineStr">
        <is>
          <t>F0078</t>
        </is>
      </c>
      <c r="B79" s="14" t="inlineStr">
        <is>
          <t>PS 2782 de 2026 - ESE 2 - HUHMP Neiva</t>
        </is>
      </c>
      <c r="C79" s="14" t="inlineStr">
        <is>
          <t>Referencia y contrarreferencia</t>
        </is>
      </c>
      <c r="D79" s="14" t="inlineStr">
        <is>
          <t>Profesional</t>
        </is>
      </c>
      <c r="E79" s="14" t="inlineStr">
        <is>
          <t>C026</t>
        </is>
      </c>
      <c r="F79" s="14" t="inlineStr">
        <is>
          <t>Caso 026</t>
        </is>
      </c>
      <c r="G79" s="14" t="inlineStr">
        <is>
          <t>La dirección analiza indicadores de oportunidad en la red y la pertinencia de las remisiones recibidas.</t>
        </is>
      </c>
      <c r="H79" s="14" t="inlineStr">
        <is>
          <t>El indicador de oportunidad en la referencia mide:</t>
        </is>
      </c>
      <c r="I79" s="14" t="inlineStr">
        <is>
          <t>El tiempo transcurrido entre la solicitud y la aceptación o el traslado efectivo</t>
        </is>
      </c>
      <c r="J79" s="14" t="inlineStr">
        <is>
          <t>El número de camas disponibles</t>
        </is>
      </c>
      <c r="K79" s="14" t="inlineStr">
        <is>
          <t>El costo del traslado</t>
        </is>
      </c>
      <c r="L79" s="14" t="inlineStr">
        <is>
          <t>a</t>
        </is>
      </c>
      <c r="M79" s="14" t="inlineStr">
        <is>
          <t>La oportunidad se mide por el tiempo entre la solicitud de remisión y la aceptación o traslado efectivo del usuario.</t>
        </is>
      </c>
      <c r="N79" s="14" t="inlineStr">
        <is>
          <t>Las opciones b) y c) miden capacidad instalada o costo, no oportunidad.</t>
        </is>
      </c>
      <c r="O79" s="14" t="inlineStr">
        <is>
          <t>Resolución 256 de 2016</t>
        </is>
      </c>
      <c r="P79" s="14" t="inlineStr">
        <is>
          <t>SI</t>
        </is>
      </c>
      <c r="Q79" s="11" t="inlineStr">
        <is>
          <t>Basica</t>
        </is>
      </c>
      <c r="R79" s="11" t="inlineStr">
        <is>
          <t>repaso</t>
        </is>
      </c>
    </row>
    <row r="80" ht="34.5" customHeight="1" s="12">
      <c r="A80" s="14" t="inlineStr">
        <is>
          <t>F0079</t>
        </is>
      </c>
      <c r="B80" s="14" t="inlineStr">
        <is>
          <t>PS 2782 de 2026 - ESE 2 - HUHMP Neiva</t>
        </is>
      </c>
      <c r="C80" s="14" t="inlineStr">
        <is>
          <t>Urgencias</t>
        </is>
      </c>
      <c r="D80" s="14" t="inlineStr">
        <is>
          <t>Profesional</t>
        </is>
      </c>
      <c r="E80" s="14" t="inlineStr">
        <is>
          <t>C027</t>
        </is>
      </c>
      <c r="F80" s="14" t="inlineStr">
        <is>
          <t>Caso 027</t>
        </is>
      </c>
      <c r="G80" s="14" t="inlineStr">
        <is>
          <t>En el servicio de urgencias llega un paciente sin documentos, sin afiliación verificable y con dolor torácico. El facturador propone no admitirlo hasta verificar su aseguramiento.</t>
        </is>
      </c>
      <c r="H80" s="14" t="inlineStr">
        <is>
          <t>La conducta institucional correcta es:</t>
        </is>
      </c>
      <c r="I80" s="14" t="inlineStr">
        <is>
          <t>Atender de inmediato: la atención inicial de urgencias es obligatoria y no admite condicionamientos</t>
        </is>
      </c>
      <c r="J80" s="14" t="inlineStr">
        <is>
          <t>Verificar primero la afiliación y luego atender</t>
        </is>
      </c>
      <c r="K80" s="14" t="inlineStr">
        <is>
          <t>Remitirlo a su EPS</t>
        </is>
      </c>
      <c r="L80" s="14" t="inlineStr">
        <is>
          <t>a</t>
        </is>
      </c>
      <c r="M80" s="14" t="inlineStr">
        <is>
          <t>La atención inicial de urgencias es obligatoria para todo prestador y no puede condicionarse a la verificación de aseguramiento, autorización o pago.</t>
        </is>
      </c>
      <c r="N80" s="14" t="inlineStr">
        <is>
          <t>Las opciones b) y c) anteponen trámites administrativos a una atención que la ley define como incondicionada.</t>
        </is>
      </c>
      <c r="O80" s="14" t="inlineStr">
        <is>
          <t>Ley 1751 de 2015, art. 14; Decreto 780 de 2016</t>
        </is>
      </c>
      <c r="P80" s="14" t="inlineStr">
        <is>
          <t>SI</t>
        </is>
      </c>
      <c r="Q80" s="11" t="inlineStr">
        <is>
          <t>Basica</t>
        </is>
      </c>
      <c r="R80" s="11" t="inlineStr">
        <is>
          <t>repaso</t>
        </is>
      </c>
    </row>
    <row r="81" ht="34.5" customHeight="1" s="12">
      <c r="A81" s="14" t="inlineStr">
        <is>
          <t>F0080</t>
        </is>
      </c>
      <c r="B81" s="14" t="inlineStr">
        <is>
          <t>PS 2782 de 2026 - ESE 2 - HUHMP Neiva</t>
        </is>
      </c>
      <c r="C81" s="14" t="inlineStr">
        <is>
          <t>Urgencias</t>
        </is>
      </c>
      <c r="D81" s="14" t="inlineStr">
        <is>
          <t>Profesional</t>
        </is>
      </c>
      <c r="E81" s="14" t="inlineStr">
        <is>
          <t>C027</t>
        </is>
      </c>
      <c r="F81" s="14" t="inlineStr">
        <is>
          <t>Caso 027</t>
        </is>
      </c>
      <c r="G81" s="14" t="inlineStr">
        <is>
          <t>En el servicio de urgencias llega un paciente sin documentos, sin afiliación verificable y con dolor torácico. El facturador propone no admitirlo hasta verificar su aseguramiento.</t>
        </is>
      </c>
      <c r="H81" s="14" t="inlineStr">
        <is>
          <t>El triage tiene como finalidad:</t>
        </is>
      </c>
      <c r="I81" s="14" t="inlineStr">
        <is>
          <t>Clasificar al paciente según su riesgo para definir la prioridad de atención</t>
        </is>
      </c>
      <c r="J81" s="14" t="inlineStr">
        <is>
          <t>Ordenar la atención por orden de llegada</t>
        </is>
      </c>
      <c r="K81" s="14" t="inlineStr">
        <is>
          <t>Decidir la facturación del servicio</t>
        </is>
      </c>
      <c r="L81" s="14" t="inlineStr">
        <is>
          <t>a</t>
        </is>
      </c>
      <c r="M81" s="14" t="inlineStr">
        <is>
          <t>El triage clasifica al usuario según su riesgo clínico y define la prioridad y el tiempo de atención, no el orden de llegada.</t>
        </is>
      </c>
      <c r="N81" s="14" t="inlineStr">
        <is>
          <t>Las opciones b) y c) sustituyen el criterio clínico por criterios administrativos.</t>
        </is>
      </c>
      <c r="O81" s="14" t="inlineStr">
        <is>
          <t>Resolución 5596 de 2015</t>
        </is>
      </c>
      <c r="P81" s="14" t="inlineStr">
        <is>
          <t>SI</t>
        </is>
      </c>
      <c r="Q81" s="11" t="inlineStr">
        <is>
          <t>Basica</t>
        </is>
      </c>
      <c r="R81" s="11" t="inlineStr">
        <is>
          <t>repaso</t>
        </is>
      </c>
    </row>
    <row r="82" ht="34.5" customHeight="1" s="12">
      <c r="A82" s="14" t="inlineStr">
        <is>
          <t>F0081</t>
        </is>
      </c>
      <c r="B82" s="14" t="inlineStr">
        <is>
          <t>PS 2782 de 2026 - ESE 2 - HUHMP Neiva</t>
        </is>
      </c>
      <c r="C82" s="14" t="inlineStr">
        <is>
          <t>Urgencias</t>
        </is>
      </c>
      <c r="D82" s="14" t="inlineStr">
        <is>
          <t>Profesional</t>
        </is>
      </c>
      <c r="E82" s="14" t="inlineStr">
        <is>
          <t>C027</t>
        </is>
      </c>
      <c r="F82" s="14" t="inlineStr">
        <is>
          <t>Caso 027</t>
        </is>
      </c>
      <c r="G82" s="14" t="inlineStr">
        <is>
          <t>En el servicio de urgencias llega un paciente sin documentos, sin afiliación verificable y con dolor torácico. El facturador propone no admitirlo hasta verificar su aseguramiento.</t>
        </is>
      </c>
      <c r="H82" s="14" t="inlineStr">
        <is>
          <t>El paciente clasificado como triage I requiere:</t>
        </is>
      </c>
      <c r="I82" s="14" t="inlineStr">
        <is>
          <t>Atención inmediata por riesgo vital</t>
        </is>
      </c>
      <c r="J82" s="14" t="inlineStr">
        <is>
          <t>Atención dentro de las dos horas siguientes</t>
        </is>
      </c>
      <c r="K82" s="14" t="inlineStr">
        <is>
          <t>Remisión a consulta prioritaria</t>
        </is>
      </c>
      <c r="L82" s="14" t="inlineStr">
        <is>
          <t>a</t>
        </is>
      </c>
      <c r="M82" s="14" t="inlineStr">
        <is>
          <t>El triage I corresponde a la condición que amenaza la vida y exige atención inmediata.</t>
        </is>
      </c>
      <c r="N82" s="14" t="inlineStr">
        <is>
          <t>Las opciones b) y c) aplican tiempos y rutas de categorías de menor riesgo.</t>
        </is>
      </c>
      <c r="O82" s="14" t="inlineStr">
        <is>
          <t>Resolución 5596 de 2015</t>
        </is>
      </c>
      <c r="P82" s="14" t="inlineStr">
        <is>
          <t>SI</t>
        </is>
      </c>
      <c r="Q82" s="11" t="inlineStr">
        <is>
          <t>Basica</t>
        </is>
      </c>
      <c r="R82" s="11" t="inlineStr">
        <is>
          <t>repaso</t>
        </is>
      </c>
    </row>
    <row r="83" ht="23.25" customHeight="1" s="12">
      <c r="A83" s="14" t="inlineStr">
        <is>
          <t>F0082</t>
        </is>
      </c>
      <c r="B83" s="14" t="inlineStr">
        <is>
          <t>PS 2782 de 2026 - ESE 2 - HUHMP Neiva</t>
        </is>
      </c>
      <c r="C83" s="14" t="inlineStr">
        <is>
          <t>Urgencias</t>
        </is>
      </c>
      <c r="D83" s="14" t="inlineStr">
        <is>
          <t>Técnico</t>
        </is>
      </c>
      <c r="E83" s="14" t="inlineStr">
        <is>
          <t>C028</t>
        </is>
      </c>
      <c r="F83" s="14" t="inlineStr">
        <is>
          <t>Caso 028</t>
        </is>
      </c>
      <c r="G83" s="14" t="inlineStr">
        <is>
          <t>En la admisión de urgencias se congestiona la sala de espera y el equipo debe aplicar correctamente la clasificación.</t>
        </is>
      </c>
      <c r="H83" s="14" t="inlineStr">
        <is>
          <t>El triage debe realizarlo:</t>
        </is>
      </c>
      <c r="I83" s="14" t="inlineStr">
        <is>
          <t>Personal de salud entrenado, conforme al protocolo institucional</t>
        </is>
      </c>
      <c r="J83" s="14" t="inlineStr">
        <is>
          <t>El personal de vigilancia</t>
        </is>
      </c>
      <c r="K83" s="14" t="inlineStr">
        <is>
          <t>El facturador</t>
        </is>
      </c>
      <c r="L83" s="14" t="inlineStr">
        <is>
          <t>a</t>
        </is>
      </c>
      <c r="M83" s="14" t="inlineStr">
        <is>
          <t>La clasificación en urgencias corresponde a personal de salud entrenado, según el protocolo adoptado por la institución.</t>
        </is>
      </c>
      <c r="N83" s="14" t="inlineStr">
        <is>
          <t>Las opciones b) y c) asignan una valoración clínica a personal sin competencia para ello.</t>
        </is>
      </c>
      <c r="O83" s="14" t="inlineStr">
        <is>
          <t>Resolución 5596 de 2015</t>
        </is>
      </c>
      <c r="P83" s="14" t="inlineStr">
        <is>
          <t>SI</t>
        </is>
      </c>
      <c r="Q83" s="11" t="inlineStr">
        <is>
          <t>Basica</t>
        </is>
      </c>
      <c r="R83" s="11" t="inlineStr">
        <is>
          <t>repaso</t>
        </is>
      </c>
    </row>
    <row r="84" ht="23.25" customHeight="1" s="12">
      <c r="A84" s="14" t="inlineStr">
        <is>
          <t>F0083</t>
        </is>
      </c>
      <c r="B84" s="14" t="inlineStr">
        <is>
          <t>PS 2782 de 2026 - ESE 2 - HUHMP Neiva</t>
        </is>
      </c>
      <c r="C84" s="14" t="inlineStr">
        <is>
          <t>Urgencias</t>
        </is>
      </c>
      <c r="D84" s="14" t="inlineStr">
        <is>
          <t>Técnico</t>
        </is>
      </c>
      <c r="E84" s="14" t="inlineStr">
        <is>
          <t>C028</t>
        </is>
      </c>
      <c r="F84" s="14" t="inlineStr">
        <is>
          <t>Caso 028</t>
        </is>
      </c>
      <c r="G84" s="14" t="inlineStr">
        <is>
          <t>En la admisión de urgencias se congestiona la sala de espera y el equipo debe aplicar correctamente la clasificación.</t>
        </is>
      </c>
      <c r="H84" s="14" t="inlineStr">
        <is>
          <t>La reclasificación del paciente en sala de espera procede cuando:</t>
        </is>
      </c>
      <c r="I84" s="14" t="inlineStr">
        <is>
          <t>Nunca, una vez asignada la categoría</t>
        </is>
      </c>
      <c r="J84" s="14" t="inlineStr">
        <is>
          <t>Cambia su condición clínica o se supera el tiempo de espera previsto para su categoría</t>
        </is>
      </c>
      <c r="K84" s="14" t="inlineStr">
        <is>
          <t>Lo solicita un acompañante</t>
        </is>
      </c>
      <c r="L84" s="14" t="inlineStr">
        <is>
          <t>b</t>
        </is>
      </c>
      <c r="M84" s="14" t="inlineStr">
        <is>
          <t>El paciente debe ser reevaluado si su condición cambia o si se excede el tiempo de espera definido para su categoría.</t>
        </is>
      </c>
      <c r="N84" s="14" t="inlineStr">
        <is>
          <t>La opción a) congela una clasificación dinámica y la c) sustituye el criterio clínico por la solicitud de un tercero.</t>
        </is>
      </c>
      <c r="O84" s="14" t="inlineStr">
        <is>
          <t>Resolución 5596 de 2015</t>
        </is>
      </c>
      <c r="P84" s="14" t="inlineStr">
        <is>
          <t>SI</t>
        </is>
      </c>
      <c r="Q84" s="11" t="inlineStr">
        <is>
          <t>Basica</t>
        </is>
      </c>
      <c r="R84" s="11" t="inlineStr">
        <is>
          <t>repaso</t>
        </is>
      </c>
    </row>
    <row r="85" ht="23.25" customHeight="1" s="12">
      <c r="A85" s="14" t="inlineStr">
        <is>
          <t>F0084</t>
        </is>
      </c>
      <c r="B85" s="14" t="inlineStr">
        <is>
          <t>PS 2782 de 2026 - ESE 2 - HUHMP Neiva</t>
        </is>
      </c>
      <c r="C85" s="14" t="inlineStr">
        <is>
          <t>Urgencias</t>
        </is>
      </c>
      <c r="D85" s="14" t="inlineStr">
        <is>
          <t>Técnico</t>
        </is>
      </c>
      <c r="E85" s="14" t="inlineStr">
        <is>
          <t>C028</t>
        </is>
      </c>
      <c r="F85" s="14" t="inlineStr">
        <is>
          <t>Caso 028</t>
        </is>
      </c>
      <c r="G85" s="14" t="inlineStr">
        <is>
          <t>En la admisión de urgencias se congestiona la sala de espera y el equipo debe aplicar correctamente la clasificación.</t>
        </is>
      </c>
      <c r="H85" s="14" t="inlineStr">
        <is>
          <t>El registro de la clasificación en la historia clínica:</t>
        </is>
      </c>
      <c r="I85" s="14" t="inlineStr">
        <is>
          <t>Es obligatorio, con hora y responsable</t>
        </is>
      </c>
      <c r="J85" s="14" t="inlineStr">
        <is>
          <t>Es opcional si el paciente egresa pronto</t>
        </is>
      </c>
      <c r="K85" s="14" t="inlineStr">
        <is>
          <t>Se hace solo en triage I y II</t>
        </is>
      </c>
      <c r="L85" s="14" t="inlineStr">
        <is>
          <t>a</t>
        </is>
      </c>
      <c r="M85" s="14" t="inlineStr">
        <is>
          <t>La clasificación, su hora y el responsable deben quedar registrados en la historia clínica de todo paciente que consulta a urgencias.</t>
        </is>
      </c>
      <c r="N85" s="14" t="inlineStr">
        <is>
          <t>Las opciones b) y c) dejan sin trazabilidad la atención y afectan la defensa institucional.</t>
        </is>
      </c>
      <c r="O85" s="14" t="inlineStr">
        <is>
          <t>Resolución 5596 de 2015; Resolución 1995 de 1999</t>
        </is>
      </c>
      <c r="P85" s="14" t="inlineStr">
        <is>
          <t>SI</t>
        </is>
      </c>
      <c r="Q85" s="11" t="inlineStr">
        <is>
          <t>Basica</t>
        </is>
      </c>
      <c r="R85" s="11" t="inlineStr">
        <is>
          <t>repaso</t>
        </is>
      </c>
    </row>
    <row r="86" ht="23.25" customHeight="1" s="12">
      <c r="A86" s="14" t="inlineStr">
        <is>
          <t>F0085</t>
        </is>
      </c>
      <c r="B86" s="14" t="inlineStr">
        <is>
          <t>PS 2782 de 2026 - ESE 2 - HUHMP Neiva</t>
        </is>
      </c>
      <c r="C86" s="14" t="inlineStr">
        <is>
          <t>Urgencias</t>
        </is>
      </c>
      <c r="D86" s="14" t="inlineStr">
        <is>
          <t>Profesional</t>
        </is>
      </c>
      <c r="E86" s="14" t="inlineStr">
        <is>
          <t>C029</t>
        </is>
      </c>
      <c r="F86" s="14" t="inlineStr">
        <is>
          <t>Caso 029</t>
        </is>
      </c>
      <c r="G86" s="14" t="inlineStr">
        <is>
          <t>Un paciente estabilizado en urgencias requiere hospitalización, pero la EPS no autoriza y solicita el traslado a otra institución de su red.</t>
        </is>
      </c>
      <c r="H86" s="14" t="inlineStr">
        <is>
          <t>Mientras no exista un destino asistencial seguro, el hospital debe:</t>
        </is>
      </c>
      <c r="I86" s="14" t="inlineStr">
        <is>
          <t>Dar de alta al paciente para liberar la cama</t>
        </is>
      </c>
      <c r="J86" s="14" t="inlineStr">
        <is>
          <t>Continuar la atención hasta que se garantice el traslado en condiciones seguras</t>
        </is>
      </c>
      <c r="K86" s="14" t="inlineStr">
        <is>
          <t>Entregar el paciente a la familia</t>
        </is>
      </c>
      <c r="L86" s="14" t="inlineStr">
        <is>
          <t>b</t>
        </is>
      </c>
      <c r="M86" s="14" t="inlineStr">
        <is>
          <t>La continuidad de la atención obliga a mantener el cuidado hasta que exista un destino asistencial seguro y coordinado.</t>
        </is>
      </c>
      <c r="N86" s="14" t="inlineStr">
        <is>
          <t>Las opciones a) y c) interrumpen la atención y trasladan el riesgo al paciente y a su familia.</t>
        </is>
      </c>
      <c r="O86" s="14" t="inlineStr">
        <is>
          <t>Ley 1751 de 2015; Decreto 780 de 2016</t>
        </is>
      </c>
      <c r="P86" s="14" t="inlineStr">
        <is>
          <t>SI</t>
        </is>
      </c>
      <c r="Q86" s="11" t="inlineStr">
        <is>
          <t>Basica</t>
        </is>
      </c>
      <c r="R86" s="11" t="inlineStr">
        <is>
          <t>repaso</t>
        </is>
      </c>
    </row>
    <row r="87" ht="34.5" customHeight="1" s="12">
      <c r="A87" s="14" t="inlineStr">
        <is>
          <t>F0086</t>
        </is>
      </c>
      <c r="B87" s="14" t="inlineStr">
        <is>
          <t>PS 2782 de 2026 - ESE 2 - HUHMP Neiva</t>
        </is>
      </c>
      <c r="C87" s="14" t="inlineStr">
        <is>
          <t>Urgencias</t>
        </is>
      </c>
      <c r="D87" s="14" t="inlineStr">
        <is>
          <t>Profesional</t>
        </is>
      </c>
      <c r="E87" s="14" t="inlineStr">
        <is>
          <t>C029</t>
        </is>
      </c>
      <c r="F87" s="14" t="inlineStr">
        <is>
          <t>Caso 029</t>
        </is>
      </c>
      <c r="G87" s="14" t="inlineStr">
        <is>
          <t>Un paciente estabilizado en urgencias requiere hospitalización, pero la EPS no autoriza y solicita el traslado a otra institución de su red.</t>
        </is>
      </c>
      <c r="H87" s="14" t="inlineStr">
        <is>
          <t>La atención inicial de urgencias comprende:</t>
        </is>
      </c>
      <c r="I87" s="14" t="inlineStr">
        <is>
          <t>Todas las acciones para estabilizar los signos vitales, diagnosticar y definir el destino inmediato del paciente</t>
        </is>
      </c>
      <c r="J87" s="14" t="inlineStr">
        <is>
          <t>Solo la valoración por el médico</t>
        </is>
      </c>
      <c r="K87" s="14" t="inlineStr">
        <is>
          <t>Solo la administración de analgésicos</t>
        </is>
      </c>
      <c r="L87" s="14" t="inlineStr">
        <is>
          <t>a</t>
        </is>
      </c>
      <c r="M87" s="14" t="inlineStr">
        <is>
          <t>La atención inicial de urgencias incluye las acciones necesarias para estabilizar signos vitales, realizar el diagnóstico de impresión y definir el destino inmediato.</t>
        </is>
      </c>
      <c r="N87" s="14" t="inlineStr">
        <is>
          <t>Las opciones b) y c) recortan un concepto que la norma define de manera integral.</t>
        </is>
      </c>
      <c r="O87" s="14" t="inlineStr">
        <is>
          <t>Decreto 780 de 2016</t>
        </is>
      </c>
      <c r="P87" s="14" t="inlineStr">
        <is>
          <t>SI</t>
        </is>
      </c>
      <c r="Q87" s="11" t="inlineStr">
        <is>
          <t>Basica</t>
        </is>
      </c>
      <c r="R87" s="11" t="inlineStr">
        <is>
          <t>repaso</t>
        </is>
      </c>
    </row>
    <row r="88" ht="34.5" customHeight="1" s="12">
      <c r="A88" s="14" t="inlineStr">
        <is>
          <t>F0087</t>
        </is>
      </c>
      <c r="B88" s="14" t="inlineStr">
        <is>
          <t>PS 2782 de 2026 - ESE 2 - HUHMP Neiva</t>
        </is>
      </c>
      <c r="C88" s="14" t="inlineStr">
        <is>
          <t>Urgencias</t>
        </is>
      </c>
      <c r="D88" s="14" t="inlineStr">
        <is>
          <t>Profesional</t>
        </is>
      </c>
      <c r="E88" s="14" t="inlineStr">
        <is>
          <t>C029</t>
        </is>
      </c>
      <c r="F88" s="14" t="inlineStr">
        <is>
          <t>Caso 029</t>
        </is>
      </c>
      <c r="G88" s="14" t="inlineStr">
        <is>
          <t>Un paciente estabilizado en urgencias requiere hospitalización, pero la EPS no autoriza y solicita el traslado a otra institución de su red.</t>
        </is>
      </c>
      <c r="H88" s="14" t="inlineStr">
        <is>
          <t>El cobro al usuario por la atención inicial de urgencias:</t>
        </is>
      </c>
      <c r="I88" s="14" t="inlineStr">
        <is>
          <t>Procede siempre que no esté afiliado</t>
        </is>
      </c>
      <c r="J88" s="14" t="inlineStr">
        <is>
          <t>No puede exigirse como condición para la atención; el recobro se surte entre las entidades responsables de pago</t>
        </is>
      </c>
      <c r="K88" s="14" t="inlineStr">
        <is>
          <t>Lo define el prestador libremente</t>
        </is>
      </c>
      <c r="L88" s="14" t="inlineStr">
        <is>
          <t>b</t>
        </is>
      </c>
      <c r="M88" s="14" t="inlineStr">
        <is>
          <t>La atención no puede condicionarse al pago; el reconocimiento económico se tramita entre las entidades responsables de pago conforme a la normativa.</t>
        </is>
      </c>
      <c r="N88" s="14" t="inlineStr">
        <is>
          <t>Las opciones a) y c) convierten un trámite económico en barrera de acceso.</t>
        </is>
      </c>
      <c r="O88" s="14" t="inlineStr">
        <is>
          <t>Ley 1751 de 2015, art. 14</t>
        </is>
      </c>
      <c r="P88" s="14" t="inlineStr">
        <is>
          <t>SI</t>
        </is>
      </c>
      <c r="Q88" s="11" t="inlineStr">
        <is>
          <t>Basica</t>
        </is>
      </c>
      <c r="R88" s="11" t="inlineStr">
        <is>
          <t>repaso</t>
        </is>
      </c>
    </row>
    <row r="89" ht="23.25" customHeight="1" s="12">
      <c r="A89" s="14" t="inlineStr">
        <is>
          <t>F0088</t>
        </is>
      </c>
      <c r="B89" s="14" t="inlineStr">
        <is>
          <t>PS 2782 de 2026 - ESE 2 - HUHMP Neiva</t>
        </is>
      </c>
      <c r="C89" s="14" t="inlineStr">
        <is>
          <t>Gestion hospitalaria y organizacion de la E.S.E.</t>
        </is>
      </c>
      <c r="D89" s="14" t="inlineStr">
        <is>
          <t>Profesional</t>
        </is>
      </c>
      <c r="E89" s="14" t="inlineStr">
        <is>
          <t>C030</t>
        </is>
      </c>
      <c r="F89" s="14" t="inlineStr">
        <is>
          <t>Caso 030</t>
        </is>
      </c>
      <c r="G89" s="14" t="inlineStr">
        <is>
          <t>La junta directiva evalúa el plan de gestión del gerente y la estructura interna de la E.S.E.</t>
        </is>
      </c>
      <c r="H89" s="14" t="inlineStr">
        <is>
          <t>La estructura básica de una E.S.E. comprende las áreas de:</t>
        </is>
      </c>
      <c r="I89" s="14" t="inlineStr">
        <is>
          <t>Dirección, atención al usuario y logística (administrativa)</t>
        </is>
      </c>
      <c r="J89" s="14" t="inlineStr">
        <is>
          <t>Jurídica, financiera y de sistemas</t>
        </is>
      </c>
      <c r="K89" s="14" t="inlineStr">
        <is>
          <t>Planeación, control interno y comunicaciones</t>
        </is>
      </c>
      <c r="L89" s="14" t="inlineStr">
        <is>
          <t>a</t>
        </is>
      </c>
      <c r="M89" s="14" t="inlineStr">
        <is>
          <t>El Decreto 1876 de 1994 define la estructura básica de las E.S.E. en tres áreas: dirección, atención al usuario y logística o administrativa.</t>
        </is>
      </c>
      <c r="N89" s="14" t="inlineStr">
        <is>
          <t>Las opciones b) y c) enumeran dependencias posibles, no las áreas estructurales definidas por la norma.</t>
        </is>
      </c>
      <c r="O89" s="14" t="inlineStr">
        <is>
          <t>Decreto 1876 de 1994, art. 7</t>
        </is>
      </c>
      <c r="P89" s="14" t="inlineStr">
        <is>
          <t>SI</t>
        </is>
      </c>
      <c r="Q89" s="11" t="inlineStr">
        <is>
          <t>Basica</t>
        </is>
      </c>
      <c r="R89" s="11" t="inlineStr">
        <is>
          <t>repaso</t>
        </is>
      </c>
    </row>
    <row r="90" ht="23.25" customHeight="1" s="12">
      <c r="A90" s="14" t="inlineStr">
        <is>
          <t>F0089</t>
        </is>
      </c>
      <c r="B90" s="14" t="inlineStr">
        <is>
          <t>PS 2782 de 2026 - ESE 2 - HUHMP Neiva</t>
        </is>
      </c>
      <c r="C90" s="14" t="inlineStr">
        <is>
          <t>Gestion hospitalaria y organizacion de la E.S.E.</t>
        </is>
      </c>
      <c r="D90" s="14" t="inlineStr">
        <is>
          <t>Profesional</t>
        </is>
      </c>
      <c r="E90" s="14" t="inlineStr">
        <is>
          <t>C030</t>
        </is>
      </c>
      <c r="F90" s="14" t="inlineStr">
        <is>
          <t>Caso 030</t>
        </is>
      </c>
      <c r="G90" s="14" t="inlineStr">
        <is>
          <t>La junta directiva evalúa el plan de gestión del gerente y la estructura interna de la E.S.E.</t>
        </is>
      </c>
      <c r="H90" s="14" t="inlineStr">
        <is>
          <t>El plan de gestión del gerente de una E.S.E.:</t>
        </is>
      </c>
      <c r="I90" s="14" t="inlineStr">
        <is>
          <t>Es potestativo</t>
        </is>
      </c>
      <c r="J90" s="14" t="inlineStr">
        <is>
          <t>Se presenta, aprueba y evalúa conforme a la metodología e indicadores definidos por el Ministerio</t>
        </is>
      </c>
      <c r="K90" s="14" t="inlineStr">
        <is>
          <t>Lo evalúa exclusivamente la Contraloría</t>
        </is>
      </c>
      <c r="L90" s="14" t="inlineStr">
        <is>
          <t>b</t>
        </is>
      </c>
      <c r="M90" s="14" t="inlineStr">
        <is>
          <t>El gerente presenta el plan de gestión y la junta directiva lo evalúa conforme a la metodología e indicadores fijados por el Ministerio de Salud.</t>
        </is>
      </c>
      <c r="N90" s="14" t="inlineStr">
        <is>
          <t>Las opciones a) y c) suprimen la obligación legal o desplazan la competencia de la junta directiva.</t>
        </is>
      </c>
      <c r="O90" s="14" t="inlineStr">
        <is>
          <t>Ley 1438 de 2011, art. 74; Resolución 710 de 2012 y 743 de 2013</t>
        </is>
      </c>
      <c r="P90" s="14" t="inlineStr">
        <is>
          <t>SI</t>
        </is>
      </c>
      <c r="Q90" s="11" t="inlineStr">
        <is>
          <t>Basica</t>
        </is>
      </c>
      <c r="R90" s="11" t="inlineStr">
        <is>
          <t>repaso</t>
        </is>
      </c>
    </row>
    <row r="91" ht="23.25" customHeight="1" s="12">
      <c r="A91" s="14" t="inlineStr">
        <is>
          <t>F0090</t>
        </is>
      </c>
      <c r="B91" s="14" t="inlineStr">
        <is>
          <t>PS 2782 de 2026 - ESE 2 - HUHMP Neiva</t>
        </is>
      </c>
      <c r="C91" s="14" t="inlineStr">
        <is>
          <t>Gestion hospitalaria y organizacion de la E.S.E.</t>
        </is>
      </c>
      <c r="D91" s="14" t="inlineStr">
        <is>
          <t>Profesional</t>
        </is>
      </c>
      <c r="E91" s="14" t="inlineStr">
        <is>
          <t>C030</t>
        </is>
      </c>
      <c r="F91" s="14" t="inlineStr">
        <is>
          <t>Caso 030</t>
        </is>
      </c>
      <c r="G91" s="14" t="inlineStr">
        <is>
          <t>La junta directiva evalúa el plan de gestión del gerente y la estructura interna de la E.S.E.</t>
        </is>
      </c>
      <c r="H91" s="14" t="inlineStr">
        <is>
          <t>La junta directiva de una E.S.E. departamental está integrada por representantes:</t>
        </is>
      </c>
      <c r="I91" s="14" t="inlineStr">
        <is>
          <t>Del sector político-administrativo, del sector científico de la salud y de la comunidad</t>
        </is>
      </c>
      <c r="J91" s="14" t="inlineStr">
        <is>
          <t>Solo del gobierno departamental</t>
        </is>
      </c>
      <c r="K91" s="14" t="inlineStr">
        <is>
          <t>Solo de los trabajadores</t>
        </is>
      </c>
      <c r="L91" s="14" t="inlineStr">
        <is>
          <t>a</t>
        </is>
      </c>
      <c r="M91" s="14" t="inlineStr">
        <is>
          <t>La junta directiva se integra por representantes del estamento político-administrativo, del científico de la salud y de la comunidad.</t>
        </is>
      </c>
      <c r="N91" s="14" t="inlineStr">
        <is>
          <t>Las opciones b) y c) desconocen la composición tripartita prevista en la norma.</t>
        </is>
      </c>
      <c r="O91" s="14" t="inlineStr">
        <is>
          <t>Decreto 1876 de 1994, art. 8</t>
        </is>
      </c>
      <c r="P91" s="14" t="inlineStr">
        <is>
          <t>SI</t>
        </is>
      </c>
      <c r="Q91" s="11" t="inlineStr">
        <is>
          <t>Basica</t>
        </is>
      </c>
      <c r="R91" s="11" t="inlineStr">
        <is>
          <t>repaso</t>
        </is>
      </c>
    </row>
    <row r="92" ht="23.25" customHeight="1" s="12">
      <c r="A92" s="14" t="inlineStr">
        <is>
          <t>F0091</t>
        </is>
      </c>
      <c r="B92" s="14" t="inlineStr">
        <is>
          <t>PS 2782 de 2026 - ESE 2 - HUHMP Neiva</t>
        </is>
      </c>
      <c r="C92" s="14" t="inlineStr">
        <is>
          <t>Gestion hospitalaria y organizacion de la E.S.E.</t>
        </is>
      </c>
      <c r="D92" s="14" t="inlineStr">
        <is>
          <t>Profesional</t>
        </is>
      </c>
      <c r="E92" s="14" t="inlineStr">
        <is>
          <t>C031</t>
        </is>
      </c>
      <c r="F92" s="14" t="inlineStr">
        <is>
          <t>Caso 031</t>
        </is>
      </c>
      <c r="G92" s="14" t="inlineStr">
        <is>
          <t>La oficina de planeación prepara la rendición de cuentas y el plan anticorrupción del hospital.</t>
        </is>
      </c>
      <c r="H92" s="14" t="inlineStr">
        <is>
          <t>El Plan Anticorrupción y de Atención al Ciudadano debe publicarse:</t>
        </is>
      </c>
      <c r="I92" s="14" t="inlineStr">
        <is>
          <t>A más tardar el 31 de enero de cada vigencia, en el sitio web de la entidad</t>
        </is>
      </c>
      <c r="J92" s="14" t="inlineStr">
        <is>
          <t>Cuando lo solicite la Contraloría</t>
        </is>
      </c>
      <c r="K92" s="14" t="inlineStr">
        <is>
          <t>Cada dos años</t>
        </is>
      </c>
      <c r="L92" s="14" t="inlineStr">
        <is>
          <t>a</t>
        </is>
      </c>
      <c r="M92" s="14" t="inlineStr">
        <is>
          <t>La ley y sus reglamentos fijan el 31 de enero como plazo máximo de elaboración y publicación anual del plan.</t>
        </is>
      </c>
      <c r="N92" s="14" t="inlineStr">
        <is>
          <t>Las opciones b) y c) desconocen la periodicidad anual y la obligación de publicación proactiva.</t>
        </is>
      </c>
      <c r="O92" s="14" t="inlineStr">
        <is>
          <t>Ley 1474 de 2011, art. 73</t>
        </is>
      </c>
      <c r="P92" s="14" t="inlineStr">
        <is>
          <t>SI</t>
        </is>
      </c>
      <c r="Q92" s="11" t="inlineStr">
        <is>
          <t>Basica</t>
        </is>
      </c>
      <c r="R92" s="11" t="inlineStr">
        <is>
          <t>repaso</t>
        </is>
      </c>
    </row>
    <row r="93" ht="23.25" customHeight="1" s="12">
      <c r="A93" s="14" t="inlineStr">
        <is>
          <t>F0092</t>
        </is>
      </c>
      <c r="B93" s="14" t="inlineStr">
        <is>
          <t>PS 2782 de 2026 - ESE 2 - HUHMP Neiva</t>
        </is>
      </c>
      <c r="C93" s="14" t="inlineStr">
        <is>
          <t>Gestion hospitalaria y organizacion de la E.S.E.</t>
        </is>
      </c>
      <c r="D93" s="14" t="inlineStr">
        <is>
          <t>Profesional</t>
        </is>
      </c>
      <c r="E93" s="14" t="inlineStr">
        <is>
          <t>C031</t>
        </is>
      </c>
      <c r="F93" s="14" t="inlineStr">
        <is>
          <t>Caso 031</t>
        </is>
      </c>
      <c r="G93" s="14" t="inlineStr">
        <is>
          <t>La oficina de planeación prepara la rendición de cuentas y el plan anticorrupción del hospital.</t>
        </is>
      </c>
      <c r="H93" s="14" t="inlineStr">
        <is>
          <t>La rendición de cuentas a la ciudadanía es:</t>
        </is>
      </c>
      <c r="I93" s="14" t="inlineStr">
        <is>
          <t>Un evento protocolario opcional</t>
        </is>
      </c>
      <c r="J93" s="14" t="inlineStr">
        <is>
          <t>Un proceso permanente de información, diálogo y responsabilidad frente a la ciudadanía</t>
        </is>
      </c>
      <c r="K93" s="14" t="inlineStr">
        <is>
          <t>Una competencia exclusiva del control interno</t>
        </is>
      </c>
      <c r="L93" s="14" t="inlineStr">
        <is>
          <t>b</t>
        </is>
      </c>
      <c r="M93" s="14" t="inlineStr">
        <is>
          <t>La rendición de cuentas es un proceso permanente que comprende información, diálogo e incentivos o responsabilidad, no un evento aislado.</t>
        </is>
      </c>
      <c r="N93" s="14" t="inlineStr">
        <is>
          <t>Las opciones a) y c) reducen el proceso a un acto formal o lo confunden con el control interno.</t>
        </is>
      </c>
      <c r="O93" s="14" t="inlineStr">
        <is>
          <t>Ley 1757 de 2015, arts. 48 y ss.</t>
        </is>
      </c>
      <c r="P93" s="14" t="inlineStr">
        <is>
          <t>SI</t>
        </is>
      </c>
      <c r="Q93" s="11" t="inlineStr">
        <is>
          <t>Basica</t>
        </is>
      </c>
      <c r="R93" s="11" t="inlineStr">
        <is>
          <t>repaso</t>
        </is>
      </c>
    </row>
    <row r="94" ht="23.25" customHeight="1" s="12">
      <c r="A94" s="14" t="inlineStr">
        <is>
          <t>F0093</t>
        </is>
      </c>
      <c r="B94" s="14" t="inlineStr">
        <is>
          <t>PS 2782 de 2026 - ESE 2 - HUHMP Neiva</t>
        </is>
      </c>
      <c r="C94" s="14" t="inlineStr">
        <is>
          <t>Gestion hospitalaria y organizacion de la E.S.E.</t>
        </is>
      </c>
      <c r="D94" s="14" t="inlineStr">
        <is>
          <t>Profesional</t>
        </is>
      </c>
      <c r="E94" s="14" t="inlineStr">
        <is>
          <t>C031</t>
        </is>
      </c>
      <c r="F94" s="14" t="inlineStr">
        <is>
          <t>Caso 031</t>
        </is>
      </c>
      <c r="G94" s="14" t="inlineStr">
        <is>
          <t>La oficina de planeación prepara la rendición de cuentas y el plan anticorrupción del hospital.</t>
        </is>
      </c>
      <c r="H94" s="14" t="inlineStr">
        <is>
          <t>Las líneas de defensa del MIPG ubican a la oficina de control interno como:</t>
        </is>
      </c>
      <c r="I94" s="14" t="inlineStr">
        <is>
          <t>Primera línea de defensa</t>
        </is>
      </c>
      <c r="J94" s="14" t="inlineStr">
        <is>
          <t>Tercera línea de defensa, con rol de evaluación independiente</t>
        </is>
      </c>
      <c r="K94" s="14" t="inlineStr">
        <is>
          <t>Línea estratégica</t>
        </is>
      </c>
      <c r="L94" s="14" t="inlineStr">
        <is>
          <t>b</t>
        </is>
      </c>
      <c r="M94" s="14" t="inlineStr">
        <is>
          <t>En el esquema de líneas de defensa, la oficina de control interno constituye la tercera línea y ejerce evaluación independiente.</t>
        </is>
      </c>
      <c r="N94" s="14" t="inlineStr">
        <is>
          <t>La primera línea son los responsables de los procesos y la línea estratégica corresponde a la alta dirección.</t>
        </is>
      </c>
      <c r="O94" s="14" t="inlineStr">
        <is>
          <t>Decreto 1499 de 2017; MIPG</t>
        </is>
      </c>
      <c r="P94" s="14" t="inlineStr">
        <is>
          <t>SI</t>
        </is>
      </c>
      <c r="Q94" s="11" t="inlineStr">
        <is>
          <t>Basica</t>
        </is>
      </c>
      <c r="R94" s="11" t="inlineStr">
        <is>
          <t>repaso</t>
        </is>
      </c>
    </row>
    <row r="95" ht="23.25" customHeight="1" s="12">
      <c r="A95" s="14" t="inlineStr">
        <is>
          <t>F0094</t>
        </is>
      </c>
      <c r="B95" s="14" t="inlineStr">
        <is>
          <t>PS 2782 de 2026 - ESE 2 - HUHMP Neiva</t>
        </is>
      </c>
      <c r="C95" s="14" t="inlineStr">
        <is>
          <t>Gestion hospitalaria y organizacion de la E.S.E.</t>
        </is>
      </c>
      <c r="D95" s="14" t="inlineStr">
        <is>
          <t>Técnico</t>
        </is>
      </c>
      <c r="E95" s="14" t="inlineStr">
        <is>
          <t>C032</t>
        </is>
      </c>
      <c r="F95" s="14" t="inlineStr">
        <is>
          <t>Caso 032</t>
        </is>
      </c>
      <c r="G95" s="14" t="inlineStr">
        <is>
          <t>El área de almacén debe manejar los inventarios de medicamentos y dispositivos médicos del hospital.</t>
        </is>
      </c>
      <c r="H95" s="14" t="inlineStr">
        <is>
          <t>La recepción técnica de medicamentos exige verificar:</t>
        </is>
      </c>
      <c r="I95" s="14" t="inlineStr">
        <is>
          <t>Registro sanitario vigente, lote, fecha de vencimiento y condiciones de conservación</t>
        </is>
      </c>
      <c r="J95" s="14" t="inlineStr">
        <is>
          <t>Solo el precio facturado</t>
        </is>
      </c>
      <c r="K95" s="14" t="inlineStr">
        <is>
          <t>Solo la cantidad recibida</t>
        </is>
      </c>
      <c r="L95" s="14" t="inlineStr">
        <is>
          <t>a</t>
        </is>
      </c>
      <c r="M95" s="14" t="inlineStr">
        <is>
          <t>La recepción técnica comprueba registro sanitario, lote, fecha de vencimiento, cadena de frío cuando aplique y condiciones de embalaje.</t>
        </is>
      </c>
      <c r="N95" s="14" t="inlineStr">
        <is>
          <t>Las opciones b) y c) reducen un control sanitario a una verificación contable.</t>
        </is>
      </c>
      <c r="O95" s="14" t="inlineStr">
        <is>
          <t>Resolución 1403 de 2007</t>
        </is>
      </c>
      <c r="P95" s="14" t="inlineStr">
        <is>
          <t>SI</t>
        </is>
      </c>
      <c r="Q95" s="11" t="inlineStr">
        <is>
          <t>Basica</t>
        </is>
      </c>
      <c r="R95" s="11" t="inlineStr">
        <is>
          <t>repaso</t>
        </is>
      </c>
    </row>
    <row r="96" ht="23.25" customHeight="1" s="12">
      <c r="A96" s="14" t="inlineStr">
        <is>
          <t>F0095</t>
        </is>
      </c>
      <c r="B96" s="14" t="inlineStr">
        <is>
          <t>PS 2782 de 2026 - ESE 2 - HUHMP Neiva</t>
        </is>
      </c>
      <c r="C96" s="14" t="inlineStr">
        <is>
          <t>Gestion hospitalaria y organizacion de la E.S.E.</t>
        </is>
      </c>
      <c r="D96" s="14" t="inlineStr">
        <is>
          <t>Técnico</t>
        </is>
      </c>
      <c r="E96" s="14" t="inlineStr">
        <is>
          <t>C032</t>
        </is>
      </c>
      <c r="F96" s="14" t="inlineStr">
        <is>
          <t>Caso 032</t>
        </is>
      </c>
      <c r="G96" s="14" t="inlineStr">
        <is>
          <t>El área de almacén debe manejar los inventarios de medicamentos y dispositivos médicos del hospital.</t>
        </is>
      </c>
      <c r="H96" s="14" t="inlineStr">
        <is>
          <t>Un medicamento próximo a vencer debe:</t>
        </is>
      </c>
      <c r="I96" s="14" t="inlineStr">
        <is>
          <t>Gestionarse conforme al procedimiento institucional de rotación o devolución, con registro documentado</t>
        </is>
      </c>
      <c r="J96" s="14" t="inlineStr">
        <is>
          <t>Usarse primero sin registro</t>
        </is>
      </c>
      <c r="K96" s="14" t="inlineStr">
        <is>
          <t>Desecharse sin acta</t>
        </is>
      </c>
      <c r="L96" s="14" t="inlineStr">
        <is>
          <t>a</t>
        </is>
      </c>
      <c r="M96" s="14" t="inlineStr">
        <is>
          <t>El manejo de medicamentos próximos a vencer sigue el procedimiento institucional documentado de rotación, devolución o baja.</t>
        </is>
      </c>
      <c r="N96" s="14" t="inlineStr">
        <is>
          <t>La opción b) omite trazabilidad y la c) incumple el procedimiento de baja y disposición final.</t>
        </is>
      </c>
      <c r="O96" s="14" t="inlineStr">
        <is>
          <t>Resolución 1403 de 2007</t>
        </is>
      </c>
      <c r="P96" s="14" t="inlineStr">
        <is>
          <t>SI</t>
        </is>
      </c>
      <c r="Q96" s="11" t="inlineStr">
        <is>
          <t>Basica</t>
        </is>
      </c>
      <c r="R96" s="11" t="inlineStr">
        <is>
          <t>repaso</t>
        </is>
      </c>
    </row>
    <row r="97" ht="34.5" customHeight="1" s="12">
      <c r="A97" s="14" t="inlineStr">
        <is>
          <t>F0096</t>
        </is>
      </c>
      <c r="B97" s="14" t="inlineStr">
        <is>
          <t>PS 2782 de 2026 - ESE 2 - HUHMP Neiva</t>
        </is>
      </c>
      <c r="C97" s="14" t="inlineStr">
        <is>
          <t>Gestion hospitalaria y organizacion de la E.S.E.</t>
        </is>
      </c>
      <c r="D97" s="14" t="inlineStr">
        <is>
          <t>Técnico</t>
        </is>
      </c>
      <c r="E97" s="14" t="inlineStr">
        <is>
          <t>C032</t>
        </is>
      </c>
      <c r="F97" s="14" t="inlineStr">
        <is>
          <t>Caso 032</t>
        </is>
      </c>
      <c r="G97" s="14" t="inlineStr">
        <is>
          <t>El área de almacén debe manejar los inventarios de medicamentos y dispositivos médicos del hospital.</t>
        </is>
      </c>
      <c r="H97" s="14" t="inlineStr">
        <is>
          <t>La disposición final de residuos peligrosos hospitalarios se rige por:</t>
        </is>
      </c>
      <c r="I97" s="14" t="inlineStr">
        <is>
          <t>El plan de gestión integral de residuos generados en la atención en salud</t>
        </is>
      </c>
      <c r="J97" s="14" t="inlineStr">
        <is>
          <t>El manual de facturación</t>
        </is>
      </c>
      <c r="K97" s="14" t="inlineStr">
        <is>
          <t>El reglamento interno de trabajo</t>
        </is>
      </c>
      <c r="L97" s="14" t="inlineStr">
        <is>
          <t>a</t>
        </is>
      </c>
      <c r="M97" s="14" t="inlineStr">
        <is>
          <t>La gestión de residuos generados en la atención en salud se realiza conforme al plan de gestión integral adoptado por la institución y la normativa ambiental sanitaria.</t>
        </is>
      </c>
      <c r="N97" s="14" t="inlineStr">
        <is>
          <t>Las opciones b) y c) invocan documentos sin relación con la gestión de residuos.</t>
        </is>
      </c>
      <c r="O97" s="14" t="inlineStr">
        <is>
          <t>Decreto 780 de 2016; Resolución 1164 de 2002</t>
        </is>
      </c>
      <c r="P97" s="14" t="inlineStr">
        <is>
          <t>SI</t>
        </is>
      </c>
      <c r="Q97" s="11" t="inlineStr">
        <is>
          <t>Basica</t>
        </is>
      </c>
      <c r="R97" s="11" t="inlineStr">
        <is>
          <t>repaso</t>
        </is>
      </c>
    </row>
    <row r="98" ht="34.5" customHeight="1" s="12">
      <c r="A98" s="14" t="inlineStr">
        <is>
          <t>F0097</t>
        </is>
      </c>
      <c r="B98" s="14" t="inlineStr">
        <is>
          <t>PS 2782 de 2026 - ESE 2 - HUHMP Neiva</t>
        </is>
      </c>
      <c r="C98" s="14" t="inlineStr">
        <is>
          <t>Contratacion en la E.S.E. y transparencia</t>
        </is>
      </c>
      <c r="D98" s="14" t="inlineStr">
        <is>
          <t>Profesional</t>
        </is>
      </c>
      <c r="E98" s="14" t="inlineStr">
        <is>
          <t>C033</t>
        </is>
      </c>
      <c r="F98" s="14" t="inlineStr">
        <is>
          <t>Caso 033</t>
        </is>
      </c>
      <c r="G98" s="14" t="inlineStr">
        <is>
          <t>El hospital adelantará la compra de equipos biomédicos por una cuantía significativa y el comité discute el procedimiento a seguir.</t>
        </is>
      </c>
      <c r="H98" s="14" t="inlineStr">
        <is>
          <t>El procedimiento aplicable es:</t>
        </is>
      </c>
      <c r="I98" s="14" t="inlineStr">
        <is>
          <t>El previsto en el estatuto de contratación adoptado por la junta directiva conforme a los lineamientos del Ministerio</t>
        </is>
      </c>
      <c r="J98" s="14" t="inlineStr">
        <is>
          <t>La licitación pública de la Ley 80 de 1993</t>
        </is>
      </c>
      <c r="K98" s="14" t="inlineStr">
        <is>
          <t>La selección abreviada del Decreto 1082 de 2015</t>
        </is>
      </c>
      <c r="L98" s="14" t="inlineStr">
        <is>
          <t>a</t>
        </is>
      </c>
      <c r="M98" s="14" t="inlineStr">
        <is>
          <t>El artículo 76 de la Ley 1438 de 2011 ordena a las juntas directivas de las E.S.E. adoptar un estatuto de contratación conforme a los lineamientos del Ministerio, desarrollados en la Resolución 5185 de 2013.</t>
        </is>
      </c>
      <c r="N98" s="14" t="inlineStr">
        <is>
          <t>Las opciones b) y c) aplican modalidades del Estatuto General, del que las E.S.E. están exceptuadas.</t>
        </is>
      </c>
      <c r="O98" s="14" t="inlineStr">
        <is>
          <t>Ley 1438 de 2011, art. 76; Resolución 5185 de 2013</t>
        </is>
      </c>
      <c r="P98" s="14" t="inlineStr">
        <is>
          <t>SI</t>
        </is>
      </c>
      <c r="Q98" s="11" t="inlineStr">
        <is>
          <t>Basica</t>
        </is>
      </c>
      <c r="R98" s="11" t="inlineStr">
        <is>
          <t>repaso</t>
        </is>
      </c>
    </row>
    <row r="99" ht="23.25" customHeight="1" s="12">
      <c r="A99" s="14" t="inlineStr">
        <is>
          <t>F0098</t>
        </is>
      </c>
      <c r="B99" s="14" t="inlineStr">
        <is>
          <t>PS 2782 de 2026 - ESE 2 - HUHMP Neiva</t>
        </is>
      </c>
      <c r="C99" s="14" t="inlineStr">
        <is>
          <t>Contratacion en la E.S.E. y transparencia</t>
        </is>
      </c>
      <c r="D99" s="14" t="inlineStr">
        <is>
          <t>Profesional</t>
        </is>
      </c>
      <c r="E99" s="14" t="inlineStr">
        <is>
          <t>C033</t>
        </is>
      </c>
      <c r="F99" s="14" t="inlineStr">
        <is>
          <t>Caso 033</t>
        </is>
      </c>
      <c r="G99" s="14" t="inlineStr">
        <is>
          <t>El hospital adelantará la compra de equipos biomédicos por una cuantía significativa y el comité discute el procedimiento a seguir.</t>
        </is>
      </c>
      <c r="H99" s="14" t="inlineStr">
        <is>
          <t>La publicidad de la actividad contractual de la E.S.E. implica que:</t>
        </is>
      </c>
      <c r="I99" s="14" t="inlineStr">
        <is>
          <t>No debe publicarse por regirse por derecho privado</t>
        </is>
      </c>
      <c r="J99" s="14" t="inlineStr">
        <is>
          <t>Debe publicarse en el SECOP, aun tratándose de un régimen especial de contratación</t>
        </is>
      </c>
      <c r="K99" s="14" t="inlineStr">
        <is>
          <t>Basta con publicarla en cartelera</t>
        </is>
      </c>
      <c r="L99" s="14" t="inlineStr">
        <is>
          <t>b</t>
        </is>
      </c>
      <c r="M99" s="14" t="inlineStr">
        <is>
          <t>Las entidades estatales con régimen especial deben publicar su actividad contractual en el SECOP, conforme a las normas de transparencia.</t>
        </is>
      </c>
      <c r="N99" s="14" t="inlineStr">
        <is>
          <t>Las opciones a) y c) confunden el régimen sustantivo con el deber de publicidad y transparencia.</t>
        </is>
      </c>
      <c r="O99" s="14" t="inlineStr">
        <is>
          <t>Ley 1712 de 2014; Ley 2195 de 2022, art. 53</t>
        </is>
      </c>
      <c r="P99" s="14" t="inlineStr">
        <is>
          <t>SI</t>
        </is>
      </c>
      <c r="Q99" s="11" t="inlineStr">
        <is>
          <t>Basica</t>
        </is>
      </c>
      <c r="R99" s="11" t="inlineStr">
        <is>
          <t>repaso</t>
        </is>
      </c>
    </row>
    <row r="100" ht="23.25" customHeight="1" s="12">
      <c r="A100" s="14" t="inlineStr">
        <is>
          <t>F0099</t>
        </is>
      </c>
      <c r="B100" s="14" t="inlineStr">
        <is>
          <t>PS 2782 de 2026 - ESE 2 - HUHMP Neiva</t>
        </is>
      </c>
      <c r="C100" s="14" t="inlineStr">
        <is>
          <t>Contratacion en la E.S.E. y transparencia</t>
        </is>
      </c>
      <c r="D100" s="14" t="inlineStr">
        <is>
          <t>Profesional</t>
        </is>
      </c>
      <c r="E100" s="14" t="inlineStr">
        <is>
          <t>C033</t>
        </is>
      </c>
      <c r="F100" s="14" t="inlineStr">
        <is>
          <t>Caso 033</t>
        </is>
      </c>
      <c r="G100" s="14" t="inlineStr">
        <is>
          <t>El hospital adelantará la compra de equipos biomédicos por una cuantía significativa y el comité discute el procedimiento a seguir.</t>
        </is>
      </c>
      <c r="H100" s="14" t="inlineStr">
        <is>
          <t>Las inhabilidades e incompatibilidades para contratar:</t>
        </is>
      </c>
      <c r="I100" s="14" t="inlineStr">
        <is>
          <t>No aplican por el régimen privado</t>
        </is>
      </c>
      <c r="J100" s="14" t="inlineStr">
        <is>
          <t>Aplican plenamente, pues tienen fuente constitucional y legal</t>
        </is>
      </c>
      <c r="K100" s="14" t="inlineStr">
        <is>
          <t>Aplican solo a contratos superiores a 100 SMLMV</t>
        </is>
      </c>
      <c r="L100" s="14" t="inlineStr">
        <is>
          <t>b</t>
        </is>
      </c>
      <c r="M100" s="14" t="inlineStr">
        <is>
          <t>El régimen de inhabilidades e incompatibilidades es de orden público y aplica con independencia del régimen contractual de la entidad.</t>
        </is>
      </c>
      <c r="N100" s="14" t="inlineStr">
        <is>
          <t>Las opciones a) y c) crean excepciones que la ley no autoriza.</t>
        </is>
      </c>
      <c r="O100" s="14" t="inlineStr">
        <is>
          <t>Ley 80 de 1993, art. 8; Ley 1474 de 2011</t>
        </is>
      </c>
      <c r="P100" s="14" t="inlineStr">
        <is>
          <t>SI</t>
        </is>
      </c>
      <c r="Q100" s="11" t="inlineStr">
        <is>
          <t>Basica</t>
        </is>
      </c>
      <c r="R100" s="11" t="inlineStr">
        <is>
          <t>repaso</t>
        </is>
      </c>
    </row>
    <row r="101" ht="23.25" customHeight="1" s="12">
      <c r="A101" s="14" t="inlineStr">
        <is>
          <t>F0100</t>
        </is>
      </c>
      <c r="B101" s="14" t="inlineStr">
        <is>
          <t>PS 2782 de 2026 - ESE 2 - HUHMP Neiva</t>
        </is>
      </c>
      <c r="C101" s="14" t="inlineStr">
        <is>
          <t>Contratacion en la E.S.E. y transparencia</t>
        </is>
      </c>
      <c r="D101" s="14" t="inlineStr">
        <is>
          <t>Profesional</t>
        </is>
      </c>
      <c r="E101" s="14" t="inlineStr">
        <is>
          <t>C034</t>
        </is>
      </c>
      <c r="F101" s="14" t="inlineStr">
        <is>
          <t>Caso 034</t>
        </is>
      </c>
      <c r="G101" s="14" t="inlineStr">
        <is>
          <t>Un supervisor de contrato detecta que el contratista incumplió parcialmente las obligaciones pactadas.</t>
        </is>
      </c>
      <c r="H101" s="14" t="inlineStr">
        <is>
          <t>La función de supervisión implica:</t>
        </is>
      </c>
      <c r="I101" s="14" t="inlineStr">
        <is>
          <t>Seguimiento técnico, administrativo, financiero, contable y jurídico del contrato</t>
        </is>
      </c>
      <c r="J101" s="14" t="inlineStr">
        <is>
          <t>Solo firmar las actas de pago</t>
        </is>
      </c>
      <c r="K101" s="14" t="inlineStr">
        <is>
          <t>Reemplazar al ordenador del gasto</t>
        </is>
      </c>
      <c r="L101" s="14" t="inlineStr">
        <is>
          <t>a</t>
        </is>
      </c>
      <c r="M101" s="14" t="inlineStr">
        <is>
          <t>La supervisión comprende el seguimiento técnico, administrativo, financiero, contable y jurídico de la ejecución del contrato.</t>
        </is>
      </c>
      <c r="N101" s="14" t="inlineStr">
        <is>
          <t>Las opciones b) y c) reducen la supervisión a un trámite o le asignan competencias que no tiene.</t>
        </is>
      </c>
      <c r="O101" s="14" t="inlineStr">
        <is>
          <t>Ley 1474 de 2011, art. 83</t>
        </is>
      </c>
      <c r="P101" s="14" t="inlineStr">
        <is>
          <t>SI</t>
        </is>
      </c>
      <c r="Q101" s="11" t="inlineStr">
        <is>
          <t>Basica</t>
        </is>
      </c>
      <c r="R101" s="11" t="inlineStr">
        <is>
          <t>repaso</t>
        </is>
      </c>
    </row>
    <row r="102" ht="34.5" customHeight="1" s="12">
      <c r="A102" s="14" t="inlineStr">
        <is>
          <t>F0101</t>
        </is>
      </c>
      <c r="B102" s="14" t="inlineStr">
        <is>
          <t>PS 2782 de 2026 - ESE 2 - HUHMP Neiva</t>
        </is>
      </c>
      <c r="C102" s="14" t="inlineStr">
        <is>
          <t>Contratacion en la E.S.E. y transparencia</t>
        </is>
      </c>
      <c r="D102" s="14" t="inlineStr">
        <is>
          <t>Profesional</t>
        </is>
      </c>
      <c r="E102" s="14" t="inlineStr">
        <is>
          <t>C034</t>
        </is>
      </c>
      <c r="F102" s="14" t="inlineStr">
        <is>
          <t>Caso 034</t>
        </is>
      </c>
      <c r="G102" s="14" t="inlineStr">
        <is>
          <t>Un supervisor de contrato detecta que el contratista incumplió parcialmente las obligaciones pactadas.</t>
        </is>
      </c>
      <c r="H102" s="14" t="inlineStr">
        <is>
          <t>Ante el incumplimiento, el supervisor debe:</t>
        </is>
      </c>
      <c r="I102" s="14" t="inlineStr">
        <is>
          <t>Requerir por escrito al contratista e informar al ordenador del gasto para las actuaciones pertinentes</t>
        </is>
      </c>
      <c r="J102" s="14" t="inlineStr">
        <is>
          <t>Abstenerse de actuar hasta la liquidación</t>
        </is>
      </c>
      <c r="K102" s="14" t="inlineStr">
        <is>
          <t>Descontar directamente el valor de la factura</t>
        </is>
      </c>
      <c r="L102" s="14" t="inlineStr">
        <is>
          <t>a</t>
        </is>
      </c>
      <c r="M102" s="14" t="inlineStr">
        <is>
          <t>El supervisor debe dejar constancia escrita del requerimiento y poner el hecho en conocimiento del ordenador del gasto para iniciar las actuaciones contractuales.</t>
        </is>
      </c>
      <c r="N102" s="14" t="inlineStr">
        <is>
          <t>Las opciones b) y c) omiten el deber de vigilancia o ejercen una potestad que no corresponde al supervisor.</t>
        </is>
      </c>
      <c r="O102" s="14" t="inlineStr">
        <is>
          <t>Ley 1474 de 2011, arts. 83 y 84</t>
        </is>
      </c>
      <c r="P102" s="14" t="inlineStr">
        <is>
          <t>SI</t>
        </is>
      </c>
      <c r="Q102" s="11" t="inlineStr">
        <is>
          <t>Basica</t>
        </is>
      </c>
      <c r="R102" s="11" t="inlineStr">
        <is>
          <t>repaso</t>
        </is>
      </c>
    </row>
    <row r="103" ht="23.25" customHeight="1" s="12">
      <c r="A103" s="14" t="inlineStr">
        <is>
          <t>F0102</t>
        </is>
      </c>
      <c r="B103" s="14" t="inlineStr">
        <is>
          <t>PS 2782 de 2026 - ESE 2 - HUHMP Neiva</t>
        </is>
      </c>
      <c r="C103" s="14" t="inlineStr">
        <is>
          <t>Contratacion en la E.S.E. y transparencia</t>
        </is>
      </c>
      <c r="D103" s="14" t="inlineStr">
        <is>
          <t>Profesional</t>
        </is>
      </c>
      <c r="E103" s="14" t="inlineStr">
        <is>
          <t>C034</t>
        </is>
      </c>
      <c r="F103" s="14" t="inlineStr">
        <is>
          <t>Caso 034</t>
        </is>
      </c>
      <c r="G103" s="14" t="inlineStr">
        <is>
          <t>Un supervisor de contrato detecta que el contratista incumplió parcialmente las obligaciones pactadas.</t>
        </is>
      </c>
      <c r="H103" s="14" t="inlineStr">
        <is>
          <t>La responsabilidad del supervisor por omisión en el seguimiento:</t>
        </is>
      </c>
      <c r="I103" s="14" t="inlineStr">
        <is>
          <t>Es inexistente si el contratista fue el incumplido</t>
        </is>
      </c>
      <c r="J103" s="14" t="inlineStr">
        <is>
          <t>Puede ser disciplinaria, fiscal y penal</t>
        </is>
      </c>
      <c r="K103" s="14" t="inlineStr">
        <is>
          <t>Se limita a un llamado de atención verbal</t>
        </is>
      </c>
      <c r="L103" s="14" t="inlineStr">
        <is>
          <t>b</t>
        </is>
      </c>
      <c r="M103" s="14" t="inlineStr">
        <is>
          <t>La ley prevé responsabilidad disciplinaria, fiscal y penal para quienes omitan el deber de vigilancia de los contratos estatales.</t>
        </is>
      </c>
      <c r="N103" s="14" t="inlineStr">
        <is>
          <t>Las opciones a) y c) desconocen el régimen de responsabilidad de los supervisores e interventores.</t>
        </is>
      </c>
      <c r="O103" s="14" t="inlineStr">
        <is>
          <t>Ley 1474 de 2011, art. 84</t>
        </is>
      </c>
      <c r="P103" s="14" t="inlineStr">
        <is>
          <t>SI</t>
        </is>
      </c>
      <c r="Q103" s="11" t="inlineStr">
        <is>
          <t>Basica</t>
        </is>
      </c>
      <c r="R103" s="11" t="inlineStr">
        <is>
          <t>repaso</t>
        </is>
      </c>
    </row>
    <row r="104" ht="23.25" customHeight="1" s="12">
      <c r="A104" s="14" t="inlineStr">
        <is>
          <t>F0103</t>
        </is>
      </c>
      <c r="B104" s="14" t="inlineStr">
        <is>
          <t>PS 2782 de 2026 - ESE 2 - HUHMP Neiva</t>
        </is>
      </c>
      <c r="C104" s="14" t="inlineStr">
        <is>
          <t>Contratacion en la E.S.E. y transparencia</t>
        </is>
      </c>
      <c r="D104" s="14" t="inlineStr">
        <is>
          <t>Técnico</t>
        </is>
      </c>
      <c r="E104" s="14" t="inlineStr">
        <is>
          <t>C035</t>
        </is>
      </c>
      <c r="F104" s="14" t="inlineStr">
        <is>
          <t>Caso 035</t>
        </is>
      </c>
      <c r="G104" s="14" t="inlineStr">
        <is>
          <t>El técnico administrativo apoya la publicación de documentos y la atención de solicitudes de información pública.</t>
        </is>
      </c>
      <c r="H104" s="14" t="inlineStr">
        <is>
          <t>La información pública clasificada o reservada:</t>
        </is>
      </c>
      <c r="I104" s="14" t="inlineStr">
        <is>
          <t>Puede negarse solo con fundamento en una excepción legal, motivando la respuesta</t>
        </is>
      </c>
      <c r="J104" s="14" t="inlineStr">
        <is>
          <t>Se niega a discreción del funcionario</t>
        </is>
      </c>
      <c r="K104" s="14" t="inlineStr">
        <is>
          <t>Se entrega siempre, por el principio de máxima publicidad</t>
        </is>
      </c>
      <c r="L104" s="14" t="inlineStr">
        <is>
          <t>a</t>
        </is>
      </c>
      <c r="M104" s="14" t="inlineStr">
        <is>
          <t>El acceso solo puede negarse con fundamento en una excepción constitucional o legal, mediante respuesta motivada y por escrito.</t>
        </is>
      </c>
      <c r="N104" s="14" t="inlineStr">
        <is>
          <t>La opción b) elimina la motivación exigida y la c) desconoce las excepciones legítimas como la reserva de la historia clínica.</t>
        </is>
      </c>
      <c r="O104" s="14" t="inlineStr">
        <is>
          <t>Ley 1712 de 2014, arts. 18 y 19</t>
        </is>
      </c>
      <c r="P104" s="14" t="inlineStr">
        <is>
          <t>SI</t>
        </is>
      </c>
      <c r="Q104" s="11" t="inlineStr">
        <is>
          <t>Basica</t>
        </is>
      </c>
      <c r="R104" s="11" t="inlineStr">
        <is>
          <t>repaso</t>
        </is>
      </c>
    </row>
    <row r="105" ht="23.25" customHeight="1" s="12">
      <c r="A105" s="14" t="inlineStr">
        <is>
          <t>F0104</t>
        </is>
      </c>
      <c r="B105" s="14" t="inlineStr">
        <is>
          <t>PS 2782 de 2026 - ESE 2 - HUHMP Neiva</t>
        </is>
      </c>
      <c r="C105" s="14" t="inlineStr">
        <is>
          <t>Contratacion en la E.S.E. y transparencia</t>
        </is>
      </c>
      <c r="D105" s="14" t="inlineStr">
        <is>
          <t>Técnico</t>
        </is>
      </c>
      <c r="E105" s="14" t="inlineStr">
        <is>
          <t>C035</t>
        </is>
      </c>
      <c r="F105" s="14" t="inlineStr">
        <is>
          <t>Caso 035</t>
        </is>
      </c>
      <c r="G105" s="14" t="inlineStr">
        <is>
          <t>El técnico administrativo apoya la publicación de documentos y la atención de solicitudes de información pública.</t>
        </is>
      </c>
      <c r="H105" s="14" t="inlineStr">
        <is>
          <t>El principio de máxima publicidad significa que:</t>
        </is>
      </c>
      <c r="I105" s="14" t="inlineStr">
        <is>
          <t>Toda información en poder del Estado se presume pública, salvo excepción legal</t>
        </is>
      </c>
      <c r="J105" s="14" t="inlineStr">
        <is>
          <t>Solo es pública la información que la entidad decida publicar</t>
        </is>
      </c>
      <c r="K105" s="14" t="inlineStr">
        <is>
          <t>La publicidad depende de la solicitud del ciudadano</t>
        </is>
      </c>
      <c r="L105" s="14" t="inlineStr">
        <is>
          <t>a</t>
        </is>
      </c>
      <c r="M105" s="14" t="inlineStr">
        <is>
          <t>La Ley de Transparencia presume pública toda la información en posesión o bajo control de los sujetos obligados, salvo excepciones.</t>
        </is>
      </c>
      <c r="N105" s="14" t="inlineStr">
        <is>
          <t>Las opciones b) y c) sujetan la publicidad a la voluntad de la entidad o a la solicitud, contra el deber de divulgación proactiva.</t>
        </is>
      </c>
      <c r="O105" s="14" t="inlineStr">
        <is>
          <t>Ley 1712 de 2014, art. 2</t>
        </is>
      </c>
      <c r="P105" s="14" t="inlineStr">
        <is>
          <t>SI</t>
        </is>
      </c>
      <c r="Q105" s="11" t="inlineStr">
        <is>
          <t>Basica</t>
        </is>
      </c>
      <c r="R105" s="11" t="inlineStr">
        <is>
          <t>repaso</t>
        </is>
      </c>
    </row>
    <row r="106" ht="23.25" customHeight="1" s="12">
      <c r="A106" s="14" t="inlineStr">
        <is>
          <t>F0105</t>
        </is>
      </c>
      <c r="B106" s="14" t="inlineStr">
        <is>
          <t>PS 2782 de 2026 - ESE 2 - HUHMP Neiva</t>
        </is>
      </c>
      <c r="C106" s="14" t="inlineStr">
        <is>
          <t>Contratacion en la E.S.E. y transparencia</t>
        </is>
      </c>
      <c r="D106" s="14" t="inlineStr">
        <is>
          <t>Técnico</t>
        </is>
      </c>
      <c r="E106" s="14" t="inlineStr">
        <is>
          <t>C035</t>
        </is>
      </c>
      <c r="F106" s="14" t="inlineStr">
        <is>
          <t>Caso 035</t>
        </is>
      </c>
      <c r="G106" s="14" t="inlineStr">
        <is>
          <t>El técnico administrativo apoya la publicación de documentos y la atención de solicitudes de información pública.</t>
        </is>
      </c>
      <c r="H106" s="14" t="inlineStr">
        <is>
          <t>La respuesta a una solicitud de información pública debe darse en:</t>
        </is>
      </c>
      <c r="I106" s="14" t="inlineStr">
        <is>
          <t>Diez (10) días hábiles, prorrogables conforme a la ley</t>
        </is>
      </c>
      <c r="J106" s="14" t="inlineStr">
        <is>
          <t>Treinta (30) días calendario</t>
        </is>
      </c>
      <c r="K106" s="14" t="inlineStr">
        <is>
          <t>Cuando el área técnica lo permita</t>
        </is>
      </c>
      <c r="L106" s="14" t="inlineStr">
        <is>
          <t>a</t>
        </is>
      </c>
      <c r="M106" s="14" t="inlineStr">
        <is>
          <t>La solicitud de acceso a información pública se responde en diez días hábiles, con la posibilidad de prórroga en los términos legales.</t>
        </is>
      </c>
      <c r="N106" s="14" t="inlineStr">
        <is>
          <t>Las opciones b) y c) amplían indebidamente el término o lo dejan indeterminado.</t>
        </is>
      </c>
      <c r="O106" s="14" t="inlineStr">
        <is>
          <t>Ley 1712 de 2014, art. 26</t>
        </is>
      </c>
      <c r="P106" s="14" t="inlineStr">
        <is>
          <t>SI</t>
        </is>
      </c>
      <c r="Q106" s="11" t="inlineStr">
        <is>
          <t>Basica</t>
        </is>
      </c>
      <c r="R106" s="11" t="inlineStr">
        <is>
          <t>repaso</t>
        </is>
      </c>
    </row>
    <row r="107" ht="34.5" customHeight="1" s="12">
      <c r="A107" s="14" t="inlineStr">
        <is>
          <t>F0106</t>
        </is>
      </c>
      <c r="B107" s="14" t="inlineStr">
        <is>
          <t>PS 2782 de 2026 - ESE 2 - HUHMP Neiva</t>
        </is>
      </c>
      <c r="C107" s="14" t="inlineStr">
        <is>
          <t>Regimen disciplinario y CPACA</t>
        </is>
      </c>
      <c r="D107" s="14" t="inlineStr">
        <is>
          <t>Profesional</t>
        </is>
      </c>
      <c r="E107" s="14" t="inlineStr">
        <is>
          <t>C036</t>
        </is>
      </c>
      <c r="F107" s="14" t="inlineStr">
        <is>
          <t>Caso 036</t>
        </is>
      </c>
      <c r="G107" s="14" t="inlineStr">
        <is>
          <t>El hospital expide un acto administrativo que niega una solicitud a un usuario. El área jurídica debe definir cómo se comunica y qué recursos proceden.</t>
        </is>
      </c>
      <c r="H107" s="14" t="inlineStr">
        <is>
          <t>El acto administrativo de carácter particular y concreto se da a conocer mediante:</t>
        </is>
      </c>
      <c r="I107" s="14" t="inlineStr">
        <is>
          <t>Notificación personal, y en subsidio por aviso</t>
        </is>
      </c>
      <c r="J107" s="14" t="inlineStr">
        <is>
          <t>Publicación en el diario oficial</t>
        </is>
      </c>
      <c r="K107" s="14" t="inlineStr">
        <is>
          <t>Comunicación verbal en ventanilla</t>
        </is>
      </c>
      <c r="L107" s="14" t="inlineStr">
        <is>
          <t>a</t>
        </is>
      </c>
      <c r="M107" s="14" t="inlineStr">
        <is>
          <t>Los actos de carácter particular se notifican personalmente y, cuando ello no es posible, mediante aviso.</t>
        </is>
      </c>
      <c r="N107" s="14" t="inlineStr">
        <is>
          <t>La publicación se reserva a los actos de carácter general y la comunicación verbal no produce efectos de notificación.</t>
        </is>
      </c>
      <c r="O107" s="14" t="inlineStr">
        <is>
          <t>Ley 1437 de 2011, arts. 67 a 69</t>
        </is>
      </c>
      <c r="P107" s="14" t="inlineStr">
        <is>
          <t>SI</t>
        </is>
      </c>
      <c r="Q107" s="11" t="inlineStr">
        <is>
          <t>Basica</t>
        </is>
      </c>
      <c r="R107" s="11" t="inlineStr">
        <is>
          <t>repaso</t>
        </is>
      </c>
    </row>
    <row r="108" ht="34.5" customHeight="1" s="12">
      <c r="A108" s="14" t="inlineStr">
        <is>
          <t>F0107</t>
        </is>
      </c>
      <c r="B108" s="14" t="inlineStr">
        <is>
          <t>PS 2782 de 2026 - ESE 2 - HUHMP Neiva</t>
        </is>
      </c>
      <c r="C108" s="14" t="inlineStr">
        <is>
          <t>Regimen disciplinario y CPACA</t>
        </is>
      </c>
      <c r="D108" s="14" t="inlineStr">
        <is>
          <t>Profesional</t>
        </is>
      </c>
      <c r="E108" s="14" t="inlineStr">
        <is>
          <t>C036</t>
        </is>
      </c>
      <c r="F108" s="14" t="inlineStr">
        <is>
          <t>Caso 036</t>
        </is>
      </c>
      <c r="G108" s="14" t="inlineStr">
        <is>
          <t>El hospital expide un acto administrativo que niega una solicitud a un usuario. El área jurídica debe definir cómo se comunica y qué recursos proceden.</t>
        </is>
      </c>
      <c r="H108" s="14" t="inlineStr">
        <is>
          <t>Los recursos que proceden por regla general en vía administrativa son:</t>
        </is>
      </c>
      <c r="I108" s="14" t="inlineStr">
        <is>
          <t>Reposición, apelación y queja, dentro de los diez (10) días siguientes a la notificación</t>
        </is>
      </c>
      <c r="J108" s="14" t="inlineStr">
        <is>
          <t>Solo reposición, dentro de los cinco (5) días</t>
        </is>
      </c>
      <c r="K108" s="14" t="inlineStr">
        <is>
          <t>Revisión y súplica, dentro de los treinta (30) días</t>
        </is>
      </c>
      <c r="L108" s="14" t="inlineStr">
        <is>
          <t>a</t>
        </is>
      </c>
      <c r="M108" s="14" t="inlineStr">
        <is>
          <t>El artículo 74 del CPACA prevé los recursos de reposición, apelación y queja, que se interponen dentro de los diez días siguientes a la notificación.</t>
        </is>
      </c>
      <c r="N108" s="14" t="inlineStr">
        <is>
          <t>Las opciones b) y c) omiten recursos o invocan medios propios del proceso judicial con términos distintos.</t>
        </is>
      </c>
      <c r="O108" s="14" t="inlineStr">
        <is>
          <t>Ley 1437 de 2011, arts. 74 y 76</t>
        </is>
      </c>
      <c r="P108" s="14" t="inlineStr">
        <is>
          <t>SI</t>
        </is>
      </c>
      <c r="Q108" s="11" t="inlineStr">
        <is>
          <t>Basica</t>
        </is>
      </c>
      <c r="R108" s="11" t="inlineStr">
        <is>
          <t>repaso</t>
        </is>
      </c>
    </row>
    <row r="109" ht="34.5" customHeight="1" s="12">
      <c r="A109" s="14" t="inlineStr">
        <is>
          <t>F0108</t>
        </is>
      </c>
      <c r="B109" s="14" t="inlineStr">
        <is>
          <t>PS 2782 de 2026 - ESE 2 - HUHMP Neiva</t>
        </is>
      </c>
      <c r="C109" s="14" t="inlineStr">
        <is>
          <t>Regimen disciplinario y CPACA</t>
        </is>
      </c>
      <c r="D109" s="14" t="inlineStr">
        <is>
          <t>Profesional</t>
        </is>
      </c>
      <c r="E109" s="14" t="inlineStr">
        <is>
          <t>C036</t>
        </is>
      </c>
      <c r="F109" s="14" t="inlineStr">
        <is>
          <t>Caso 036</t>
        </is>
      </c>
      <c r="G109" s="14" t="inlineStr">
        <is>
          <t>El hospital expide un acto administrativo que niega una solicitud a un usuario. El área jurídica debe definir cómo se comunica y qué recursos proceden.</t>
        </is>
      </c>
      <c r="H109" s="14" t="inlineStr">
        <is>
          <t>El acto queda en firme, entre otros casos:</t>
        </is>
      </c>
      <c r="I109" s="14" t="inlineStr">
        <is>
          <t>Cuando se notifica, sin más</t>
        </is>
      </c>
      <c r="J109" s="14" t="inlineStr">
        <is>
          <t>Cuando vencen los términos para interponer recursos sin que se hayan interpuesto, o cuando los interpuestos se resuelven</t>
        </is>
      </c>
      <c r="K109" s="14" t="inlineStr">
        <is>
          <t>Cuando la entidad lo publica</t>
        </is>
      </c>
      <c r="L109" s="14" t="inlineStr">
        <is>
          <t>b</t>
        </is>
      </c>
      <c r="M109" s="14" t="inlineStr">
        <is>
          <t>El artículo 87 del CPACA define la firmeza, entre otros supuestos, por el vencimiento del término sin recursos o por su resolución.</t>
        </is>
      </c>
      <c r="N109" s="14" t="inlineStr">
        <is>
          <t>Las opciones a) y c) confunden la notificación o la publicación con la firmeza del acto.</t>
        </is>
      </c>
      <c r="O109" s="14" t="inlineStr">
        <is>
          <t>Ley 1437 de 2011, art. 87</t>
        </is>
      </c>
      <c r="P109" s="14" t="inlineStr">
        <is>
          <t>SI</t>
        </is>
      </c>
      <c r="Q109" s="11" t="inlineStr">
        <is>
          <t>Basica</t>
        </is>
      </c>
      <c r="R109" s="11" t="inlineStr">
        <is>
          <t>repaso</t>
        </is>
      </c>
    </row>
    <row r="110" ht="23.25" customHeight="1" s="12">
      <c r="A110" s="14" t="inlineStr">
        <is>
          <t>F0109</t>
        </is>
      </c>
      <c r="B110" s="14" t="inlineStr">
        <is>
          <t>PS 2782 de 2026 - ESE 2 - HUHMP Neiva</t>
        </is>
      </c>
      <c r="C110" s="14" t="inlineStr">
        <is>
          <t>Regimen disciplinario y CPACA</t>
        </is>
      </c>
      <c r="D110" s="14" t="inlineStr">
        <is>
          <t>Profesional</t>
        </is>
      </c>
      <c r="E110" s="14" t="inlineStr">
        <is>
          <t>C037</t>
        </is>
      </c>
      <c r="F110" s="14" t="inlineStr">
        <is>
          <t>Caso 037</t>
        </is>
      </c>
      <c r="G110" s="14" t="inlineStr">
        <is>
          <t>Se recibe una queja contra un servidor público del hospital por presunta omisión en el cumplimiento de sus funciones.</t>
        </is>
      </c>
      <c r="H110" s="14" t="inlineStr">
        <is>
          <t>El régimen disciplinario aplicable a los servidores públicos es:</t>
        </is>
      </c>
      <c r="I110" s="14" t="inlineStr">
        <is>
          <t>La Ley 1952 de 2019, modificada por la Ley 2094 de 2021</t>
        </is>
      </c>
      <c r="J110" s="14" t="inlineStr">
        <is>
          <t>La Ley 734 de 2002, aún vigente en su integridad</t>
        </is>
      </c>
      <c r="K110" s="14" t="inlineStr">
        <is>
          <t>El Código Penal</t>
        </is>
      </c>
      <c r="L110" s="14" t="inlineStr">
        <is>
          <t>a</t>
        </is>
      </c>
      <c r="M110" s="14" t="inlineStr">
        <is>
          <t>El Código General Disciplinario, Ley 1952 de 2019, modificado por la Ley 2094 de 2021, rige la materia disciplinaria.</t>
        </is>
      </c>
      <c r="N110" s="14" t="inlineStr">
        <is>
          <t>La opción b) invoca un código sustituido y la c) confunde responsabilidad disciplinaria con la penal.</t>
        </is>
      </c>
      <c r="O110" s="14" t="inlineStr">
        <is>
          <t>Ley 1952 de 2019; Ley 2094 de 2021</t>
        </is>
      </c>
      <c r="P110" s="14" t="inlineStr">
        <is>
          <t>SI</t>
        </is>
      </c>
      <c r="Q110" s="11" t="inlineStr">
        <is>
          <t>Basica</t>
        </is>
      </c>
      <c r="R110" s="11" t="inlineStr">
        <is>
          <t>repaso</t>
        </is>
      </c>
    </row>
    <row r="111" ht="23.25" customHeight="1" s="12">
      <c r="A111" s="14" t="inlineStr">
        <is>
          <t>F0110</t>
        </is>
      </c>
      <c r="B111" s="14" t="inlineStr">
        <is>
          <t>PS 2782 de 2026 - ESE 2 - HUHMP Neiva</t>
        </is>
      </c>
      <c r="C111" s="14" t="inlineStr">
        <is>
          <t>Regimen disciplinario y CPACA</t>
        </is>
      </c>
      <c r="D111" s="14" t="inlineStr">
        <is>
          <t>Profesional</t>
        </is>
      </c>
      <c r="E111" s="14" t="inlineStr">
        <is>
          <t>C037</t>
        </is>
      </c>
      <c r="F111" s="14" t="inlineStr">
        <is>
          <t>Caso 037</t>
        </is>
      </c>
      <c r="G111" s="14" t="inlineStr">
        <is>
          <t>Se recibe una queja contra un servidor público del hospital por presunta omisión en el cumplimiento de sus funciones.</t>
        </is>
      </c>
      <c r="H111" s="14" t="inlineStr">
        <is>
          <t>Las faltas disciplinarias se clasifican en:</t>
        </is>
      </c>
      <c r="I111" s="14" t="inlineStr">
        <is>
          <t>Gravísimas, graves y leves</t>
        </is>
      </c>
      <c r="J111" s="14" t="inlineStr">
        <is>
          <t>Dolosas y culposas únicamente</t>
        </is>
      </c>
      <c r="K111" s="14" t="inlineStr">
        <is>
          <t>Principales y accesorias</t>
        </is>
      </c>
      <c r="L111" s="14" t="inlineStr">
        <is>
          <t>a</t>
        </is>
      </c>
      <c r="M111" s="14" t="inlineStr">
        <is>
          <t>El Código General Disciplinario clasifica las faltas en gravísimas, graves y leves, con criterios legales para determinar su gravedad.</t>
        </is>
      </c>
      <c r="N111" s="14" t="inlineStr">
        <is>
          <t>La opción b) alude a la modalidad de la conducta y la c) a una clasificación de sanciones penales.</t>
        </is>
      </c>
      <c r="O111" s="14" t="inlineStr">
        <is>
          <t>Ley 1952 de 2019, arts. 51 y 52</t>
        </is>
      </c>
      <c r="P111" s="14" t="inlineStr">
        <is>
          <t>SI</t>
        </is>
      </c>
      <c r="Q111" s="11" t="inlineStr">
        <is>
          <t>Basica</t>
        </is>
      </c>
      <c r="R111" s="11" t="inlineStr">
        <is>
          <t>repaso</t>
        </is>
      </c>
    </row>
    <row r="112" ht="23.25" customHeight="1" s="12">
      <c r="A112" s="14" t="inlineStr">
        <is>
          <t>F0111</t>
        </is>
      </c>
      <c r="B112" s="14" t="inlineStr">
        <is>
          <t>PS 2782 de 2026 - ESE 2 - HUHMP Neiva</t>
        </is>
      </c>
      <c r="C112" s="14" t="inlineStr">
        <is>
          <t>Regimen disciplinario y CPACA</t>
        </is>
      </c>
      <c r="D112" s="14" t="inlineStr">
        <is>
          <t>Profesional</t>
        </is>
      </c>
      <c r="E112" s="14" t="inlineStr">
        <is>
          <t>C037</t>
        </is>
      </c>
      <c r="F112" s="14" t="inlineStr">
        <is>
          <t>Caso 037</t>
        </is>
      </c>
      <c r="G112" s="14" t="inlineStr">
        <is>
          <t>Se recibe una queja contra un servidor público del hospital por presunta omisión en el cumplimiento de sus funciones.</t>
        </is>
      </c>
      <c r="H112" s="14" t="inlineStr">
        <is>
          <t>La ilicitud sustancial disciplinaria supone que:</t>
        </is>
      </c>
      <c r="I112" s="14" t="inlineStr">
        <is>
          <t>Basta la mera tipicidad de la conducta</t>
        </is>
      </c>
      <c r="J112" s="14" t="inlineStr">
        <is>
          <t>La conducta afecta sustancialmente el deber funcional sin justificación</t>
        </is>
      </c>
      <c r="K112" s="14" t="inlineStr">
        <is>
          <t>Se requiere daño patrimonial</t>
        </is>
      </c>
      <c r="L112" s="14" t="inlineStr">
        <is>
          <t>b</t>
        </is>
      </c>
      <c r="M112" s="14" t="inlineStr">
        <is>
          <t>La ilicitud sustancial exige que la conducta afecte sustancialmente el deber funcional, sin justificación alguna.</t>
        </is>
      </c>
      <c r="N112" s="14" t="inlineStr">
        <is>
          <t>La opción a) prescinde del juicio de sustancialidad y la c) introduce un elemento propio de la responsabilidad fiscal.</t>
        </is>
      </c>
      <c r="O112" s="14" t="inlineStr">
        <is>
          <t>Ley 1952 de 2019, art. 9</t>
        </is>
      </c>
      <c r="P112" s="14" t="inlineStr">
        <is>
          <t>SI</t>
        </is>
      </c>
      <c r="Q112" s="11" t="inlineStr">
        <is>
          <t>Basica</t>
        </is>
      </c>
      <c r="R112" s="11" t="inlineStr">
        <is>
          <t>repaso</t>
        </is>
      </c>
    </row>
    <row r="113" ht="23.25" customHeight="1" s="12">
      <c r="A113" s="14" t="inlineStr">
        <is>
          <t>F0112</t>
        </is>
      </c>
      <c r="B113" s="14" t="inlineStr">
        <is>
          <t>PS 2782 de 2026 - ESE 2 - HUHMP Neiva</t>
        </is>
      </c>
      <c r="C113" s="14" t="inlineStr">
        <is>
          <t>Regimen disciplinario y CPACA</t>
        </is>
      </c>
      <c r="D113" s="14" t="inlineStr">
        <is>
          <t>Técnico</t>
        </is>
      </c>
      <c r="E113" s="14" t="inlineStr">
        <is>
          <t>C038</t>
        </is>
      </c>
      <c r="F113" s="14" t="inlineStr">
        <is>
          <t>Caso 038</t>
        </is>
      </c>
      <c r="G113" s="14" t="inlineStr">
        <is>
          <t>Un ciudadano radica una petición y la dependencia competente no responde dentro del término legal.</t>
        </is>
      </c>
      <c r="H113" s="14" t="inlineStr">
        <is>
          <t>El silencio administrativo negativo se configura, por regla general, transcurridos:</t>
        </is>
      </c>
      <c r="I113" s="14" t="inlineStr">
        <is>
          <t>Tres (3) meses desde la presentación de la petición</t>
        </is>
      </c>
      <c r="J113" s="14" t="inlineStr">
        <is>
          <t>Quince (15) días hábiles</t>
        </is>
      </c>
      <c r="K113" s="14" t="inlineStr">
        <is>
          <t>Un (1) año</t>
        </is>
      </c>
      <c r="L113" s="14" t="inlineStr">
        <is>
          <t>a</t>
        </is>
      </c>
      <c r="M113" s="14" t="inlineStr">
        <is>
          <t>El artículo 83 del CPACA establece que, salvo norma especial, transcurridos tres meses sin respuesta se entiende negada la petición.</t>
        </is>
      </c>
      <c r="N113" s="14" t="inlineStr">
        <is>
          <t>La opción b) corresponde al término de respuesta y la c) a un plazo que la norma no prevé.</t>
        </is>
      </c>
      <c r="O113" s="14" t="inlineStr">
        <is>
          <t>Ley 1437 de 2011, art. 83</t>
        </is>
      </c>
      <c r="P113" s="14" t="inlineStr">
        <is>
          <t>SI</t>
        </is>
      </c>
      <c r="Q113" s="11" t="inlineStr">
        <is>
          <t>Basica</t>
        </is>
      </c>
      <c r="R113" s="11" t="inlineStr">
        <is>
          <t>repaso</t>
        </is>
      </c>
    </row>
    <row r="114" ht="23.25" customHeight="1" s="12">
      <c r="A114" s="14" t="inlineStr">
        <is>
          <t>F0113</t>
        </is>
      </c>
      <c r="B114" s="14" t="inlineStr">
        <is>
          <t>PS 2782 de 2026 - ESE 2 - HUHMP Neiva</t>
        </is>
      </c>
      <c r="C114" s="14" t="inlineStr">
        <is>
          <t>Regimen disciplinario y CPACA</t>
        </is>
      </c>
      <c r="D114" s="14" t="inlineStr">
        <is>
          <t>Técnico</t>
        </is>
      </c>
      <c r="E114" s="14" t="inlineStr">
        <is>
          <t>C038</t>
        </is>
      </c>
      <c r="F114" s="14" t="inlineStr">
        <is>
          <t>Caso 038</t>
        </is>
      </c>
      <c r="G114" s="14" t="inlineStr">
        <is>
          <t>Un ciudadano radica una petición y la dependencia competente no responde dentro del término legal.</t>
        </is>
      </c>
      <c r="H114" s="14" t="inlineStr">
        <is>
          <t>El silencio negativo:</t>
        </is>
      </c>
      <c r="I114" s="14" t="inlineStr">
        <is>
          <t>Exime a la administración del deber de resolver</t>
        </is>
      </c>
      <c r="J114" s="14" t="inlineStr">
        <is>
          <t>No exime a la administración del deber de decidir sobre la petición inicial</t>
        </is>
      </c>
      <c r="K114" s="14" t="inlineStr">
        <is>
          <t>Equivale a una decisión favorable</t>
        </is>
      </c>
      <c r="L114" s="14" t="inlineStr">
        <is>
          <t>b</t>
        </is>
      </c>
      <c r="M114" s="14" t="inlineStr">
        <is>
          <t>La ocurrencia del silencio negativo no releva a la autoridad de su obligación de decidir, salvo que el interesado haya acudido ante la jurisdicción.</t>
        </is>
      </c>
      <c r="N114" s="14" t="inlineStr">
        <is>
          <t>Las opciones a) y c) desconocen el deber de resolver y confunden el silencio negativo con el positivo.</t>
        </is>
      </c>
      <c r="O114" s="14" t="inlineStr">
        <is>
          <t>Ley 1437 de 2011, arts. 83 y 84</t>
        </is>
      </c>
      <c r="P114" s="14" t="inlineStr">
        <is>
          <t>SI</t>
        </is>
      </c>
      <c r="Q114" s="11" t="inlineStr">
        <is>
          <t>Basica</t>
        </is>
      </c>
      <c r="R114" s="11" t="inlineStr">
        <is>
          <t>repaso</t>
        </is>
      </c>
    </row>
    <row r="115" ht="23.25" customHeight="1" s="12">
      <c r="A115" s="14" t="inlineStr">
        <is>
          <t>F0114</t>
        </is>
      </c>
      <c r="B115" s="14" t="inlineStr">
        <is>
          <t>PS 2782 de 2026 - ESE 2 - HUHMP Neiva</t>
        </is>
      </c>
      <c r="C115" s="14" t="inlineStr">
        <is>
          <t>Regimen disciplinario y CPACA</t>
        </is>
      </c>
      <c r="D115" s="14" t="inlineStr">
        <is>
          <t>Técnico</t>
        </is>
      </c>
      <c r="E115" s="14" t="inlineStr">
        <is>
          <t>C038</t>
        </is>
      </c>
      <c r="F115" s="14" t="inlineStr">
        <is>
          <t>Caso 038</t>
        </is>
      </c>
      <c r="G115" s="14" t="inlineStr">
        <is>
          <t>Un ciudadano radica una petición y la dependencia competente no responde dentro del término legal.</t>
        </is>
      </c>
      <c r="H115" s="14" t="inlineStr">
        <is>
          <t>La petición incompleta debe:</t>
        </is>
      </c>
      <c r="I115" s="14" t="inlineStr">
        <is>
          <t>Rechazarse de plano</t>
        </is>
      </c>
      <c r="J115" s="14" t="inlineStr">
        <is>
          <t>Requerirse al peticionario para que la complete, con las consecuencias legales si no lo hace</t>
        </is>
      </c>
      <c r="K115" s="14" t="inlineStr">
        <is>
          <t>Archivarse sin aviso</t>
        </is>
      </c>
      <c r="L115" s="14" t="inlineStr">
        <is>
          <t>b</t>
        </is>
      </c>
      <c r="M115" s="14" t="inlineStr">
        <is>
          <t>El artículo 17 del CPACA ordena requerir al peticionario para completar la petición, con desistimiento tácito si no atiende el requerimiento.</t>
        </is>
      </c>
      <c r="N115" s="14" t="inlineStr">
        <is>
          <t>Las opciones a) y c) niegan el derecho de petición sin agotar el requerimiento previo.</t>
        </is>
      </c>
      <c r="O115" s="14" t="inlineStr">
        <is>
          <t>Ley 1437 de 2011, art. 17</t>
        </is>
      </c>
      <c r="P115" s="14" t="inlineStr">
        <is>
          <t>SI</t>
        </is>
      </c>
      <c r="Q115" s="11" t="inlineStr">
        <is>
          <t>Basica</t>
        </is>
      </c>
      <c r="R115" s="11" t="inlineStr">
        <is>
          <t>repaso</t>
        </is>
      </c>
    </row>
    <row r="116" ht="34.5" customHeight="1" s="12">
      <c r="A116" s="14" t="inlineStr">
        <is>
          <t>F0115</t>
        </is>
      </c>
      <c r="B116" s="14" t="inlineStr">
        <is>
          <t>PS 2782 de 2026 - ESE 2 - HUHMP Neiva</t>
        </is>
      </c>
      <c r="C116" s="14" t="inlineStr">
        <is>
          <t>Precision juridica del verbo</t>
        </is>
      </c>
      <c r="D116" s="14" t="inlineStr">
        <is>
          <t>Profesional</t>
        </is>
      </c>
      <c r="E116" s="14" t="inlineStr">
        <is>
          <t>C039</t>
        </is>
      </c>
      <c r="F116" s="14" t="inlineStr">
        <is>
          <t>Caso 039</t>
        </is>
      </c>
      <c r="G116" s="14" t="inlineStr">
        <is>
          <t>En la revisión de un proyecto de acto administrativo, la asesora observa que el documento usa indistintamente los verbos notificar, comunicar y publicar, y en otro aparte confunde revocar con anular.</t>
        </is>
      </c>
      <c r="H116" s="14" t="inlineStr">
        <is>
          <t>La diferencia correcta entre notificar, comunicar y publicar es:</t>
        </is>
      </c>
      <c r="I116" s="14" t="inlineStr">
        <is>
          <t>Notificar los actos particulares, comunicar los de trámite y publicar los generales</t>
        </is>
      </c>
      <c r="J116" s="14" t="inlineStr">
        <is>
          <t>Publicar los actos particulares, notificar los de trámite y comunicar los generales</t>
        </is>
      </c>
      <c r="K116" s="14" t="inlineStr">
        <is>
          <t>Comunicar los actos particulares, publicar los de trámite y notificar los generales</t>
        </is>
      </c>
      <c r="L116" s="14" t="inlineStr">
        <is>
          <t>a</t>
        </is>
      </c>
      <c r="M116" s="14" t="inlineStr">
        <is>
          <t>La notificación se reserva a los actos particulares y concretos, la comunicación a actos de trámite o a terceros interesados y la publicación a los actos de carácter general.</t>
        </is>
      </c>
      <c r="N116" s="14" t="inlineStr">
        <is>
          <t>Las opciones b) y c) intercambian los destinatarios: notificar es para los actos particulares, comunicar para los de trámite y publicar para los generales.</t>
        </is>
      </c>
      <c r="O116" s="14" t="inlineStr">
        <is>
          <t>Ley 1437 de 2011, arts. 65, 67 y 68</t>
        </is>
      </c>
      <c r="P116" s="14" t="inlineStr">
        <is>
          <t>SI</t>
        </is>
      </c>
    </row>
    <row r="117" ht="34.5" customHeight="1" s="12">
      <c r="A117" s="14" t="inlineStr">
        <is>
          <t>F0116</t>
        </is>
      </c>
      <c r="B117" s="14" t="inlineStr">
        <is>
          <t>PS 2782 de 2026 - ESE 2 - HUHMP Neiva</t>
        </is>
      </c>
      <c r="C117" s="14" t="inlineStr">
        <is>
          <t>Precision juridica del verbo</t>
        </is>
      </c>
      <c r="D117" s="14" t="inlineStr">
        <is>
          <t>Profesional</t>
        </is>
      </c>
      <c r="E117" s="14" t="inlineStr">
        <is>
          <t>C039</t>
        </is>
      </c>
      <c r="F117" s="14" t="inlineStr">
        <is>
          <t>Caso 039</t>
        </is>
      </c>
      <c r="G117" s="14" t="inlineStr">
        <is>
          <t>En la revisión de un proyecto de acto administrativo, la asesora observa que el documento usa indistintamente los verbos notificar, comunicar y publicar, y en otro aparte confunde revocar con anular.</t>
        </is>
      </c>
      <c r="H117" s="14" t="inlineStr">
        <is>
          <t>Revocar, anular y suspender se distinguen porque:</t>
        </is>
      </c>
      <c r="I117" s="14" t="inlineStr">
        <is>
          <t>Revoca la administración, anula el juez y suspende quien tenga competencia</t>
        </is>
      </c>
      <c r="J117" s="14" t="inlineStr">
        <is>
          <t>Revoca el juez, anula la administración y suspende el superior jerárquico</t>
        </is>
      </c>
      <c r="K117" s="14" t="inlineStr">
        <is>
          <t>Revoca el superior, anula el Ministerio Público y suspende el ordenador</t>
        </is>
      </c>
      <c r="L117" s="14" t="inlineStr">
        <is>
          <t>a</t>
        </is>
      </c>
      <c r="M117" s="14" t="inlineStr">
        <is>
          <t>La revocatoria directa es una potestad de la administración, la nulidad la declara el juez y la suspensión es una medida temporal que adopta quien tiene competencia para ello.</t>
        </is>
      </c>
      <c r="N117" s="14" t="inlineStr">
        <is>
          <t>Las opciones b) y c) reparten los tres verbos entre autoridades distintas de las que el ordenamiento habilita para cada actuación.</t>
        </is>
      </c>
      <c r="O117" s="14" t="inlineStr">
        <is>
          <t>Ley 1437 de 2011, arts. 93 y ss.; art. 137</t>
        </is>
      </c>
      <c r="P117" s="14" t="inlineStr">
        <is>
          <t>SI</t>
        </is>
      </c>
    </row>
    <row r="118" ht="34.5" customHeight="1" s="12">
      <c r="A118" s="14" t="inlineStr">
        <is>
          <t>F0117</t>
        </is>
      </c>
      <c r="B118" s="14" t="inlineStr">
        <is>
          <t>PS 2782 de 2026 - ESE 2 - HUHMP Neiva</t>
        </is>
      </c>
      <c r="C118" s="14" t="inlineStr">
        <is>
          <t>Precision juridica del verbo</t>
        </is>
      </c>
      <c r="D118" s="14" t="inlineStr">
        <is>
          <t>Profesional</t>
        </is>
      </c>
      <c r="E118" s="14" t="inlineStr">
        <is>
          <t>C039</t>
        </is>
      </c>
      <c r="F118" s="14" t="inlineStr">
        <is>
          <t>Caso 039</t>
        </is>
      </c>
      <c r="G118" s="14" t="inlineStr">
        <is>
          <t>En la revisión de un proyecto de acto administrativo, la asesora observa que el documento usa indistintamente los verbos notificar, comunicar y publicar, y en otro aparte confunde revocar con anular.</t>
        </is>
      </c>
      <c r="H118" s="14" t="inlineStr">
        <is>
          <t>Citar y convocar se diferencian en que:</t>
        </is>
      </c>
      <c r="I118" s="14" t="inlineStr">
        <is>
          <t>Se cita a una persona determinada y se convoca a un cuerpo colegiado</t>
        </is>
      </c>
      <c r="J118" s="14" t="inlineStr">
        <is>
          <t>Se cita a un cuerpo colegiado y se convoca a una persona determinada</t>
        </is>
      </c>
      <c r="K118" s="14" t="inlineStr">
        <is>
          <t>Se cita mediante aviso público y se convoca mediante oficio personal</t>
        </is>
      </c>
      <c r="L118" s="14" t="inlineStr">
        <is>
          <t>a</t>
        </is>
      </c>
      <c r="M118" s="14" t="inlineStr">
        <is>
          <t>La citación se dirige a una persona determinada para una actuación concreta, mientras la convocatoria llama a un colegiado o a un conjunto de destinatarios.</t>
        </is>
      </c>
      <c r="N118" s="14" t="inlineStr">
        <is>
          <t>La opción b) invierte los destinatarios de cada verbo y la opción c) los distingue por el medio de comunicación, que no es el criterio.</t>
        </is>
      </c>
      <c r="O118" s="14" t="inlineStr">
        <is>
          <t>Ley 1437 de 2011; Ley 909 de 2004, art. 31</t>
        </is>
      </c>
      <c r="P118" s="14" t="inlineStr">
        <is>
          <t>SI</t>
        </is>
      </c>
    </row>
    <row r="119" ht="34.5" customHeight="1" s="12">
      <c r="A119" s="14" t="inlineStr">
        <is>
          <t>F0118</t>
        </is>
      </c>
      <c r="B119" s="14" t="inlineStr">
        <is>
          <t>PS 2782 de 2026 - ESE 2 - HUHMP Neiva</t>
        </is>
      </c>
      <c r="C119" s="14" t="inlineStr">
        <is>
          <t>Precision juridica del verbo</t>
        </is>
      </c>
      <c r="D119" s="14" t="inlineStr">
        <is>
          <t>Técnico</t>
        </is>
      </c>
      <c r="E119" s="14" t="inlineStr">
        <is>
          <t>C040</t>
        </is>
      </c>
      <c r="F119" s="14" t="inlineStr">
        <is>
          <t>Caso 040</t>
        </is>
      </c>
      <c r="G119" s="14" t="inlineStr">
        <is>
          <t>En una minuta institucional aparecen las expresiones derogar, modificar y subrogar, y el equipo necesita usarlas correctamente al actualizar un manual.</t>
        </is>
      </c>
      <c r="H119" s="14" t="inlineStr">
        <is>
          <t>Derogar una norma significa:</t>
        </is>
      </c>
      <c r="I119" s="14" t="inlineStr">
        <is>
          <t>Dejarla sin efectos hacia el futuro por otra norma de igual rango</t>
        </is>
      </c>
      <c r="J119" s="14" t="inlineStr">
        <is>
          <t>Dejarla sin efectos por decisión judicial que declara su nulidad</t>
        </is>
      </c>
      <c r="K119" s="14" t="inlineStr">
        <is>
          <t>Dejarla sin aplicación temporal mientras se resuelve el fondo</t>
        </is>
      </c>
      <c r="L119" s="14" t="inlineStr">
        <is>
          <t>a</t>
        </is>
      </c>
      <c r="M119" s="14" t="inlineStr">
        <is>
          <t>La derogación priva de efectos a la norma hacia el futuro y proviene de otra norma de igual o superior jerarquía.</t>
        </is>
      </c>
      <c r="N119" s="14" t="inlineStr">
        <is>
          <t>La opción b) corresponde al control judicial y la c) a una medida temporal que no extingue la norma.</t>
        </is>
      </c>
      <c r="O119" s="14" t="inlineStr">
        <is>
          <t>Ley 153 de 1887; C.P. art. 150</t>
        </is>
      </c>
      <c r="P119" s="14" t="inlineStr">
        <is>
          <t>SI</t>
        </is>
      </c>
    </row>
    <row r="120" ht="34.5" customHeight="1" s="12">
      <c r="A120" s="14" t="inlineStr">
        <is>
          <t>F0119</t>
        </is>
      </c>
      <c r="B120" s="14" t="inlineStr">
        <is>
          <t>PS 2782 de 2026 - ESE 2 - HUHMP Neiva</t>
        </is>
      </c>
      <c r="C120" s="14" t="inlineStr">
        <is>
          <t>Precision juridica del verbo</t>
        </is>
      </c>
      <c r="D120" s="14" t="inlineStr">
        <is>
          <t>Técnico</t>
        </is>
      </c>
      <c r="E120" s="14" t="inlineStr">
        <is>
          <t>C040</t>
        </is>
      </c>
      <c r="F120" s="14" t="inlineStr">
        <is>
          <t>Caso 040</t>
        </is>
      </c>
      <c r="G120" s="14" t="inlineStr">
        <is>
          <t>En una minuta institucional aparecen las expresiones derogar, modificar y subrogar, y el equipo necesita usarlas correctamente al actualizar un manual.</t>
        </is>
      </c>
      <c r="H120" s="14" t="inlineStr">
        <is>
          <t>Modificar y subrogar se diferencian en que:</t>
        </is>
      </c>
      <c r="I120" s="14" t="inlineStr">
        <is>
          <t>Modificar cambia una parte y subrogar sustituye toda la disposición</t>
        </is>
      </c>
      <c r="J120" s="14" t="inlineStr">
        <is>
          <t>Modificar sustituye toda la disposición y subrogar cambia una parte</t>
        </is>
      </c>
      <c r="K120" s="14" t="inlineStr">
        <is>
          <t>Modificar deroga la disposición y subrogar suspende su aplicación</t>
        </is>
      </c>
      <c r="L120" s="14" t="inlineStr">
        <is>
          <t>a</t>
        </is>
      </c>
      <c r="M120" s="14" t="inlineStr">
        <is>
          <t>La modificación cambia una parte del texto y la subrogación sustituye integralmente la disposición por una nueva.</t>
        </is>
      </c>
      <c r="N120" s="14" t="inlineStr">
        <is>
          <t>La opción b) invierte el alcance de los dos verbos y la opción c) los confunde con la derogatoria y la suspensión.</t>
        </is>
      </c>
      <c r="O120" s="14" t="inlineStr">
        <is>
          <t>Ley 153 de 1887</t>
        </is>
      </c>
      <c r="P120" s="14" t="inlineStr">
        <is>
          <t>SI</t>
        </is>
      </c>
    </row>
    <row r="121" ht="34.5" customHeight="1" s="12">
      <c r="A121" s="14" t="inlineStr">
        <is>
          <t>F0120</t>
        </is>
      </c>
      <c r="B121" s="14" t="inlineStr">
        <is>
          <t>PS 2782 de 2026 - ESE 2 - HUHMP Neiva</t>
        </is>
      </c>
      <c r="C121" s="14" t="inlineStr">
        <is>
          <t>Precision juridica del verbo</t>
        </is>
      </c>
      <c r="D121" s="14" t="inlineStr">
        <is>
          <t>Técnico</t>
        </is>
      </c>
      <c r="E121" s="14" t="inlineStr">
        <is>
          <t>C040</t>
        </is>
      </c>
      <c r="F121" s="14" t="inlineStr">
        <is>
          <t>Caso 040</t>
        </is>
      </c>
      <c r="G121" s="14" t="inlineStr">
        <is>
          <t>En una minuta institucional aparecen las expresiones derogar, modificar y subrogar, y el equipo necesita usarlas correctamente al actualizar un manual.</t>
        </is>
      </c>
      <c r="H121" s="14" t="inlineStr">
        <is>
          <t>Una norma revocada antes de entrar a producir efectos, como ocurrió con la Resolución 1732 de 2026:</t>
        </is>
      </c>
      <c r="I121" s="14" t="inlineStr">
        <is>
          <t>La norma anterior continúa vigente, sin interrupción de su aplicación</t>
        </is>
      </c>
      <c r="J121" s="14" t="inlineStr">
        <is>
          <t>La norma anterior queda derogada y el vacío lo llena la costumbre</t>
        </is>
      </c>
      <c r="K121" s="14" t="inlineStr">
        <is>
          <t>La norma anterior revive con efectos retroactivos a la derogatoria</t>
        </is>
      </c>
      <c r="L121" s="14" t="inlineStr">
        <is>
          <t>a</t>
        </is>
      </c>
      <c r="M121" s="14" t="inlineStr">
        <is>
          <t>Al revocarse íntegramente la resolución que derogaba la norma anterior, esta continúa vigente sin interrupción, como ocurrió con la Resolución 3100 de 2019.</t>
        </is>
      </c>
      <c r="N121" s="14" t="inlineStr">
        <is>
          <t>Las opciones b) y c) suponen efectos que la revocatoria no produce.</t>
        </is>
      </c>
      <c r="O121" s="14" t="inlineStr">
        <is>
          <t>Resolución 2080 de 2026 (Minsalud); Ley 1437 de 2011, art. 93</t>
        </is>
      </c>
      <c r="P121" s="14" t="inlineStr">
        <is>
          <t>SI</t>
        </is>
      </c>
    </row>
    <row r="122" ht="45.75" customHeight="1" s="12">
      <c r="A122" s="14" t="inlineStr">
        <is>
          <t>F0121</t>
        </is>
      </c>
      <c r="B122" s="14" t="inlineStr">
        <is>
          <t>PS 2782 de 2026 - ESE 2 - HUHMP Neiva</t>
        </is>
      </c>
      <c r="C122" s="14" t="inlineStr">
        <is>
          <t>Precision juridica del verbo</t>
        </is>
      </c>
      <c r="D122" s="14" t="inlineStr">
        <is>
          <t>Profesional</t>
        </is>
      </c>
      <c r="E122" s="14" t="inlineStr">
        <is>
          <t>C041</t>
        </is>
      </c>
      <c r="F122" s="14" t="inlineStr">
        <is>
          <t>Caso 041</t>
        </is>
      </c>
      <c r="G122" s="14" t="inlineStr">
        <is>
          <t>Un usuario interpone recurso de reposición contra una decisión del hospital. El jefe jurídico pregunta con qué verbo debe redactarse la parte resolutiva del acto que resuelve el recurso.</t>
        </is>
      </c>
      <c r="H122" s="14" t="inlineStr">
        <is>
          <t>Al resolver el recurso, la autoridad puede:</t>
        </is>
      </c>
      <c r="I122" s="14" t="inlineStr">
        <is>
          <t>Confirmar, modificar o revocar la decisión recurrida</t>
        </is>
      </c>
      <c r="J122" s="14" t="inlineStr">
        <is>
          <t>Anular, suspender o inaplicar la decisión recurrida</t>
        </is>
      </c>
      <c r="K122" s="14" t="inlineStr">
        <is>
          <t>Derogar, subrogar o adicionar la decisión recurrida</t>
        </is>
      </c>
      <c r="L122" s="14" t="inlineStr">
        <is>
          <t>a</t>
        </is>
      </c>
      <c r="M122" s="14" t="inlineStr">
        <is>
          <t>El artículo 80 del CPACA dispone que al decidir los recursos se resuelve sobre las peticiones, confirmando, modificando o revocando la decisión.</t>
        </is>
      </c>
      <c r="N122" s="14" t="inlineStr">
        <is>
          <t>b) usa verbos del control judicial y de las medidas cautelares, que no corresponden a la autoridad que resuelve el recurso; c) usa verbos propios de la técnica normativa aplicable a normas, no a actos administrativos particulares.</t>
        </is>
      </c>
      <c r="O122" s="14" t="inlineStr">
        <is>
          <t>Ley 1437 de 2011, art. 80</t>
        </is>
      </c>
      <c r="P122" s="14" t="inlineStr">
        <is>
          <t>SI</t>
        </is>
      </c>
    </row>
    <row r="123" ht="34.5" customHeight="1" s="12">
      <c r="A123" s="14" t="inlineStr">
        <is>
          <t>F0122</t>
        </is>
      </c>
      <c r="B123" s="14" t="inlineStr">
        <is>
          <t>PS 2782 de 2026 - ESE 2 - HUHMP Neiva</t>
        </is>
      </c>
      <c r="C123" s="14" t="inlineStr">
        <is>
          <t>Precision juridica del verbo</t>
        </is>
      </c>
      <c r="D123" s="14" t="inlineStr">
        <is>
          <t>Profesional</t>
        </is>
      </c>
      <c r="E123" s="14" t="inlineStr">
        <is>
          <t>C041</t>
        </is>
      </c>
      <c r="F123" s="14" t="inlineStr">
        <is>
          <t>Caso 041</t>
        </is>
      </c>
      <c r="G123" s="14" t="inlineStr">
        <is>
          <t>Un usuario interpone recurso de reposición contra una decisión del hospital. El jefe jurídico pregunta con qué verbo debe redactarse la parte resolutiva del acto que resuelve el recurso.</t>
        </is>
      </c>
      <c r="H123" s="14" t="inlineStr">
        <is>
          <t>Si la decisión recurrida creó una situación jurídica particular y la administración quiere dejarla sin efectos por fuera del recurso, debe:</t>
        </is>
      </c>
      <c r="I123" s="14" t="inlineStr">
        <is>
          <t>Anularla mediante acto administrativo debidamente motivado</t>
        </is>
      </c>
      <c r="J123" s="14" t="inlineStr">
        <is>
          <t>Revocarla con el consentimiento expreso y escrito del titular</t>
        </is>
      </c>
      <c r="K123" s="14" t="inlineStr">
        <is>
          <t>Suspenderla mientras la administración estudia de nuevo el caso</t>
        </is>
      </c>
      <c r="L123" s="14" t="inlineStr">
        <is>
          <t>b</t>
        </is>
      </c>
      <c r="M123" s="14" t="inlineStr">
        <is>
          <t>La revocatoria directa de actos de contenido particular y concreto exige el consentimiento previo, expreso y escrito del titular, salvo las excepciones legales.</t>
        </is>
      </c>
      <c r="N123" s="14" t="inlineStr">
        <is>
          <t>a) atribuye a la administración un verbo que corresponde al juez; c) usa una medida temporal que no extingue el acto ni sustituye la revocatoria.</t>
        </is>
      </c>
      <c r="O123" s="14" t="inlineStr">
        <is>
          <t>Ley 1437 de 2011, arts. 93 y 97</t>
        </is>
      </c>
      <c r="P123" s="14" t="inlineStr">
        <is>
          <t>SI</t>
        </is>
      </c>
    </row>
    <row r="124" ht="34.5" customHeight="1" s="12">
      <c r="A124" s="14" t="inlineStr">
        <is>
          <t>F0123</t>
        </is>
      </c>
      <c r="B124" s="14" t="inlineStr">
        <is>
          <t>PS 2782 de 2026 - ESE 2 - HUHMP Neiva</t>
        </is>
      </c>
      <c r="C124" s="14" t="inlineStr">
        <is>
          <t>Precision juridica del verbo</t>
        </is>
      </c>
      <c r="D124" s="14" t="inlineStr">
        <is>
          <t>Profesional</t>
        </is>
      </c>
      <c r="E124" s="14" t="inlineStr">
        <is>
          <t>C041</t>
        </is>
      </c>
      <c r="F124" s="14" t="inlineStr">
        <is>
          <t>Caso 041</t>
        </is>
      </c>
      <c r="G124" s="14" t="inlineStr">
        <is>
          <t>Un usuario interpone recurso de reposición contra una decisión del hospital. El jefe jurídico pregunta con qué verbo debe redactarse la parte resolutiva del acto que resuelve el recurso.</t>
        </is>
      </c>
      <c r="H124" s="14" t="inlineStr">
        <is>
          <t>El ciudadano quiere que un juez deje sin efectos el acto. El verbo técnicamente correcto en su demanda es:</t>
        </is>
      </c>
      <c r="I124" s="14" t="inlineStr">
        <is>
          <t>Solicitar que la administración revoque directamente el acto</t>
        </is>
      </c>
      <c r="J124" s="14" t="inlineStr">
        <is>
          <t>Solicitar la nulidad del acto y el restablecimiento del derecho</t>
        </is>
      </c>
      <c r="K124" s="14" t="inlineStr">
        <is>
          <t>Solicitar que el superior jerárquico derogue el acto expedido</t>
        </is>
      </c>
      <c r="L124" s="14" t="inlineStr">
        <is>
          <t>b</t>
        </is>
      </c>
      <c r="M124" s="14" t="inlineStr">
        <is>
          <t>Ante la jurisdicción se pide la declaratoria de nulidad del acto y el restablecimiento del derecho; la revocatoria es potestad de la administración.</t>
        </is>
      </c>
      <c r="N124" s="14" t="inlineStr">
        <is>
          <t>a) pide a un juez una actuación administrativa; c) emplea un verbo reservado a las normas, no a los actos administrativos.</t>
        </is>
      </c>
      <c r="O124" s="14" t="inlineStr">
        <is>
          <t>Ley 1437 de 2011, art. 138</t>
        </is>
      </c>
      <c r="P124" s="14" t="inlineStr">
        <is>
          <t>SI</t>
        </is>
      </c>
    </row>
    <row r="125" ht="34.5" customHeight="1" s="12">
      <c r="A125" s="14" t="inlineStr">
        <is>
          <t>F0124</t>
        </is>
      </c>
      <c r="B125" s="14" t="inlineStr">
        <is>
          <t>PS 2782 de 2026 - ESE 2 - HUHMP Neiva</t>
        </is>
      </c>
      <c r="C125" s="14" t="inlineStr">
        <is>
          <t>Precision juridica del verbo</t>
        </is>
      </c>
      <c r="D125" s="14" t="inlineStr">
        <is>
          <t>Profesional</t>
        </is>
      </c>
      <c r="E125" s="14" t="inlineStr">
        <is>
          <t>C042</t>
        </is>
      </c>
      <c r="F125" s="14" t="inlineStr">
        <is>
          <t>Caso 042</t>
        </is>
      </c>
      <c r="G125" s="14" t="inlineStr">
        <is>
          <t>En el proceso de selección, el equipo de talento humano redacta comunicaciones sobre los resultados y usa indistintamente los verbos inadmitir, excluir y declarar desierto.</t>
        </is>
      </c>
      <c r="H125" s="14" t="inlineStr">
        <is>
          <t>Al aspirante que no acredita los requisitos mínimos del empleo se le debe:</t>
        </is>
      </c>
      <c r="I125" s="14" t="inlineStr">
        <is>
          <t>Inadmitirlo, por no acreditar los requisitos mínimos del empleo</t>
        </is>
      </c>
      <c r="J125" s="14" t="inlineStr">
        <is>
          <t>Excluirlo, por incurrir en una causal prevista en el acuerdo</t>
        </is>
      </c>
      <c r="K125" s="14" t="inlineStr">
        <is>
          <t>Declararlo desierto, por no proveerse el empleo ofertado</t>
        </is>
      </c>
      <c r="L125" s="14" t="inlineStr">
        <is>
          <t>a</t>
        </is>
      </c>
      <c r="M125" s="14" t="inlineStr">
        <is>
          <t>En la Verificación de Requisitos Mínimos el aspirante que no acredita los requisitos resulta inadmitido y no continúa en el proceso.</t>
        </is>
      </c>
      <c r="N125" s="14" t="inlineStr">
        <is>
          <t>b) corresponde a quien incurre en causales como el fraude o la suplantación; c) se predica del empleo sin inscritos, no del aspirante.</t>
        </is>
      </c>
      <c r="O125" s="14" t="inlineStr">
        <is>
          <t>Acuerdo CNSC N° 36 de 2026, art. 13; Anexo Técnico E.S.E. 2</t>
        </is>
      </c>
      <c r="P125" s="14" t="inlineStr">
        <is>
          <t>SI</t>
        </is>
      </c>
    </row>
    <row r="126" ht="34.5" customHeight="1" s="12">
      <c r="A126" s="14" t="inlineStr">
        <is>
          <t>F0125</t>
        </is>
      </c>
      <c r="B126" s="14" t="inlineStr">
        <is>
          <t>PS 2782 de 2026 - ESE 2 - HUHMP Neiva</t>
        </is>
      </c>
      <c r="C126" s="14" t="inlineStr">
        <is>
          <t>Precision juridica del verbo</t>
        </is>
      </c>
      <c r="D126" s="14" t="inlineStr">
        <is>
          <t>Profesional</t>
        </is>
      </c>
      <c r="E126" s="14" t="inlineStr">
        <is>
          <t>C042</t>
        </is>
      </c>
      <c r="F126" s="14" t="inlineStr">
        <is>
          <t>Caso 042</t>
        </is>
      </c>
      <c r="G126" s="14" t="inlineStr">
        <is>
          <t>En el proceso de selección, el equipo de talento humano redacta comunicaciones sobre los resultados y usa indistintamente los verbos inadmitir, excluir y declarar desierto.</t>
        </is>
      </c>
      <c r="H126" s="14" t="inlineStr">
        <is>
          <t>Al aspirante que aporta un documento falso se le debe:</t>
        </is>
      </c>
      <c r="I126" s="14" t="inlineStr">
        <is>
          <t>Inadmitirlo en la verificación de requisitos mínimos del empleo</t>
        </is>
      </c>
      <c r="J126" s="14" t="inlineStr">
        <is>
          <t>Excluirlo en cualquier momento en que se compruebe el hecho</t>
        </is>
      </c>
      <c r="K126" s="14" t="inlineStr">
        <is>
          <t>Retirarlo de la lista de elegibles una vez esta se conforme</t>
        </is>
      </c>
      <c r="L126" s="14" t="inlineStr">
        <is>
          <t>b</t>
        </is>
      </c>
      <c r="M126" s="14" t="inlineStr">
        <is>
          <t>Aportar documentos falsos o adulterados es causal de exclusión, aplicable en cualquier etapa del proceso en que se compruebe.</t>
        </is>
      </c>
      <c r="N126" s="14" t="inlineStr">
        <is>
          <t>a) usa el verbo de la VRM para una conducta sancionable; c) limita el efecto a una etapa final cuando la causal opera en cualquier momento.</t>
        </is>
      </c>
      <c r="O126" s="14" t="inlineStr">
        <is>
          <t>Acuerdo CNSC N° 36 de 2026, art. 7</t>
        </is>
      </c>
      <c r="P126" s="14" t="inlineStr">
        <is>
          <t>SI</t>
        </is>
      </c>
    </row>
    <row r="127" ht="34.5" customHeight="1" s="12">
      <c r="A127" s="14" t="inlineStr">
        <is>
          <t>F0126</t>
        </is>
      </c>
      <c r="B127" s="14" t="inlineStr">
        <is>
          <t>PS 2782 de 2026 - ESE 2 - HUHMP Neiva</t>
        </is>
      </c>
      <c r="C127" s="14" t="inlineStr">
        <is>
          <t>Precision juridica del verbo</t>
        </is>
      </c>
      <c r="D127" s="14" t="inlineStr">
        <is>
          <t>Profesional</t>
        </is>
      </c>
      <c r="E127" s="14" t="inlineStr">
        <is>
          <t>C042</t>
        </is>
      </c>
      <c r="F127" s="14" t="inlineStr">
        <is>
          <t>Caso 042</t>
        </is>
      </c>
      <c r="G127" s="14" t="inlineStr">
        <is>
          <t>En el proceso de selección, el equipo de talento humano redacta comunicaciones sobre los resultados y usa indistintamente los verbos inadmitir, excluir y declarar desierto.</t>
        </is>
      </c>
      <c r="H127" s="14" t="inlineStr">
        <is>
          <t>Cuando un empleo ofertado en ascenso no registra inscritos, la CNSC debe:</t>
        </is>
      </c>
      <c r="I127" s="14" t="inlineStr">
        <is>
          <t>Excluir el empleo de la oferta pública de empleos de carrera</t>
        </is>
      </c>
      <c r="J127" s="14" t="inlineStr">
        <is>
          <t>Declararlo desierto y proveerlo en la modalidad de abierto</t>
        </is>
      </c>
      <c r="K127" s="14" t="inlineStr">
        <is>
          <t>Inadmitir el empleo y trasladarlo al siguiente proceso</t>
        </is>
      </c>
      <c r="L127" s="14" t="inlineStr">
        <is>
          <t>b</t>
        </is>
      </c>
      <c r="M127" s="14" t="inlineStr">
        <is>
          <t>Las vacantes de ascenso sin inscritos se declaran desiertas y se proveen mediante el mismo proceso en la modalidad abierto.</t>
        </is>
      </c>
      <c r="N127" s="14" t="inlineStr">
        <is>
          <t>a) y c) aplican a aspirantes, no a vacantes: el verbo cambia según recaiga sobre la persona o sobre el empleo.</t>
        </is>
      </c>
      <c r="O127" s="14" t="inlineStr">
        <is>
          <t>Ley 1960 de 2019, art. 2; Acuerdo CNSC N° 36 de 2026, art. 3</t>
        </is>
      </c>
      <c r="P127" s="14" t="inlineStr">
        <is>
          <t>SI</t>
        </is>
      </c>
    </row>
    <row r="128" ht="34.5" customHeight="1" s="12">
      <c r="A128" s="14" t="inlineStr">
        <is>
          <t>F0127</t>
        </is>
      </c>
      <c r="B128" s="14" t="inlineStr">
        <is>
          <t>PS 2782 de 2026 - ESE 2 - HUHMP Neiva</t>
        </is>
      </c>
      <c r="C128" s="14" t="inlineStr">
        <is>
          <t>Precision juridica del verbo</t>
        </is>
      </c>
      <c r="D128" s="14" t="inlineStr">
        <is>
          <t>Profesional</t>
        </is>
      </c>
      <c r="E128" s="14" t="inlineStr">
        <is>
          <t>C043</t>
        </is>
      </c>
      <c r="F128" s="14" t="inlineStr">
        <is>
          <t>Caso 043</t>
        </is>
      </c>
      <c r="G128" s="14" t="inlineStr">
        <is>
          <t>La oficina de calidad prepara un comunicado sobre el nuevo servicio y debe elegir entre habilitar, acreditar, certificar y autorizar.</t>
        </is>
      </c>
      <c r="H128" s="14" t="inlineStr">
        <is>
          <t>Frente al cumplimiento de las condiciones mínimas obligatorias para prestar el servicio, el hospital debe:</t>
        </is>
      </c>
      <c r="I128" s="14" t="inlineStr">
        <is>
          <t>Habilitar el servicio, previa autoevaluación y declaración en el REPS</t>
        </is>
      </c>
      <c r="J128" s="14" t="inlineStr">
        <is>
          <t>Acreditar el servicio ante la entidad acreditadora</t>
        </is>
      </c>
      <c r="K128" s="14" t="inlineStr">
        <is>
          <t>Certificar el servicio ante la Superintendencia Nacional de Salud</t>
        </is>
      </c>
      <c r="L128" s="14" t="inlineStr">
        <is>
          <t>a</t>
        </is>
      </c>
      <c r="M128" s="14" t="inlineStr">
        <is>
          <t>Las condiciones mínimas obligatorias se cumplen mediante la habilitación, que se soporta en la autoevaluación y declaración del prestador en el REPS.</t>
        </is>
      </c>
      <c r="N128" s="14" t="inlineStr">
        <is>
          <t>b) corresponde al proceso voluntario de altos estándares; c) usa un verbo que no describe el trámite ante la autoridad de inspección y vigilancia.</t>
        </is>
      </c>
      <c r="O128" s="14" t="inlineStr">
        <is>
          <t>Resolución 3100 de 2019</t>
        </is>
      </c>
      <c r="P128" s="14" t="inlineStr">
        <is>
          <t>SI</t>
        </is>
      </c>
    </row>
    <row r="129" ht="23.25" customHeight="1" s="12">
      <c r="A129" s="14" t="inlineStr">
        <is>
          <t>F0128</t>
        </is>
      </c>
      <c r="B129" s="14" t="inlineStr">
        <is>
          <t>PS 2782 de 2026 - ESE 2 - HUHMP Neiva</t>
        </is>
      </c>
      <c r="C129" s="14" t="inlineStr">
        <is>
          <t>Precision juridica del verbo</t>
        </is>
      </c>
      <c r="D129" s="14" t="inlineStr">
        <is>
          <t>Profesional</t>
        </is>
      </c>
      <c r="E129" s="14" t="inlineStr">
        <is>
          <t>C043</t>
        </is>
      </c>
      <c r="F129" s="14" t="inlineStr">
        <is>
          <t>Caso 043</t>
        </is>
      </c>
      <c r="G129" s="14" t="inlineStr">
        <is>
          <t>La oficina de calidad prepara un comunicado sobre el nuevo servicio y debe elegir entre habilitar, acreditar, certificar y autorizar.</t>
        </is>
      </c>
      <c r="H129" s="14" t="inlineStr">
        <is>
          <t>Si el hospital quiere reconocimiento por superioridad en calidad, debe:</t>
        </is>
      </c>
      <c r="I129" s="14" t="inlineStr">
        <is>
          <t>Habilitarse de nuevo ante la entidad departamental de salud</t>
        </is>
      </c>
      <c r="J129" s="14" t="inlineStr">
        <is>
          <t>Acreditarse mediante el proceso voluntario ante el acreditador</t>
        </is>
      </c>
      <c r="K129" s="14" t="inlineStr">
        <is>
          <t>Certificarse ante un organismo externo de normalización técnica</t>
        </is>
      </c>
      <c r="L129" s="14" t="inlineStr">
        <is>
          <t>b</t>
        </is>
      </c>
      <c r="M129" s="14" t="inlineStr">
        <is>
          <t>La acreditación es un proceso voluntario y periódico dirigido a demostrar el cumplimiento de estándares superiores de calidad.</t>
        </is>
      </c>
      <c r="N129" s="14" t="inlineStr">
        <is>
          <t>a) repite un trámite obligatorio ya cumplido; c) describe el registro del prestador, previo y distinto.</t>
        </is>
      </c>
      <c r="O129" s="14" t="inlineStr">
        <is>
          <t>Decreto 780 de 2016, SOGCS</t>
        </is>
      </c>
      <c r="P129" s="14" t="inlineStr">
        <is>
          <t>SI</t>
        </is>
      </c>
    </row>
    <row r="130" ht="23.25" customHeight="1" s="12">
      <c r="A130" s="14" t="inlineStr">
        <is>
          <t>F0129</t>
        </is>
      </c>
      <c r="B130" s="14" t="inlineStr">
        <is>
          <t>PS 2782 de 2026 - ESE 2 - HUHMP Neiva</t>
        </is>
      </c>
      <c r="C130" s="14" t="inlineStr">
        <is>
          <t>Precision juridica del verbo</t>
        </is>
      </c>
      <c r="D130" s="14" t="inlineStr">
        <is>
          <t>Profesional</t>
        </is>
      </c>
      <c r="E130" s="14" t="inlineStr">
        <is>
          <t>C043</t>
        </is>
      </c>
      <c r="F130" s="14" t="inlineStr">
        <is>
          <t>Caso 043</t>
        </is>
      </c>
      <c r="G130" s="14" t="inlineStr">
        <is>
          <t>La oficina de calidad prepara un comunicado sobre el nuevo servicio y debe elegir entre habilitar, acreditar, certificar y autorizar.</t>
        </is>
      </c>
      <c r="H130" s="14" t="inlineStr">
        <is>
          <t>Cuando cambia la capacidad instalada declarada, el verbo que describe la obligación del prestador es:</t>
        </is>
      </c>
      <c r="I130" s="14" t="inlineStr">
        <is>
          <t>Solicitar autorización previa a la entidad territorial de salud</t>
        </is>
      </c>
      <c r="J130" s="14" t="inlineStr">
        <is>
          <t>Reportar la novedad en el REPS dentro de los términos previstos</t>
        </is>
      </c>
      <c r="K130" s="14" t="inlineStr">
        <is>
          <t>Certificar el cambio ante la entidad responsable de pago</t>
        </is>
      </c>
      <c r="L130" s="14" t="inlineStr">
        <is>
          <t>b</t>
        </is>
      </c>
      <c r="M130" s="14" t="inlineStr">
        <is>
          <t>Las modificaciones de la información declarada se reportan como novedad en el REPS; no dependen de una autorización previa.</t>
        </is>
      </c>
      <c r="N130" s="14" t="inlineStr">
        <is>
          <t>a) supone un permiso que la norma no exige; c) dirige la actuación a un actor contractual y no al registro público.</t>
        </is>
      </c>
      <c r="O130" s="14" t="inlineStr">
        <is>
          <t>Resolución 3100 de 2019</t>
        </is>
      </c>
      <c r="P130" s="14" t="inlineStr">
        <is>
          <t>SI</t>
        </is>
      </c>
    </row>
    <row r="131" ht="34.5" customHeight="1" s="12">
      <c r="A131" s="14" t="inlineStr">
        <is>
          <t>F0130</t>
        </is>
      </c>
      <c r="B131" s="14" t="inlineStr">
        <is>
          <t>PS 2782 de 2026 - ESE 2 - HUHMP Neiva</t>
        </is>
      </c>
      <c r="C131" s="14" t="inlineStr">
        <is>
          <t>Precision juridica del verbo</t>
        </is>
      </c>
      <c r="D131" s="14" t="inlineStr">
        <is>
          <t>Profesional</t>
        </is>
      </c>
      <c r="E131" s="14" t="inlineStr">
        <is>
          <t>C044</t>
        </is>
      </c>
      <c r="F131" s="14" t="inlineStr">
        <is>
          <t>Caso 044</t>
        </is>
      </c>
      <c r="G131" s="14" t="inlineStr">
        <is>
          <t>En la oficina de referencia, un profesional debe describir con precisión tres actuaciones distintas del mismo paciente.</t>
        </is>
      </c>
      <c r="H131" s="14" t="inlineStr">
        <is>
          <t>El envío del paciente a una institución de mayor capacidad resolutiva se denomina:</t>
        </is>
      </c>
      <c r="I131" s="14" t="inlineStr">
        <is>
          <t>Referir</t>
        </is>
      </c>
      <c r="J131" s="14" t="inlineStr">
        <is>
          <t>Contrarreferir</t>
        </is>
      </c>
      <c r="K131" s="14" t="inlineStr">
        <is>
          <t>Trasladar</t>
        </is>
      </c>
      <c r="L131" s="14" t="inlineStr">
        <is>
          <t>a</t>
        </is>
      </c>
      <c r="M131" s="14" t="inlineStr">
        <is>
          <t>Referir es enviar al usuario o elementos de ayuda diagnóstica a otro prestador con mayor capacidad resolutiva.</t>
        </is>
      </c>
      <c r="N131" s="14" t="inlineStr">
        <is>
          <t>b) nombra la respuesta del receptor al remitente; c) describe el movimiento físico del paciente, que es un medio y no la actuación técnica.</t>
        </is>
      </c>
      <c r="O131" s="14" t="inlineStr">
        <is>
          <t>Decreto 780 de 2016; Resolución 3047 de 2008</t>
        </is>
      </c>
      <c r="P131" s="14" t="inlineStr">
        <is>
          <t>SI</t>
        </is>
      </c>
    </row>
    <row r="132" ht="23.25" customHeight="1" s="12">
      <c r="A132" s="14" t="inlineStr">
        <is>
          <t>F0131</t>
        </is>
      </c>
      <c r="B132" s="14" t="inlineStr">
        <is>
          <t>PS 2782 de 2026 - ESE 2 - HUHMP Neiva</t>
        </is>
      </c>
      <c r="C132" s="14" t="inlineStr">
        <is>
          <t>Precision juridica del verbo</t>
        </is>
      </c>
      <c r="D132" s="14" t="inlineStr">
        <is>
          <t>Profesional</t>
        </is>
      </c>
      <c r="E132" s="14" t="inlineStr">
        <is>
          <t>C044</t>
        </is>
      </c>
      <c r="F132" s="14" t="inlineStr">
        <is>
          <t>Caso 044</t>
        </is>
      </c>
      <c r="G132" s="14" t="inlineStr">
        <is>
          <t>En la oficina de referencia, un profesional debe describir con precisión tres actuaciones distintas del mismo paciente.</t>
        </is>
      </c>
      <c r="H132" s="14" t="inlineStr">
        <is>
          <t>La respuesta del hospital universitario al hospital de origen, con hallazgos y recomendaciones de seguimiento, se denomina:</t>
        </is>
      </c>
      <c r="I132" s="14" t="inlineStr">
        <is>
          <t>Referir</t>
        </is>
      </c>
      <c r="J132" s="14" t="inlineStr">
        <is>
          <t>Contrarreferir</t>
        </is>
      </c>
      <c r="K132" s="14" t="inlineStr">
        <is>
          <t>Dar de alta</t>
        </is>
      </c>
      <c r="L132" s="14" t="inlineStr">
        <is>
          <t>b</t>
        </is>
      </c>
      <c r="M132" s="14" t="inlineStr">
        <is>
          <t>La contrarreferencia es la respuesta del prestador receptor al remitente, con la información necesaria para la continuidad del cuidado.</t>
        </is>
      </c>
      <c r="N132" s="14" t="inlineStr">
        <is>
          <t>a) invierte el sentido del flujo; c) describe el egreso del paciente, que no implica informar al prestador de origen.</t>
        </is>
      </c>
      <c r="O132" s="14" t="inlineStr">
        <is>
          <t>Resolución 3047 de 2008</t>
        </is>
      </c>
      <c r="P132" s="14" t="inlineStr">
        <is>
          <t>SI</t>
        </is>
      </c>
    </row>
    <row r="133" ht="23.25" customHeight="1" s="12">
      <c r="A133" s="14" t="inlineStr">
        <is>
          <t>F0132</t>
        </is>
      </c>
      <c r="B133" s="14" t="inlineStr">
        <is>
          <t>PS 2782 de 2026 - ESE 2 - HUHMP Neiva</t>
        </is>
      </c>
      <c r="C133" s="14" t="inlineStr">
        <is>
          <t>Precision juridica del verbo</t>
        </is>
      </c>
      <c r="D133" s="14" t="inlineStr">
        <is>
          <t>Profesional</t>
        </is>
      </c>
      <c r="E133" s="14" t="inlineStr">
        <is>
          <t>C044</t>
        </is>
      </c>
      <c r="F133" s="14" t="inlineStr">
        <is>
          <t>Caso 044</t>
        </is>
      </c>
      <c r="G133" s="14" t="inlineStr">
        <is>
          <t>En la oficina de referencia, un profesional debe describir con precisión tres actuaciones distintas del mismo paciente.</t>
        </is>
      </c>
      <c r="H133" s="14" t="inlineStr">
        <is>
          <t>El movimiento del paciente en ambulancia medicalizada entre las dos instituciones se denomina:</t>
        </is>
      </c>
      <c r="I133" s="14" t="inlineStr">
        <is>
          <t>Contrarreferirlo al prestador que solicitó la remisión</t>
        </is>
      </c>
      <c r="J133" s="14" t="inlineStr">
        <is>
          <t>Trasladarlo en la modalidad asistencial que su estado exija</t>
        </is>
      </c>
      <c r="K133" s="14" t="inlineStr">
        <is>
          <t>Remitir el resumen de la historia clínica al receptor</t>
        </is>
      </c>
      <c r="L133" s="14" t="inlineStr">
        <is>
          <t>b</t>
        </is>
      </c>
      <c r="M133" s="14" t="inlineStr">
        <is>
          <t>El traslado es el desplazamiento físico del paciente y debe realizarse en la modalidad de transporte asistencial acorde con su condición.</t>
        </is>
      </c>
      <c r="N133" s="14" t="inlineStr">
        <is>
          <t>a) nombra un flujo de información en sentido contrario; c) describe el envío de un documento, no del paciente.</t>
        </is>
      </c>
      <c r="O133" s="14" t="inlineStr">
        <is>
          <t>Decreto 780 de 2016</t>
        </is>
      </c>
      <c r="P133" s="14" t="inlineStr">
        <is>
          <t>SI</t>
        </is>
      </c>
    </row>
    <row r="134" ht="23.25" customHeight="1" s="12">
      <c r="A134" s="14" t="inlineStr">
        <is>
          <t>F0133</t>
        </is>
      </c>
      <c r="B134" s="14" t="inlineStr">
        <is>
          <t>PS 2782 de 2026 - ESE 2 - HUHMP Neiva</t>
        </is>
      </c>
      <c r="C134" s="14" t="inlineStr">
        <is>
          <t>Precision juridica del verbo</t>
        </is>
      </c>
      <c r="D134" s="14" t="inlineStr">
        <is>
          <t>Técnico</t>
        </is>
      </c>
      <c r="E134" s="14" t="inlineStr">
        <is>
          <t>C045</t>
        </is>
      </c>
      <c r="F134" s="14" t="inlineStr">
        <is>
          <t>Caso 045</t>
        </is>
      </c>
      <c r="G134" s="14" t="inlineStr">
        <is>
          <t>Un técnico del área asistencial debe usar el verbo correcto para tres obligaciones de información distintas.</t>
        </is>
      </c>
      <c r="H134" s="14" t="inlineStr">
        <is>
          <t>Un caso probable de evento de interés en salud pública se debe:</t>
        </is>
      </c>
      <c r="I134" s="14" t="inlineStr">
        <is>
          <t>Notificarlo al sistema de vigilancia en salud pública</t>
        </is>
      </c>
      <c r="J134" s="14" t="inlineStr">
        <is>
          <t>Reportarlo al programa de tecnovigilancia del hospital</t>
        </is>
      </c>
      <c r="K134" s="14" t="inlineStr">
        <is>
          <t>Comunicarlo a la entidad responsable de pago del usuario</t>
        </is>
      </c>
      <c r="L134" s="14" t="inlineStr">
        <is>
          <t>a</t>
        </is>
      </c>
      <c r="M134" s="14" t="inlineStr">
        <is>
          <t>Los eventos de interés en salud pública se notifican al Sivigila dentro de los términos del protocolo correspondiente.</t>
        </is>
      </c>
      <c r="N134" s="14" t="inlineStr">
        <is>
          <t>b) corresponde a dispositivos médicos; c) describe una gestión administrativa que no sustituye la notificación obligatoria.</t>
        </is>
      </c>
      <c r="O134" s="14" t="inlineStr">
        <is>
          <t>Decreto 780 de 2016; protocolos del INS</t>
        </is>
      </c>
      <c r="P134" s="14" t="inlineStr">
        <is>
          <t>SI</t>
        </is>
      </c>
    </row>
    <row r="135" ht="23.25" customHeight="1" s="12">
      <c r="A135" s="14" t="inlineStr">
        <is>
          <t>F0134</t>
        </is>
      </c>
      <c r="B135" s="14" t="inlineStr">
        <is>
          <t>PS 2782 de 2026 - ESE 2 - HUHMP Neiva</t>
        </is>
      </c>
      <c r="C135" s="14" t="inlineStr">
        <is>
          <t>Precision juridica del verbo</t>
        </is>
      </c>
      <c r="D135" s="14" t="inlineStr">
        <is>
          <t>Técnico</t>
        </is>
      </c>
      <c r="E135" s="14" t="inlineStr">
        <is>
          <t>C045</t>
        </is>
      </c>
      <c r="F135" s="14" t="inlineStr">
        <is>
          <t>Caso 045</t>
        </is>
      </c>
      <c r="G135" s="14" t="inlineStr">
        <is>
          <t>Un técnico del área asistencial debe usar el verbo correcto para tres obligaciones de información distintas.</t>
        </is>
      </c>
      <c r="H135" s="14" t="inlineStr">
        <is>
          <t>Un incidente adverso asociado a un dispositivo médico se debe:</t>
        </is>
      </c>
      <c r="I135" s="14" t="inlineStr">
        <is>
          <t>Notificarlo al sistema de vigilancia en salud pública</t>
        </is>
      </c>
      <c r="J135" s="14" t="inlineStr">
        <is>
          <t>Reportarlo al programa de tecnovigilancia institucional</t>
        </is>
      </c>
      <c r="K135" s="14" t="inlineStr">
        <is>
          <t>Registrarlo únicamente en la historia clínica del paciente</t>
        </is>
      </c>
      <c r="L135" s="14" t="inlineStr">
        <is>
          <t>b</t>
        </is>
      </c>
      <c r="M135" s="14" t="inlineStr">
        <is>
          <t>Los eventos e incidentes adversos asociados a dispositivos médicos se reportan al programa de tecnovigilancia.</t>
        </is>
      </c>
      <c r="N135" s="14" t="inlineStr">
        <is>
          <t>a) usa el canal de los eventos de salud pública; c) deja el hecho sin reporte al sistema de vigilancia sanitaria.</t>
        </is>
      </c>
      <c r="O135" s="14" t="inlineStr">
        <is>
          <t>Resolución 4816 de 2008</t>
        </is>
      </c>
      <c r="P135" s="14" t="inlineStr">
        <is>
          <t>SI</t>
        </is>
      </c>
    </row>
    <row r="136" ht="23.25" customHeight="1" s="12">
      <c r="A136" s="14" t="inlineStr">
        <is>
          <t>F0135</t>
        </is>
      </c>
      <c r="B136" s="14" t="inlineStr">
        <is>
          <t>PS 2782 de 2026 - ESE 2 - HUHMP Neiva</t>
        </is>
      </c>
      <c r="C136" s="14" t="inlineStr">
        <is>
          <t>Precision juridica del verbo</t>
        </is>
      </c>
      <c r="D136" s="14" t="inlineStr">
        <is>
          <t>Técnico</t>
        </is>
      </c>
      <c r="E136" s="14" t="inlineStr">
        <is>
          <t>C045</t>
        </is>
      </c>
      <c r="F136" s="14" t="inlineStr">
        <is>
          <t>Caso 045</t>
        </is>
      </c>
      <c r="G136" s="14" t="inlineStr">
        <is>
          <t>Un técnico del área asistencial debe usar el verbo correcto para tres obligaciones de información distintas.</t>
        </is>
      </c>
      <c r="H136" s="14" t="inlineStr">
        <is>
          <t>El hallazgo clínico relevante para la continuidad del cuidado del paciente se debe:</t>
        </is>
      </c>
      <c r="I136" s="14" t="inlineStr">
        <is>
          <t>Registrarlo en la historia clínica e informarlo al paciente</t>
        </is>
      </c>
      <c r="J136" s="14" t="inlineStr">
        <is>
          <t>Notificarlo a la Superintendencia Nacional de Salud</t>
        </is>
      </c>
      <c r="K136" s="14" t="inlineStr">
        <is>
          <t>Publicarlo en la cartelera del servicio de hospitalización</t>
        </is>
      </c>
      <c r="L136" s="14" t="inlineStr">
        <is>
          <t>a</t>
        </is>
      </c>
      <c r="M136" s="14" t="inlineStr">
        <is>
          <t>La información clínica se registra en la historia clínica y se informa al paciente y al equipo tratante.</t>
        </is>
      </c>
      <c r="N136" s="14" t="inlineStr">
        <is>
          <t>b) activa un canal de inspección y vigilancia sin fundamento; c) vulnera la reserva de la información de salud.</t>
        </is>
      </c>
      <c r="O136" s="14" t="inlineStr">
        <is>
          <t>Resolución 1995 de 1999; Ley 1751 de 2015, art. 10</t>
        </is>
      </c>
      <c r="P136" s="14" t="inlineStr">
        <is>
          <t>SI</t>
        </is>
      </c>
    </row>
    <row r="137" ht="23.25" customHeight="1" s="12">
      <c r="A137" s="14" t="inlineStr">
        <is>
          <t>F0136</t>
        </is>
      </c>
      <c r="B137" s="14" t="inlineStr">
        <is>
          <t>PS 2782 de 2026 - ESE 2 - HUHMP Neiva</t>
        </is>
      </c>
      <c r="C137" s="14" t="inlineStr">
        <is>
          <t>Precision juridica del verbo</t>
        </is>
      </c>
      <c r="D137" s="14" t="inlineStr">
        <is>
          <t>Profesional</t>
        </is>
      </c>
      <c r="E137" s="14" t="inlineStr">
        <is>
          <t>C046</t>
        </is>
      </c>
      <c r="F137" s="14" t="inlineStr">
        <is>
          <t>Caso 046</t>
        </is>
      </c>
      <c r="G137" s="14" t="inlineStr">
        <is>
          <t>Al preparar la defensa de un proceso, el abogado debe distinguir entre caducidad y prescripción.</t>
        </is>
      </c>
      <c r="H137" s="14" t="inlineStr">
        <is>
          <t>El término de cuatro (4) meses para demandar la nulidad y el restablecimiento del derecho corresponde a:</t>
        </is>
      </c>
      <c r="I137" s="14" t="inlineStr">
        <is>
          <t>La caducidad del medio de control</t>
        </is>
      </c>
      <c r="J137" s="14" t="inlineStr">
        <is>
          <t>La prescripción de la acción</t>
        </is>
      </c>
      <c r="K137" s="14" t="inlineStr">
        <is>
          <t>La preclusión de la etapa</t>
        </is>
      </c>
      <c r="L137" s="14" t="inlineStr">
        <is>
          <t>a</t>
        </is>
      </c>
      <c r="M137" s="14" t="inlineStr">
        <is>
          <t>El artículo 164 del CPACA fija términos de caducidad de los medios de control; el de nulidad y restablecimiento del derecho es de cuatro meses.</t>
        </is>
      </c>
      <c r="N137" s="14" t="inlineStr">
        <is>
          <t>b) usa una figura del derecho sustancial ajena al plazo para acudir a la jurisdicción; c) nombra el agotamiento de una etapa procesal.</t>
        </is>
      </c>
      <c r="O137" s="14" t="inlineStr">
        <is>
          <t>Ley 1437 de 2011, art. 164</t>
        </is>
      </c>
      <c r="P137" s="14" t="inlineStr">
        <is>
          <t>SI</t>
        </is>
      </c>
    </row>
    <row r="138" ht="34.5" customHeight="1" s="12">
      <c r="A138" s="14" t="inlineStr">
        <is>
          <t>F0137</t>
        </is>
      </c>
      <c r="B138" s="14" t="inlineStr">
        <is>
          <t>PS 2782 de 2026 - ESE 2 - HUHMP Neiva</t>
        </is>
      </c>
      <c r="C138" s="14" t="inlineStr">
        <is>
          <t>Precision juridica del verbo</t>
        </is>
      </c>
      <c r="D138" s="14" t="inlineStr">
        <is>
          <t>Profesional</t>
        </is>
      </c>
      <c r="E138" s="14" t="inlineStr">
        <is>
          <t>C046</t>
        </is>
      </c>
      <c r="F138" s="14" t="inlineStr">
        <is>
          <t>Caso 046</t>
        </is>
      </c>
      <c r="G138" s="14" t="inlineStr">
        <is>
          <t>Al preparar la defensa de un proceso, el abogado debe distinguir entre caducidad y prescripción.</t>
        </is>
      </c>
      <c r="H138" s="14" t="inlineStr">
        <is>
          <t>Que la autoridad disciplinaria pierda la posibilidad de iniciar la actuación por el paso del tiempo desde la ocurrencia de la falta corresponde a:</t>
        </is>
      </c>
      <c r="I138" s="14" t="inlineStr">
        <is>
          <t>La caducidad de la acción disciplinaria</t>
        </is>
      </c>
      <c r="J138" s="14" t="inlineStr">
        <is>
          <t>La prescripción de la sanción</t>
        </is>
      </c>
      <c r="K138" s="14" t="inlineStr">
        <is>
          <t>La revocatoria del auto de apertura</t>
        </is>
      </c>
      <c r="L138" s="14" t="inlineStr">
        <is>
          <t>a</t>
        </is>
      </c>
      <c r="M138" s="14" t="inlineStr">
        <is>
          <t>La caducidad opera por el transcurso del término legal desde la ocurrencia de la falta sin que se haya iniciado la actuación.</t>
        </is>
      </c>
      <c r="N138" s="14" t="inlineStr">
        <is>
          <t>b) se refiere a la sanción ya impuesta y no ejecutada; c) describe una decisión de la autoridad, no un efecto del tiempo.</t>
        </is>
      </c>
      <c r="O138" s="14" t="inlineStr">
        <is>
          <t>Ley 1952 de 2019, art. 33</t>
        </is>
      </c>
      <c r="P138" s="14" t="inlineStr">
        <is>
          <t>SI</t>
        </is>
      </c>
    </row>
    <row r="139" ht="23.25" customHeight="1" s="12">
      <c r="A139" s="14" t="inlineStr">
        <is>
          <t>F0138</t>
        </is>
      </c>
      <c r="B139" s="14" t="inlineStr">
        <is>
          <t>PS 2782 de 2026 - ESE 2 - HUHMP Neiva</t>
        </is>
      </c>
      <c r="C139" s="14" t="inlineStr">
        <is>
          <t>Precision juridica del verbo</t>
        </is>
      </c>
      <c r="D139" s="14" t="inlineStr">
        <is>
          <t>Profesional</t>
        </is>
      </c>
      <c r="E139" s="14" t="inlineStr">
        <is>
          <t>C046</t>
        </is>
      </c>
      <c r="F139" s="14" t="inlineStr">
        <is>
          <t>Caso 046</t>
        </is>
      </c>
      <c r="G139" s="14" t="inlineStr">
        <is>
          <t>Al preparar la defensa de un proceso, el abogado debe distinguir entre caducidad y prescripción.</t>
        </is>
      </c>
      <c r="H139" s="14" t="inlineStr">
        <is>
          <t>La extinción del poder sancionatorio respecto de una actuación ya iniciada, por el transcurso del término legal, corresponde a:</t>
        </is>
      </c>
      <c r="I139" s="14" t="inlineStr">
        <is>
          <t>La prescripción</t>
        </is>
      </c>
      <c r="J139" s="14" t="inlineStr">
        <is>
          <t>La caducidad</t>
        </is>
      </c>
      <c r="K139" s="14" t="inlineStr">
        <is>
          <t>El desistimiento</t>
        </is>
      </c>
      <c r="L139" s="14" t="inlineStr">
        <is>
          <t>a</t>
        </is>
      </c>
      <c r="M139" s="14" t="inlineStr">
        <is>
          <t>La prescripción extingue la acción ya iniciada por el transcurso del término previsto en la ley.</t>
        </is>
      </c>
      <c r="N139" s="14" t="inlineStr">
        <is>
          <t>b) opera antes del inicio de la actuación; c) supone una manifestación de voluntad de la parte.</t>
        </is>
      </c>
      <c r="O139" s="14" t="inlineStr">
        <is>
          <t>Ley 1952 de 2019, art. 33</t>
        </is>
      </c>
      <c r="P139" s="14" t="inlineStr">
        <is>
          <t>SI</t>
        </is>
      </c>
    </row>
    <row r="140" ht="23.25" customHeight="1" s="12">
      <c r="A140" s="14" t="inlineStr">
        <is>
          <t>F0139</t>
        </is>
      </c>
      <c r="B140" s="14" t="inlineStr">
        <is>
          <t>PS 2782 de 2026 - ESE 2 - HUHMP Neiva</t>
        </is>
      </c>
      <c r="C140" s="14" t="inlineStr">
        <is>
          <t>Precision juridica del verbo</t>
        </is>
      </c>
      <c r="D140" s="14" t="inlineStr">
        <is>
          <t>Profesional</t>
        </is>
      </c>
      <c r="E140" s="14" t="inlineStr">
        <is>
          <t>C047</t>
        </is>
      </c>
      <c r="F140" s="14" t="inlineStr">
        <is>
          <t>Caso 047</t>
        </is>
      </c>
      <c r="G140" s="14" t="inlineStr">
        <is>
          <t>Al citar normas en un concepto jurídico, la asesora debe usar correctamente los verbos de la técnica normativa.</t>
        </is>
      </c>
      <c r="H140" s="14" t="inlineStr">
        <is>
          <t>El Congreso aprueba una ley y el Presidente la firma. El verbo que describe la actuación presidencial es:</t>
        </is>
      </c>
      <c r="I140" s="14" t="inlineStr">
        <is>
          <t>Sancionar la ley</t>
        </is>
      </c>
      <c r="J140" s="14" t="inlineStr">
        <is>
          <t>Expedir la ley</t>
        </is>
      </c>
      <c r="K140" s="14" t="inlineStr">
        <is>
          <t>Promulgar la ley</t>
        </is>
      </c>
      <c r="L140" s="14" t="inlineStr">
        <is>
          <t>a</t>
        </is>
      </c>
      <c r="M140" s="14" t="inlineStr">
        <is>
          <t>La sanción presidencial es el acto por el cual el Presidente aprueba y firma el proyecto de ley; la promulgación es su publicación oficial posterior.</t>
        </is>
      </c>
      <c r="N140" s="14" t="inlineStr">
        <is>
          <t>b) corresponde al Congreso, que expide las leyes; c) nombra la publicación, que es un momento distinto y posterior.</t>
        </is>
      </c>
      <c r="O140" s="14" t="inlineStr">
        <is>
          <t>C.P. arts. 157 y 165</t>
        </is>
      </c>
      <c r="P140" s="14" t="inlineStr">
        <is>
          <t>SI</t>
        </is>
      </c>
    </row>
    <row r="141" ht="23.25" customHeight="1" s="12">
      <c r="A141" s="14" t="inlineStr">
        <is>
          <t>F0140</t>
        </is>
      </c>
      <c r="B141" s="14" t="inlineStr">
        <is>
          <t>PS 2782 de 2026 - ESE 2 - HUHMP Neiva</t>
        </is>
      </c>
      <c r="C141" s="14" t="inlineStr">
        <is>
          <t>Precision juridica del verbo</t>
        </is>
      </c>
      <c r="D141" s="14" t="inlineStr">
        <is>
          <t>Profesional</t>
        </is>
      </c>
      <c r="E141" s="14" t="inlineStr">
        <is>
          <t>C047</t>
        </is>
      </c>
      <c r="F141" s="14" t="inlineStr">
        <is>
          <t>Caso 047</t>
        </is>
      </c>
      <c r="G141" s="14" t="inlineStr">
        <is>
          <t>Al citar normas en un concepto jurídico, la asesora debe usar correctamente los verbos de la técnica normativa.</t>
        </is>
      </c>
      <c r="H141" s="14" t="inlineStr">
        <is>
          <t>La CNSC produce el acuerdo de convocatoria. El verbo correcto es:</t>
        </is>
      </c>
      <c r="I141" s="14" t="inlineStr">
        <is>
          <t>Expedir el acuerdo</t>
        </is>
      </c>
      <c r="J141" s="14" t="inlineStr">
        <is>
          <t>Promulgar el acuerdo</t>
        </is>
      </c>
      <c r="K141" s="14" t="inlineStr">
        <is>
          <t>Sancionar el acuerdo</t>
        </is>
      </c>
      <c r="L141" s="14" t="inlineStr">
        <is>
          <t>a</t>
        </is>
      </c>
      <c r="M141" s="14" t="inlineStr">
        <is>
          <t>Las autoridades administrativas expiden los actos administrativos que son de su competencia.</t>
        </is>
      </c>
      <c r="N141" s="14" t="inlineStr">
        <is>
          <t>b) se reserva a la publicación oficial de las leyes; c) describe una actuación presidencial en el trámite legislativo.</t>
        </is>
      </c>
      <c r="O141" s="14" t="inlineStr">
        <is>
          <t>Ley 909 de 2004, art. 11; Ley 1437 de 2011</t>
        </is>
      </c>
      <c r="P141" s="14" t="inlineStr">
        <is>
          <t>SI</t>
        </is>
      </c>
    </row>
    <row r="142" ht="23.25" customHeight="1" s="12">
      <c r="A142" s="14" t="inlineStr">
        <is>
          <t>F0141</t>
        </is>
      </c>
      <c r="B142" s="14" t="inlineStr">
        <is>
          <t>PS 2782 de 2026 - ESE 2 - HUHMP Neiva</t>
        </is>
      </c>
      <c r="C142" s="14" t="inlineStr">
        <is>
          <t>Precision juridica del verbo</t>
        </is>
      </c>
      <c r="D142" s="14" t="inlineStr">
        <is>
          <t>Profesional</t>
        </is>
      </c>
      <c r="E142" s="14" t="inlineStr">
        <is>
          <t>C047</t>
        </is>
      </c>
      <c r="F142" s="14" t="inlineStr">
        <is>
          <t>Caso 047</t>
        </is>
      </c>
      <c r="G142" s="14" t="inlineStr">
        <is>
          <t>Al citar normas en un concepto jurídico, la asesora debe usar correctamente los verbos de la técnica normativa.</t>
        </is>
      </c>
      <c r="H142" s="14" t="inlineStr">
        <is>
          <t>El juez produce la providencia que decide el caso. El verbo correcto es:</t>
        </is>
      </c>
      <c r="I142" s="14" t="inlineStr">
        <is>
          <t>Proferir la sentencia</t>
        </is>
      </c>
      <c r="J142" s="14" t="inlineStr">
        <is>
          <t>Expedir la sentencia</t>
        </is>
      </c>
      <c r="K142" s="14" t="inlineStr">
        <is>
          <t>Adoptar la sentencia</t>
        </is>
      </c>
      <c r="L142" s="14" t="inlineStr">
        <is>
          <t>a</t>
        </is>
      </c>
      <c r="M142" s="14" t="inlineStr">
        <is>
          <t>Las decisiones judiciales se profieren; expedir se reserva a los actos administrativos y adoptar a instrumentos de gestión.</t>
        </is>
      </c>
      <c r="N142" s="14" t="inlineStr">
        <is>
          <t>b) y c) usan verbos correctos en el ámbito administrativo pero impropios de la función judicial.</t>
        </is>
      </c>
      <c r="O142" s="14" t="inlineStr">
        <is>
          <t>Ley 1437 de 2011; Código General del Proceso</t>
        </is>
      </c>
      <c r="P142" s="14" t="inlineStr">
        <is>
          <t>SI</t>
        </is>
      </c>
    </row>
    <row r="143" ht="34.5" customHeight="1" s="12">
      <c r="A143" s="14" t="inlineStr">
        <is>
          <t>F0142</t>
        </is>
      </c>
      <c r="B143" s="14" t="inlineStr">
        <is>
          <t>PS 2782 de 2026 - ESE 2 - HUHMP Neiva</t>
        </is>
      </c>
      <c r="C143" s="14" t="inlineStr">
        <is>
          <t>Precision juridica del verbo</t>
        </is>
      </c>
      <c r="D143" s="14" t="inlineStr">
        <is>
          <t>Profesional</t>
        </is>
      </c>
      <c r="E143" s="14" t="inlineStr">
        <is>
          <t>C048</t>
        </is>
      </c>
      <c r="F143" s="14" t="inlineStr">
        <is>
          <t>Caso 048</t>
        </is>
      </c>
      <c r="G143" s="14" t="inlineStr">
        <is>
          <t>Una resolución que servía de fundamento a un acto administrativo del hospital fue declarada nula. El acto no ha sido ejecutado.</t>
        </is>
      </c>
      <c r="H143" s="14" t="inlineStr">
        <is>
          <t>El efecto sobre el acto administrativo del hospital se denomina:</t>
        </is>
      </c>
      <c r="I143" s="14" t="inlineStr">
        <is>
          <t>Pérdida de fuerza ejecutoria por decaimiento del acto</t>
        </is>
      </c>
      <c r="J143" s="14" t="inlineStr">
        <is>
          <t>Revocatoria directa por razones de mérito o conveniencia</t>
        </is>
      </c>
      <c r="K143" s="14" t="inlineStr">
        <is>
          <t>Nulidad de pleno derecho declarada por la administración</t>
        </is>
      </c>
      <c r="L143" s="14" t="inlineStr">
        <is>
          <t>a</t>
        </is>
      </c>
      <c r="M143" s="14" t="inlineStr">
        <is>
          <t>El artículo 91 del CPACA prevé que el acto pierde fuerza ejecutoria, entre otras causales, cuando desaparecen sus fundamentos de hecho o de derecho.</t>
        </is>
      </c>
      <c r="N143" s="14" t="inlineStr">
        <is>
          <t>b) exige una decisión de la propia administración que aquí no se ha producido; c) supone una declaración judicial sobre ese acto, que no existe.</t>
        </is>
      </c>
      <c r="O143" s="14" t="inlineStr">
        <is>
          <t>Ley 1437 de 2011, art. 91</t>
        </is>
      </c>
      <c r="P143" s="14" t="inlineStr">
        <is>
          <t>SI</t>
        </is>
      </c>
    </row>
    <row r="144" ht="23.25" customHeight="1" s="12">
      <c r="A144" s="14" t="inlineStr">
        <is>
          <t>F0143</t>
        </is>
      </c>
      <c r="B144" s="14" t="inlineStr">
        <is>
          <t>PS 2782 de 2026 - ESE 2 - HUHMP Neiva</t>
        </is>
      </c>
      <c r="C144" s="14" t="inlineStr">
        <is>
          <t>Precision juridica del verbo</t>
        </is>
      </c>
      <c r="D144" s="14" t="inlineStr">
        <is>
          <t>Profesional</t>
        </is>
      </c>
      <c r="E144" s="14" t="inlineStr">
        <is>
          <t>C048</t>
        </is>
      </c>
      <c r="F144" s="14" t="inlineStr">
        <is>
          <t>Caso 048</t>
        </is>
      </c>
      <c r="G144" s="14" t="inlineStr">
        <is>
          <t>Una resolución que servía de fundamento a un acto administrativo del hospital fue declarada nula. El acto no ha sido ejecutado.</t>
        </is>
      </c>
      <c r="H144" s="14" t="inlineStr">
        <is>
          <t>Si una resolución posterior de igual jerarquía deja sin efectos hacia el futuro a otra, el verbo correcto es:</t>
        </is>
      </c>
      <c r="I144" s="14" t="inlineStr">
        <is>
          <t>Derogar</t>
        </is>
      </c>
      <c r="J144" s="14" t="inlineStr">
        <is>
          <t>Anular</t>
        </is>
      </c>
      <c r="K144" s="14" t="inlineStr">
        <is>
          <t>Revocar</t>
        </is>
      </c>
      <c r="L144" s="14" t="inlineStr">
        <is>
          <t>a</t>
        </is>
      </c>
      <c r="M144" s="14" t="inlineStr">
        <is>
          <t>La derogación es la pérdida de vigencia de una norma por otra de igual o superior jerarquía y opera hacia el futuro.</t>
        </is>
      </c>
      <c r="N144" s="14" t="inlineStr">
        <is>
          <t>b) corresponde al juez y recae sobre la validez; c) se predica de actos administrativos, no de normas generales.</t>
        </is>
      </c>
      <c r="O144" s="14" t="inlineStr">
        <is>
          <t>Ley 153 de 1887</t>
        </is>
      </c>
      <c r="P144" s="14" t="inlineStr">
        <is>
          <t>SI</t>
        </is>
      </c>
    </row>
    <row r="145" ht="23.25" customHeight="1" s="12">
      <c r="A145" s="14" t="inlineStr">
        <is>
          <t>F0144</t>
        </is>
      </c>
      <c r="B145" s="14" t="inlineStr">
        <is>
          <t>PS 2782 de 2026 - ESE 2 - HUHMP Neiva</t>
        </is>
      </c>
      <c r="C145" s="14" t="inlineStr">
        <is>
          <t>Precision juridica del verbo</t>
        </is>
      </c>
      <c r="D145" s="14" t="inlineStr">
        <is>
          <t>Profesional</t>
        </is>
      </c>
      <c r="E145" s="14" t="inlineStr">
        <is>
          <t>C048</t>
        </is>
      </c>
      <c r="F145" s="14" t="inlineStr">
        <is>
          <t>Caso 048</t>
        </is>
      </c>
      <c r="G145" s="14" t="inlineStr">
        <is>
          <t>Una resolución que servía de fundamento a un acto administrativo del hospital fue declarada nula. El acto no ha sido ejecutado.</t>
        </is>
      </c>
      <c r="H145" s="14" t="inlineStr">
        <is>
          <t>Cuando una norma nueva reemplaza íntegramente el texto de la anterior, el verbo preciso es:</t>
        </is>
      </c>
      <c r="I145" s="14" t="inlineStr">
        <is>
          <t>Modificar</t>
        </is>
      </c>
      <c r="J145" s="14" t="inlineStr">
        <is>
          <t>Subrogar</t>
        </is>
      </c>
      <c r="K145" s="14" t="inlineStr">
        <is>
          <t>Adicionar</t>
        </is>
      </c>
      <c r="L145" s="14" t="inlineStr">
        <is>
          <t>b</t>
        </is>
      </c>
      <c r="M145" s="14" t="inlineStr">
        <is>
          <t>La subrogación sustituye integralmente la disposición anterior por una nueva.</t>
        </is>
      </c>
      <c r="N145" s="14" t="inlineStr">
        <is>
          <t>a) implica cambiar solo una parte del texto; c) implica agregar contenido sin sustituir el existente.</t>
        </is>
      </c>
      <c r="O145" s="14" t="inlineStr">
        <is>
          <t>Ley 153 de 1887</t>
        </is>
      </c>
      <c r="P145" s="14" t="inlineStr">
        <is>
          <t>SI</t>
        </is>
      </c>
    </row>
    <row r="146" ht="34.5" customHeight="1" s="12">
      <c r="A146" s="14" t="inlineStr">
        <is>
          <t>F0145</t>
        </is>
      </c>
      <c r="B146" s="14" t="inlineStr">
        <is>
          <t>PS 2782 de 2026 - ESE 2 - HUHMP Neiva</t>
        </is>
      </c>
      <c r="C146" s="14" t="inlineStr">
        <is>
          <t>Precision juridica del verbo</t>
        </is>
      </c>
      <c r="D146" s="14" t="inlineStr">
        <is>
          <t>Técnico</t>
        </is>
      </c>
      <c r="E146" s="14" t="inlineStr">
        <is>
          <t>C049</t>
        </is>
      </c>
      <c r="F146" s="14" t="inlineStr">
        <is>
          <t>Caso 049</t>
        </is>
      </c>
      <c r="G146" s="14" t="inlineStr">
        <is>
          <t>La secretaría de la junta directiva prepara documentos para una sesión y para una diligencia administrativa.</t>
        </is>
      </c>
      <c r="H146" s="14" t="inlineStr">
        <is>
          <t>Para reunir a los miembros de la junta directiva en sesión ordinaria, el verbo correcto es:</t>
        </is>
      </c>
      <c r="I146" s="14" t="inlineStr">
        <is>
          <t>Convocar a los miembros de la junta</t>
        </is>
      </c>
      <c r="J146" s="14" t="inlineStr">
        <is>
          <t>Citar a los miembros de la junta</t>
        </is>
      </c>
      <c r="K146" s="14" t="inlineStr">
        <is>
          <t>Emplazar a los miembros de la junta</t>
        </is>
      </c>
      <c r="L146" s="14" t="inlineStr">
        <is>
          <t>a</t>
        </is>
      </c>
      <c r="M146" s="14" t="inlineStr">
        <is>
          <t>La convocatoria llama a un cuerpo colegiado o a un grupo de destinatarios a una sesión o a un proceso.</t>
        </is>
      </c>
      <c r="N146" s="14" t="inlineStr">
        <is>
          <t>b) se usa para llamar a una persona determinada a una diligencia concreta; c) es un llamado público a quien se desconoce o no comparece.</t>
        </is>
      </c>
      <c r="O146" s="14" t="inlineStr">
        <is>
          <t>Decreto 1876 de 1994; Ley 1437 de 2011</t>
        </is>
      </c>
      <c r="P146" s="14" t="inlineStr">
        <is>
          <t>SI</t>
        </is>
      </c>
    </row>
    <row r="147" ht="23.25" customHeight="1" s="12">
      <c r="A147" s="14" t="inlineStr">
        <is>
          <t>F0146</t>
        </is>
      </c>
      <c r="B147" s="14" t="inlineStr">
        <is>
          <t>PS 2782 de 2026 - ESE 2 - HUHMP Neiva</t>
        </is>
      </c>
      <c r="C147" s="14" t="inlineStr">
        <is>
          <t>Precision juridica del verbo</t>
        </is>
      </c>
      <c r="D147" s="14" t="inlineStr">
        <is>
          <t>Técnico</t>
        </is>
      </c>
      <c r="E147" s="14" t="inlineStr">
        <is>
          <t>C049</t>
        </is>
      </c>
      <c r="F147" s="14" t="inlineStr">
        <is>
          <t>Caso 049</t>
        </is>
      </c>
      <c r="G147" s="14" t="inlineStr">
        <is>
          <t>La secretaría de la junta directiva prepara documentos para una sesión y para una diligencia administrativa.</t>
        </is>
      </c>
      <c r="H147" s="14" t="inlineStr">
        <is>
          <t>Para llamar a un servidor a rendir versión libre en una actuación disciplinaria, el verbo correcto es:</t>
        </is>
      </c>
      <c r="I147" s="14" t="inlineStr">
        <is>
          <t>Convocarlo mediante comunicación dirigida al servicio</t>
        </is>
      </c>
      <c r="J147" s="14" t="inlineStr">
        <is>
          <t>Citarlo a la diligencia mediante comunicación personal</t>
        </is>
      </c>
      <c r="K147" s="14" t="inlineStr">
        <is>
          <t>Emplazarlo mediante aviso publicado por la entidad</t>
        </is>
      </c>
      <c r="L147" s="14" t="inlineStr">
        <is>
          <t>b</t>
        </is>
      </c>
      <c r="M147" s="14" t="inlineStr">
        <is>
          <t>La citación se dirige a persona determinada para que comparezca a una actuación concreta.</t>
        </is>
      </c>
      <c r="N147" s="14" t="inlineStr">
        <is>
          <t>a) se usa para colegiados o convocatorias generales; c) procede cuando no se logra la comparecencia o se desconoce el paradero.</t>
        </is>
      </c>
      <c r="O147" s="14" t="inlineStr">
        <is>
          <t>Ley 1952 de 2019; Ley 1437 de 2011, art. 68</t>
        </is>
      </c>
      <c r="P147" s="14" t="inlineStr">
        <is>
          <t>SI</t>
        </is>
      </c>
    </row>
    <row r="148" ht="23.25" customHeight="1" s="12">
      <c r="A148" s="14" t="inlineStr">
        <is>
          <t>F0147</t>
        </is>
      </c>
      <c r="B148" s="14" t="inlineStr">
        <is>
          <t>PS 2782 de 2026 - ESE 2 - HUHMP Neiva</t>
        </is>
      </c>
      <c r="C148" s="14" t="inlineStr">
        <is>
          <t>Precision juridica del verbo</t>
        </is>
      </c>
      <c r="D148" s="14" t="inlineStr">
        <is>
          <t>Técnico</t>
        </is>
      </c>
      <c r="E148" s="14" t="inlineStr">
        <is>
          <t>C049</t>
        </is>
      </c>
      <c r="F148" s="14" t="inlineStr">
        <is>
          <t>Caso 049</t>
        </is>
      </c>
      <c r="G148" s="14" t="inlineStr">
        <is>
          <t>La secretaría de la junta directiva prepara documentos para una sesión y para una diligencia administrativa.</t>
        </is>
      </c>
      <c r="H148" s="14" t="inlineStr">
        <is>
          <t>Para exigir a un peticionario que complete la información faltante de su solicitud, el verbo correcto es:</t>
        </is>
      </c>
      <c r="I148" s="14" t="inlineStr">
        <is>
          <t>Requerirlo, con desistimiento tácito si no responde</t>
        </is>
      </c>
      <c r="J148" s="14" t="inlineStr">
        <is>
          <t>Emplazarlo, con curador designado si no comparece</t>
        </is>
      </c>
      <c r="K148" s="14" t="inlineStr">
        <is>
          <t>Notificarlo, con términos que corren desde ese acto</t>
        </is>
      </c>
      <c r="L148" s="14" t="inlineStr">
        <is>
          <t>a</t>
        </is>
      </c>
      <c r="M148" s="14" t="inlineStr">
        <is>
          <t>El artículo 17 del CPACA ordena requerir al interesado para completar la petición, con desistimiento tácito si no atiende el requerimiento.</t>
        </is>
      </c>
      <c r="N148" s="14" t="inlineStr">
        <is>
          <t>b) es un llamado público impropio de este trámite; c) nombra el acto de dar a conocer una decisión, no de pedir información.</t>
        </is>
      </c>
      <c r="O148" s="14" t="inlineStr">
        <is>
          <t>Ley 1437 de 2011, art. 17</t>
        </is>
      </c>
      <c r="P148" s="14" t="inlineStr">
        <is>
          <t>SI</t>
        </is>
      </c>
    </row>
    <row r="149" ht="23.25" customHeight="1" s="12">
      <c r="A149" s="14" t="inlineStr">
        <is>
          <t>F0148</t>
        </is>
      </c>
      <c r="B149" s="14" t="inlineStr">
        <is>
          <t>PS 2782 de 2026 - ESE 2 - HUHMP Neiva</t>
        </is>
      </c>
      <c r="C149" s="14" t="inlineStr">
        <is>
          <t>Precision juridica del verbo</t>
        </is>
      </c>
      <c r="D149" s="14" t="inlineStr">
        <is>
          <t>Profesional</t>
        </is>
      </c>
      <c r="E149" s="14" t="inlineStr">
        <is>
          <t>C050</t>
        </is>
      </c>
      <c r="F149" s="14" t="inlineStr">
        <is>
          <t>Caso 050</t>
        </is>
      </c>
      <c r="G149" s="14" t="inlineStr">
        <is>
          <t>La E.S.E. tramita su programa de saneamiento fiscal y financiero y el equipo discute qué hace cada actor.</t>
        </is>
      </c>
      <c r="H149" s="14" t="inlineStr">
        <is>
          <t>La junta directiva de la E.S.E. frente al programa debe:</t>
        </is>
      </c>
      <c r="I149" s="14" t="inlineStr">
        <is>
          <t>Adoptarlo mediante acuerdo</t>
        </is>
      </c>
      <c r="J149" s="14" t="inlineStr">
        <is>
          <t>Viabilizarlo</t>
        </is>
      </c>
      <c r="K149" s="14" t="inlineStr">
        <is>
          <t>Autorizarlo con efectos vinculantes para el Ministerio</t>
        </is>
      </c>
      <c r="L149" s="14" t="inlineStr">
        <is>
          <t>a</t>
        </is>
      </c>
      <c r="M149" s="14" t="inlineStr">
        <is>
          <t>La junta directiva adopta el programa de saneamiento fiscal y financiero de la entidad.</t>
        </is>
      </c>
      <c r="N149" s="14" t="inlineStr">
        <is>
          <t>b) corresponde al Ministerio de Hacienda; c) atribuye a la junta un efecto sobre el nivel nacional que no tiene.</t>
        </is>
      </c>
      <c r="O149" s="14" t="inlineStr">
        <is>
          <t>Ley 1438 de 2011, art. 80; Ley 1608 de 2013</t>
        </is>
      </c>
      <c r="P149" s="14" t="inlineStr">
        <is>
          <t>SI</t>
        </is>
      </c>
    </row>
    <row r="150" ht="23.25" customHeight="1" s="12">
      <c r="A150" s="14" t="inlineStr">
        <is>
          <t>F0149</t>
        </is>
      </c>
      <c r="B150" s="14" t="inlineStr">
        <is>
          <t>PS 2782 de 2026 - ESE 2 - HUHMP Neiva</t>
        </is>
      </c>
      <c r="C150" s="14" t="inlineStr">
        <is>
          <t>Precision juridica del verbo</t>
        </is>
      </c>
      <c r="D150" s="14" t="inlineStr">
        <is>
          <t>Profesional</t>
        </is>
      </c>
      <c r="E150" s="14" t="inlineStr">
        <is>
          <t>C050</t>
        </is>
      </c>
      <c r="F150" s="14" t="inlineStr">
        <is>
          <t>Caso 050</t>
        </is>
      </c>
      <c r="G150" s="14" t="inlineStr">
        <is>
          <t>La E.S.E. tramita su programa de saneamiento fiscal y financiero y el equipo discute qué hace cada actor.</t>
        </is>
      </c>
      <c r="H150" s="14" t="inlineStr">
        <is>
          <t>El Ministerio de Hacienda y Crédito Público frente al mismo programa debe:</t>
        </is>
      </c>
      <c r="I150" s="14" t="inlineStr">
        <is>
          <t>Adoptarlo mediante acuerdo de su junta directiva</t>
        </is>
      </c>
      <c r="J150" s="14" t="inlineStr">
        <is>
          <t>Viabilizarlo y seguir su cumplimiento en el tiempo</t>
        </is>
      </c>
      <c r="K150" s="14" t="inlineStr">
        <is>
          <t>Sancionarlo y ordenar su ejecución inmediata</t>
        </is>
      </c>
      <c r="L150" s="14" t="inlineStr">
        <is>
          <t>b</t>
        </is>
      </c>
      <c r="M150" s="14" t="inlineStr">
        <is>
          <t>La viabilización del programa y el seguimiento a su cumplimiento corresponden al Ministerio de Hacienda y Crédito Público.</t>
        </is>
      </c>
      <c r="N150" s="14" t="inlineStr">
        <is>
          <t>a) corresponde a la junta directiva de la E.S.E.; c) usa un verbo del trámite legislativo o del régimen sancionatorio.</t>
        </is>
      </c>
      <c r="O150" s="14" t="inlineStr">
        <is>
          <t>Ley 1608 de 2013</t>
        </is>
      </c>
      <c r="P150" s="14" t="inlineStr">
        <is>
          <t>SI</t>
        </is>
      </c>
    </row>
    <row r="151" ht="34.5" customHeight="1" s="12">
      <c r="A151" s="14" t="inlineStr">
        <is>
          <t>F0150</t>
        </is>
      </c>
      <c r="B151" s="14" t="inlineStr">
        <is>
          <t>PS 2782 de 2026 - ESE 2 - HUHMP Neiva</t>
        </is>
      </c>
      <c r="C151" s="14" t="inlineStr">
        <is>
          <t>Precision juridica del verbo</t>
        </is>
      </c>
      <c r="D151" s="14" t="inlineStr">
        <is>
          <t>Profesional</t>
        </is>
      </c>
      <c r="E151" s="14" t="inlineStr">
        <is>
          <t>C050</t>
        </is>
      </c>
      <c r="F151" s="14" t="inlineStr">
        <is>
          <t>Caso 050</t>
        </is>
      </c>
      <c r="G151" s="14" t="inlineStr">
        <is>
          <t>La E.S.E. tramita su programa de saneamiento fiscal y financiero y el equipo discute qué hace cada actor.</t>
        </is>
      </c>
      <c r="H151" s="14" t="inlineStr">
        <is>
          <t>La Superintendencia Nacional de Salud, frente al incumplimiento del programa, puede:</t>
        </is>
      </c>
      <c r="I151" s="14" t="inlineStr">
        <is>
          <t>Derogar el acuerdo que adoptó el programa de saneamiento</t>
        </is>
      </c>
      <c r="J151" s="14" t="inlineStr">
        <is>
          <t>Adoptar las medidas especiales previstas en la ley</t>
        </is>
      </c>
      <c r="K151" s="14" t="inlineStr">
        <is>
          <t>Revocar la habilitación de los servicios del hospital</t>
        </is>
      </c>
      <c r="L151" s="14" t="inlineStr">
        <is>
          <t>b</t>
        </is>
      </c>
      <c r="M151" s="14" t="inlineStr">
        <is>
          <t>Ante el incumplimiento, la Superintendencia puede adoptar las medidas especiales previstas en la normativa de inspección, vigilancia y control.</t>
        </is>
      </c>
      <c r="N151" s="14" t="inlineStr">
        <is>
          <t>a) usa un verbo normativo sobre un acto de otra entidad; c) confunde la habilitación, que depende de la entidad territorial y del cumplimiento de estándares.</t>
        </is>
      </c>
      <c r="O151" s="14" t="inlineStr">
        <is>
          <t>Ley 1438 de 2011; Decreto 780 de 2016</t>
        </is>
      </c>
      <c r="P151" s="14" t="inlineStr">
        <is>
          <t>SI</t>
        </is>
      </c>
    </row>
    <row r="152" ht="34.5" customHeight="1" s="12">
      <c r="A152" s="14" t="inlineStr">
        <is>
          <t>F0151</t>
        </is>
      </c>
      <c r="B152" s="14" t="inlineStr">
        <is>
          <t>PS 2782 de 2026 - ESE 2 - HUHMP Neiva</t>
        </is>
      </c>
      <c r="C152" s="14" t="inlineStr">
        <is>
          <t>Precision juridica del verbo</t>
        </is>
      </c>
      <c r="D152" s="14" t="inlineStr">
        <is>
          <t>Profesional</t>
        </is>
      </c>
      <c r="E152" s="14" t="inlineStr">
        <is>
          <t>C051</t>
        </is>
      </c>
      <c r="F152" s="14" t="inlineStr">
        <is>
          <t>Caso 051</t>
        </is>
      </c>
      <c r="G152" s="14" t="inlineStr">
        <is>
          <t>El gerente quiere que un subgerente firme determinados actos y, además, que un funcionario asuma temporalmente un empleo vacante.</t>
        </is>
      </c>
      <c r="H152" s="14" t="inlineStr">
        <is>
          <t>Para que el subgerente ejerza en nombre propio funciones del gerente, corresponde:</t>
        </is>
      </c>
      <c r="I152" s="14" t="inlineStr">
        <is>
          <t>Delegar mediante acto que precise funciones y delegatario</t>
        </is>
      </c>
      <c r="J152" s="14" t="inlineStr">
        <is>
          <t>Desconcentrar las funciones mediante norma de carácter general</t>
        </is>
      </c>
      <c r="K152" s="14" t="inlineStr">
        <is>
          <t>Encargar al subgerente mientras dure la ausencia del titular</t>
        </is>
      </c>
      <c r="L152" s="14" t="inlineStr">
        <is>
          <t>a</t>
        </is>
      </c>
      <c r="M152" s="14" t="inlineStr">
        <is>
          <t>La delegación transfiere el ejercicio de funciones a un servidor del nivel directivo mediante acto administrativo que precisa las funciones y el delegatario.</t>
        </is>
      </c>
      <c r="N152" s="14" t="inlineStr">
        <is>
          <t>b) es un traslado de competencias por norma y no por decisión particular; c) describe la provisión temporal de un empleo distinto.</t>
        </is>
      </c>
      <c r="O152" s="14" t="inlineStr">
        <is>
          <t>Ley 489 de 1998, art. 9</t>
        </is>
      </c>
      <c r="P152" s="14" t="inlineStr">
        <is>
          <t>SI</t>
        </is>
      </c>
    </row>
    <row r="153" ht="34.5" customHeight="1" s="12">
      <c r="A153" s="14" t="inlineStr">
        <is>
          <t>F0152</t>
        </is>
      </c>
      <c r="B153" s="14" t="inlineStr">
        <is>
          <t>PS 2782 de 2026 - ESE 2 - HUHMP Neiva</t>
        </is>
      </c>
      <c r="C153" s="14" t="inlineStr">
        <is>
          <t>Precision juridica del verbo</t>
        </is>
      </c>
      <c r="D153" s="14" t="inlineStr">
        <is>
          <t>Profesional</t>
        </is>
      </c>
      <c r="E153" s="14" t="inlineStr">
        <is>
          <t>C051</t>
        </is>
      </c>
      <c r="F153" s="14" t="inlineStr">
        <is>
          <t>Caso 051</t>
        </is>
      </c>
      <c r="G153" s="14" t="inlineStr">
        <is>
          <t>El gerente quiere que un subgerente firme determinados actos y, además, que un funcionario asuma temporalmente un empleo vacante.</t>
        </is>
      </c>
      <c r="H153" s="14" t="inlineStr">
        <is>
          <t>Para que un empleado de carrera asuma temporalmente las funciones de un empleo vacante de superior jerarquía, corresponde:</t>
        </is>
      </c>
      <c r="I153" s="14" t="inlineStr">
        <is>
          <t>Delegarle las funciones mediante acto administrativo motivado</t>
        </is>
      </c>
      <c r="J153" s="14" t="inlineStr">
        <is>
          <t>Encargarlo del empleo conforme a la provisión transitoria</t>
        </is>
      </c>
      <c r="K153" s="14" t="inlineStr">
        <is>
          <t>Comisionarlo para cumplir una misión especial del servicio</t>
        </is>
      </c>
      <c r="L153" s="14" t="inlineStr">
        <is>
          <t>b</t>
        </is>
      </c>
      <c r="M153" s="14" t="inlineStr">
        <is>
          <t>El encargo es una forma de provisión transitoria por la cual el empleado asume total o parcialmente las funciones de otro empleo vacante.</t>
        </is>
      </c>
      <c r="N153" s="14" t="inlineStr">
        <is>
          <t>a) recae sobre funciones del delegante sin cambiar la situación administrativa; c) nombra otra situación administrativa con finalidad distinta.</t>
        </is>
      </c>
      <c r="O153" s="14" t="inlineStr">
        <is>
          <t>Ley 909 de 2004, art. 24</t>
        </is>
      </c>
      <c r="P153" s="14" t="inlineStr">
        <is>
          <t>SI</t>
        </is>
      </c>
    </row>
    <row r="154" ht="34.5" customHeight="1" s="12">
      <c r="A154" s="14" t="inlineStr">
        <is>
          <t>F0153</t>
        </is>
      </c>
      <c r="B154" s="14" t="inlineStr">
        <is>
          <t>PS 2782 de 2026 - ESE 2 - HUHMP Neiva</t>
        </is>
      </c>
      <c r="C154" s="14" t="inlineStr">
        <is>
          <t>Precision juridica del verbo</t>
        </is>
      </c>
      <c r="D154" s="14" t="inlineStr">
        <is>
          <t>Profesional</t>
        </is>
      </c>
      <c r="E154" s="14" t="inlineStr">
        <is>
          <t>C051</t>
        </is>
      </c>
      <c r="F154" s="14" t="inlineStr">
        <is>
          <t>Caso 051</t>
        </is>
      </c>
      <c r="G154" s="14" t="inlineStr">
        <is>
          <t>El gerente quiere que un subgerente firme determinados actos y, además, que un funcionario asuma temporalmente un empleo vacante.</t>
        </is>
      </c>
      <c r="H154" s="14" t="inlineStr">
        <is>
          <t>Frente a la responsabilidad, la delegación implica que:</t>
        </is>
      </c>
      <c r="I154" s="14" t="inlineStr">
        <is>
          <t>El delegante queda exonerado de toda responsabilidad</t>
        </is>
      </c>
      <c r="J154" s="14" t="inlineStr">
        <is>
          <t>El delegatario responde y el delegante mantiene su dirección</t>
        </is>
      </c>
      <c r="K154" s="14" t="inlineStr">
        <is>
          <t>Ambos responden de manera solidaria en todos los casos</t>
        </is>
      </c>
      <c r="L154" s="14" t="inlineStr">
        <is>
          <t>b</t>
        </is>
      </c>
      <c r="M154" s="14" t="inlineStr">
        <is>
          <t>La delegación traslada la responsabilidad por las decisiones al delegatario, conservando el delegante sus deberes de dirección, orientación, instrucción y seguimiento.</t>
        </is>
      </c>
      <c r="N154" s="14" t="inlineStr">
        <is>
          <t>a) desconoce los deberes que conserva el delegante; c) generaliza una solidaridad que la ley no establece de manera automática.</t>
        </is>
      </c>
      <c r="O154" s="14" t="inlineStr">
        <is>
          <t>Ley 489 de 1998, arts. 10 y 12</t>
        </is>
      </c>
      <c r="P154" s="14" t="inlineStr">
        <is>
          <t>SI</t>
        </is>
      </c>
    </row>
    <row r="155" ht="23.25" customHeight="1" s="12">
      <c r="A155" s="14" t="inlineStr">
        <is>
          <t>F0154</t>
        </is>
      </c>
      <c r="B155" s="14" t="inlineStr">
        <is>
          <t>PS 2782 de 2026 - ESE 2 - HUHMP Neiva</t>
        </is>
      </c>
      <c r="C155" s="14" t="inlineStr">
        <is>
          <t>Precision juridica del verbo</t>
        </is>
      </c>
      <c r="D155" s="14" t="inlineStr">
        <is>
          <t>Técnico</t>
        </is>
      </c>
      <c r="E155" s="14" t="inlineStr">
        <is>
          <t>C052</t>
        </is>
      </c>
      <c r="F155" s="14" t="inlineStr">
        <is>
          <t>Caso 052</t>
        </is>
      </c>
      <c r="G155" s="14" t="inlineStr">
        <is>
          <t>Un auditor sanitario visita el hospital y debe describir correctamente las medidas que puede adoptar la autoridad.</t>
        </is>
      </c>
      <c r="H155" s="14" t="inlineStr">
        <is>
          <t>La medida que impide temporalmente la prestación de un servicio por riesgo sanitario se denomina:</t>
        </is>
      </c>
      <c r="I155" s="14" t="inlineStr">
        <is>
          <t>Suspender total o parcialmente los trabajos o servicios</t>
        </is>
      </c>
      <c r="J155" s="14" t="inlineStr">
        <is>
          <t>Cancelar la inscripción del prestador en el registro</t>
        </is>
      </c>
      <c r="K155" s="14" t="inlineStr">
        <is>
          <t>Revocar la acreditación otorgada al prestador de salud</t>
        </is>
      </c>
      <c r="L155" s="14" t="inlineStr">
        <is>
          <t>a</t>
        </is>
      </c>
      <c r="M155" s="14" t="inlineStr">
        <is>
          <t>Entre las medidas sanitarias de seguridad está la suspensión total o parcial de trabajos o servicios, de aplicación inmediata y carácter transitorio.</t>
        </is>
      </c>
      <c r="N155" s="14" t="inlineStr">
        <is>
          <t>b) y c) describen decisiones definitivas sobre el registro o sobre un reconocimiento voluntario, no una medida preventiva inmediata.</t>
        </is>
      </c>
      <c r="O155" s="14" t="inlineStr">
        <is>
          <t>Ley 9 de 1979, art. 576</t>
        </is>
      </c>
      <c r="P155" s="14" t="inlineStr">
        <is>
          <t>SI</t>
        </is>
      </c>
    </row>
    <row r="156" ht="34.5" customHeight="1" s="12">
      <c r="A156" s="14" t="inlineStr">
        <is>
          <t>F0155</t>
        </is>
      </c>
      <c r="B156" s="14" t="inlineStr">
        <is>
          <t>PS 2782 de 2026 - ESE 2 - HUHMP Neiva</t>
        </is>
      </c>
      <c r="C156" s="14" t="inlineStr">
        <is>
          <t>Precision juridica del verbo</t>
        </is>
      </c>
      <c r="D156" s="14" t="inlineStr">
        <is>
          <t>Técnico</t>
        </is>
      </c>
      <c r="E156" s="14" t="inlineStr">
        <is>
          <t>C052</t>
        </is>
      </c>
      <c r="F156" s="14" t="inlineStr">
        <is>
          <t>Caso 052</t>
        </is>
      </c>
      <c r="G156" s="14" t="inlineStr">
        <is>
          <t>Un auditor sanitario visita el hospital y debe describir correctamente las medidas que puede adoptar la autoridad.</t>
        </is>
      </c>
      <c r="H156" s="14" t="inlineStr">
        <is>
          <t>La medida sanitaria de seguridad tiene por naturaleza ser:</t>
        </is>
      </c>
      <c r="I156" s="14" t="inlineStr">
        <is>
          <t>Sancionatoria y definitiva, con recurso ante el superior</t>
        </is>
      </c>
      <c r="J156" s="14" t="inlineStr">
        <is>
          <t>Preventiva, de ejecución inmediata y carácter transitorio</t>
        </is>
      </c>
      <c r="K156" s="14" t="inlineStr">
        <is>
          <t>Judicial, por requerir autorización previa de un juez</t>
        </is>
      </c>
      <c r="L156" s="14" t="inlineStr">
        <is>
          <t>b</t>
        </is>
      </c>
      <c r="M156" s="14" t="inlineStr">
        <is>
          <t>Las medidas sanitarias de seguridad son preventivas, de ejecución inmediata, transitorias y se aplican sin perjuicio de las sanciones a que haya lugar.</t>
        </is>
      </c>
      <c r="N156" s="14" t="inlineStr">
        <is>
          <t>a) las confunde con la sanción que puede imponerse tras el procedimiento; c) las atribuye a un órgano que no las adopta.</t>
        </is>
      </c>
      <c r="O156" s="14" t="inlineStr">
        <is>
          <t>Ley 9 de 1979, art. 576</t>
        </is>
      </c>
      <c r="P156" s="14" t="inlineStr">
        <is>
          <t>SI</t>
        </is>
      </c>
    </row>
    <row r="157" ht="23.25" customHeight="1" s="12">
      <c r="A157" s="14" t="inlineStr">
        <is>
          <t>F0156</t>
        </is>
      </c>
      <c r="B157" s="14" t="inlineStr">
        <is>
          <t>PS 2782 de 2026 - ESE 2 - HUHMP Neiva</t>
        </is>
      </c>
      <c r="C157" s="14" t="inlineStr">
        <is>
          <t>Precision juridica del verbo</t>
        </is>
      </c>
      <c r="D157" s="14" t="inlineStr">
        <is>
          <t>Técnico</t>
        </is>
      </c>
      <c r="E157" s="14" t="inlineStr">
        <is>
          <t>C052</t>
        </is>
      </c>
      <c r="F157" s="14" t="inlineStr">
        <is>
          <t>Caso 052</t>
        </is>
      </c>
      <c r="G157" s="14" t="inlineStr">
        <is>
          <t>Un auditor sanitario visita el hospital y debe describir correctamente las medidas que puede adoptar la autoridad.</t>
        </is>
      </c>
      <c r="H157" s="14" t="inlineStr">
        <is>
          <t>Terminado el procedimiento administrativo sancionatorio, la autoridad puede:</t>
        </is>
      </c>
      <c r="I157" s="14" t="inlineStr">
        <is>
          <t>Imponer la sanción mediante acto motivado</t>
        </is>
      </c>
      <c r="J157" s="14" t="inlineStr">
        <is>
          <t>Adoptar una medida sanitaria de seguridad como sanción</t>
        </is>
      </c>
      <c r="K157" s="14" t="inlineStr">
        <is>
          <t>Suspender el procedimiento</t>
        </is>
      </c>
      <c r="L157" s="14" t="inlineStr">
        <is>
          <t>a</t>
        </is>
      </c>
      <c r="M157" s="14" t="inlineStr">
        <is>
          <t>La sanción se impone mediante acto administrativo motivado al término del procedimiento sancionatorio.</t>
        </is>
      </c>
      <c r="N157" s="14" t="inlineStr">
        <is>
          <t>b) usa como sanción una medida preventiva; c) describe una decisión procesal, no el resultado del procedimiento.</t>
        </is>
      </c>
      <c r="O157" s="14" t="inlineStr">
        <is>
          <t>Ley 1437 de 2011, arts. 47 a 50</t>
        </is>
      </c>
      <c r="P157" s="14" t="inlineStr">
        <is>
          <t>SI</t>
        </is>
      </c>
    </row>
    <row r="158" ht="23.25" customHeight="1" s="12">
      <c r="A158" s="14" t="inlineStr">
        <is>
          <t>F0157</t>
        </is>
      </c>
      <c r="B158" s="14" t="inlineStr">
        <is>
          <t>PS 2782 de 2026 - ESE 2 - HUHMP Neiva</t>
        </is>
      </c>
      <c r="C158" s="14" t="inlineStr">
        <is>
          <t>Sistema de salud y Ley 100 de 1993</t>
        </is>
      </c>
      <c r="D158" s="14" t="inlineStr">
        <is>
          <t>Profesional</t>
        </is>
      </c>
      <c r="E158" s="14" t="inlineStr">
        <is>
          <t>C053</t>
        </is>
      </c>
      <c r="F158" s="14" t="inlineStr">
        <is>
          <t>Caso 053</t>
        </is>
      </c>
      <c r="G158" s="14" t="inlineStr">
        <is>
          <t>La oficina de planeación revisa cómo se financia la operación del hospital y cuál es el papel de cada actor del sistema.</t>
        </is>
      </c>
      <c r="H158" s="14" t="inlineStr">
        <is>
          <t>La UPC es:</t>
        </is>
      </c>
      <c r="I158" s="14" t="inlineStr">
        <is>
          <t>El valor anual que reconoce el sistema por cada afiliado para financiar el plan de beneficios</t>
        </is>
      </c>
      <c r="J158" s="14" t="inlineStr">
        <is>
          <t>La tarifa que cobra la IPS por cada atención</t>
        </is>
      </c>
      <c r="K158" s="14" t="inlineStr">
        <is>
          <t>El copago que paga el usuario</t>
        </is>
      </c>
      <c r="L158" s="14" t="inlineStr">
        <is>
          <t>a</t>
        </is>
      </c>
      <c r="M158" s="14" t="inlineStr">
        <is>
          <t>La Unidad de Pago por Capitación es el valor anual reconocido por afiliado para financiar el plan de beneficios.</t>
        </is>
      </c>
      <c r="N158" s="14" t="inlineStr">
        <is>
          <t>b) describe la tarifa contractual del prestador y c) un pago moderador a cargo del usuario.</t>
        </is>
      </c>
      <c r="O158" s="14" t="inlineStr">
        <is>
          <t>Ley 100 de 1993, art. 182</t>
        </is>
      </c>
      <c r="P158" s="14" t="inlineStr">
        <is>
          <t>SI</t>
        </is>
      </c>
      <c r="Q158" s="11" t="inlineStr">
        <is>
          <t>Basica</t>
        </is>
      </c>
      <c r="R158" s="11" t="inlineStr">
        <is>
          <t>repaso</t>
        </is>
      </c>
    </row>
    <row r="159" ht="23.25" customHeight="1" s="12">
      <c r="A159" s="14" t="inlineStr">
        <is>
          <t>F0158</t>
        </is>
      </c>
      <c r="B159" s="14" t="inlineStr">
        <is>
          <t>PS 2782 de 2026 - ESE 2 - HUHMP Neiva</t>
        </is>
      </c>
      <c r="C159" s="14" t="inlineStr">
        <is>
          <t>Sistema de salud y Ley 100 de 1993</t>
        </is>
      </c>
      <c r="D159" s="14" t="inlineStr">
        <is>
          <t>Profesional</t>
        </is>
      </c>
      <c r="E159" s="14" t="inlineStr">
        <is>
          <t>C053</t>
        </is>
      </c>
      <c r="F159" s="14" t="inlineStr">
        <is>
          <t>Caso 053</t>
        </is>
      </c>
      <c r="G159" s="14" t="inlineStr">
        <is>
          <t>La oficina de planeación revisa cómo se financia la operación del hospital y cuál es el papel de cada actor del sistema.</t>
        </is>
      </c>
      <c r="H159" s="14" t="inlineStr">
        <is>
          <t>La ADRES cumple la función de:</t>
        </is>
      </c>
      <c r="I159" s="14" t="inlineStr">
        <is>
          <t>Administrar los recursos del sistema general de seguridad social en salud</t>
        </is>
      </c>
      <c r="J159" s="14" t="inlineStr">
        <is>
          <t>Habilitar los servicios de salud</t>
        </is>
      </c>
      <c r="K159" s="14" t="inlineStr">
        <is>
          <t>Vigilar a los prestadores</t>
        </is>
      </c>
      <c r="L159" s="14" t="inlineStr">
        <is>
          <t>a</t>
        </is>
      </c>
      <c r="M159" s="14" t="inlineStr">
        <is>
          <t>La ADRES administra los recursos del sistema y realiza los reconocimientos y giros que le competen.</t>
        </is>
      </c>
      <c r="N159" s="14" t="inlineStr">
        <is>
          <t>b) corresponde a las entidades territoriales y c) a la Superintendencia Nacional de Salud.</t>
        </is>
      </c>
      <c r="O159" s="14" t="inlineStr">
        <is>
          <t>Ley 1753 de 2015, art. 66</t>
        </is>
      </c>
      <c r="P159" s="14" t="inlineStr">
        <is>
          <t>SI</t>
        </is>
      </c>
      <c r="Q159" s="11" t="inlineStr">
        <is>
          <t>Basica</t>
        </is>
      </c>
      <c r="R159" s="11" t="inlineStr">
        <is>
          <t>repaso</t>
        </is>
      </c>
    </row>
    <row r="160" ht="23.25" customHeight="1" s="12">
      <c r="A160" s="14" t="inlineStr">
        <is>
          <t>F0159</t>
        </is>
      </c>
      <c r="B160" s="14" t="inlineStr">
        <is>
          <t>PS 2782 de 2026 - ESE 2 - HUHMP Neiva</t>
        </is>
      </c>
      <c r="C160" s="14" t="inlineStr">
        <is>
          <t>Sistema de salud y Ley 100 de 1993</t>
        </is>
      </c>
      <c r="D160" s="14" t="inlineStr">
        <is>
          <t>Profesional</t>
        </is>
      </c>
      <c r="E160" s="14" t="inlineStr">
        <is>
          <t>C053</t>
        </is>
      </c>
      <c r="F160" s="14" t="inlineStr">
        <is>
          <t>Caso 053</t>
        </is>
      </c>
      <c r="G160" s="14" t="inlineStr">
        <is>
          <t>La oficina de planeación revisa cómo se financia la operación del hospital y cuál es el papel de cada actor del sistema.</t>
        </is>
      </c>
      <c r="H160" s="14" t="inlineStr">
        <is>
          <t>La afiliación al sistema es:</t>
        </is>
      </c>
      <c r="I160" s="14" t="inlineStr">
        <is>
          <t>Obligatoria para todos los residentes en Colombia</t>
        </is>
      </c>
      <c r="J160" s="14" t="inlineStr">
        <is>
          <t>Voluntaria para trabajadores independientes</t>
        </is>
      </c>
      <c r="K160" s="14" t="inlineStr">
        <is>
          <t>Optativa si la persona tiene medicina prepagada</t>
        </is>
      </c>
      <c r="L160" s="14" t="inlineStr">
        <is>
          <t>a</t>
        </is>
      </c>
      <c r="M160" s="14" t="inlineStr">
        <is>
          <t>La afiliación al SGSSS es obligatoria para todos los residentes en el país.</t>
        </is>
      </c>
      <c r="N160" s="14" t="inlineStr">
        <is>
          <t>b) y c) crean excepciones que la ley no contempla; la prepagada es complementaria, no sustituye la afiliación.</t>
        </is>
      </c>
      <c r="O160" s="14" t="inlineStr">
        <is>
          <t>Ley 100 de 1993, art. 153</t>
        </is>
      </c>
      <c r="P160" s="14" t="inlineStr">
        <is>
          <t>SI</t>
        </is>
      </c>
      <c r="Q160" s="11" t="inlineStr">
        <is>
          <t>Basica</t>
        </is>
      </c>
      <c r="R160" s="11" t="inlineStr">
        <is>
          <t>repaso</t>
        </is>
      </c>
    </row>
    <row r="161" ht="23.25" customHeight="1" s="12">
      <c r="A161" s="14" t="inlineStr">
        <is>
          <t>F0160</t>
        </is>
      </c>
      <c r="B161" s="14" t="inlineStr">
        <is>
          <t>PS 2782 de 2026 - ESE 2 - HUHMP Neiva</t>
        </is>
      </c>
      <c r="C161" s="14" t="inlineStr">
        <is>
          <t>Sistema de salud y Ley 100 de 1993</t>
        </is>
      </c>
      <c r="D161" s="14" t="inlineStr">
        <is>
          <t>Profesional</t>
        </is>
      </c>
      <c r="E161" s="14" t="inlineStr">
        <is>
          <t>C054</t>
        </is>
      </c>
      <c r="F161" s="14" t="inlineStr">
        <is>
          <t>Caso 054</t>
        </is>
      </c>
      <c r="G161" s="14" t="inlineStr">
        <is>
          <t>El comité financiero analiza la relación contractual entre el hospital y las EPS.</t>
        </is>
      </c>
      <c r="H161" s="14" t="inlineStr">
        <is>
          <t>El acuerdo de voluntades entre EPS e IPS debe contener como mínimo:</t>
        </is>
      </c>
      <c r="I161" s="14" t="inlineStr">
        <is>
          <t>Objeto, población, servicios, tarifas, mecanismos de pago y vigencia</t>
        </is>
      </c>
      <c r="J161" s="14" t="inlineStr">
        <is>
          <t>Solo el valor total del contrato</t>
        </is>
      </c>
      <c r="K161" s="14" t="inlineStr">
        <is>
          <t>Solo las tarifas de los procedimientos</t>
        </is>
      </c>
      <c r="L161" s="14" t="inlineStr">
        <is>
          <t>a</t>
        </is>
      </c>
      <c r="M161" s="14" t="inlineStr">
        <is>
          <t>Los acuerdos de voluntades deben precisar objeto, población, servicios contratados, tarifas, mecanismo de pago y vigencia.</t>
        </is>
      </c>
      <c r="N161" s="14" t="inlineStr">
        <is>
          <t>b) y c) omiten elementos esenciales sin los cuales el acuerdo es indeterminado.</t>
        </is>
      </c>
      <c r="O161" s="14" t="inlineStr">
        <is>
          <t>Decreto 780 de 2016; Resolución 3047 de 2008</t>
        </is>
      </c>
      <c r="P161" s="14" t="inlineStr">
        <is>
          <t>SI</t>
        </is>
      </c>
      <c r="Q161" s="11" t="inlineStr">
        <is>
          <t>Basica</t>
        </is>
      </c>
      <c r="R161" s="11" t="inlineStr">
        <is>
          <t>repaso</t>
        </is>
      </c>
    </row>
    <row r="162" ht="23.25" customHeight="1" s="12">
      <c r="A162" s="14" t="inlineStr">
        <is>
          <t>F0161</t>
        </is>
      </c>
      <c r="B162" s="14" t="inlineStr">
        <is>
          <t>PS 2782 de 2026 - ESE 2 - HUHMP Neiva</t>
        </is>
      </c>
      <c r="C162" s="14" t="inlineStr">
        <is>
          <t>Sistema de salud y Ley 100 de 1993</t>
        </is>
      </c>
      <c r="D162" s="14" t="inlineStr">
        <is>
          <t>Profesional</t>
        </is>
      </c>
      <c r="E162" s="14" t="inlineStr">
        <is>
          <t>C054</t>
        </is>
      </c>
      <c r="F162" s="14" t="inlineStr">
        <is>
          <t>Caso 054</t>
        </is>
      </c>
      <c r="G162" s="14" t="inlineStr">
        <is>
          <t>El comité financiero analiza la relación contractual entre el hospital y las EPS.</t>
        </is>
      </c>
      <c r="H162" s="14" t="inlineStr">
        <is>
          <t>El mecanismo de pago por capitación implica que:</t>
        </is>
      </c>
      <c r="I162" s="14" t="inlineStr">
        <is>
          <t>El prestador recibe un valor fijo por persona y período, asumiendo el riesgo de la demanda</t>
        </is>
      </c>
      <c r="J162" s="14" t="inlineStr">
        <is>
          <t>Se paga cada actividad realizada</t>
        </is>
      </c>
      <c r="K162" s="14" t="inlineStr">
        <is>
          <t>Se paga por caso o conjunto de atenciones</t>
        </is>
      </c>
      <c r="L162" s="14" t="inlineStr">
        <is>
          <t>a</t>
        </is>
      </c>
      <c r="M162" s="14" t="inlineStr">
        <is>
          <t>En la capitación se paga un valor fijo por persona y período, trasladando parte del riesgo al prestador.</t>
        </is>
      </c>
      <c r="N162" s="14" t="inlineStr">
        <is>
          <t>b) describe el pago por evento y c) el pago global prospectivo o por paquete.</t>
        </is>
      </c>
      <c r="O162" s="14" t="inlineStr">
        <is>
          <t>Decreto 780 de 2016</t>
        </is>
      </c>
      <c r="P162" s="14" t="inlineStr">
        <is>
          <t>SI</t>
        </is>
      </c>
      <c r="Q162" s="11" t="inlineStr">
        <is>
          <t>Basica</t>
        </is>
      </c>
      <c r="R162" s="11" t="inlineStr">
        <is>
          <t>repaso</t>
        </is>
      </c>
    </row>
    <row r="163" ht="23.25" customHeight="1" s="12">
      <c r="A163" s="14" t="inlineStr">
        <is>
          <t>F0162</t>
        </is>
      </c>
      <c r="B163" s="14" t="inlineStr">
        <is>
          <t>PS 2782 de 2026 - ESE 2 - HUHMP Neiva</t>
        </is>
      </c>
      <c r="C163" s="14" t="inlineStr">
        <is>
          <t>Sistema de salud y Ley 100 de 1993</t>
        </is>
      </c>
      <c r="D163" s="14" t="inlineStr">
        <is>
          <t>Profesional</t>
        </is>
      </c>
      <c r="E163" s="14" t="inlineStr">
        <is>
          <t>C054</t>
        </is>
      </c>
      <c r="F163" s="14" t="inlineStr">
        <is>
          <t>Caso 054</t>
        </is>
      </c>
      <c r="G163" s="14" t="inlineStr">
        <is>
          <t>El comité financiero analiza la relación contractual entre el hospital y las EPS.</t>
        </is>
      </c>
      <c r="H163" s="14" t="inlineStr">
        <is>
          <t>La auditoría de cuentas médicas tiene por objeto:</t>
        </is>
      </c>
      <c r="I163" s="14" t="inlineStr">
        <is>
          <t>Verificar la pertinencia, la calidad y el soporte de los servicios facturados</t>
        </is>
      </c>
      <c r="J163" s="14" t="inlineStr">
        <is>
          <t>Fijar las tarifas del contrato</t>
        </is>
      </c>
      <c r="K163" s="14" t="inlineStr">
        <is>
          <t>Sustituir la historia clínica</t>
        </is>
      </c>
      <c r="L163" s="14" t="inlineStr">
        <is>
          <t>a</t>
        </is>
      </c>
      <c r="M163" s="14" t="inlineStr">
        <is>
          <t>La auditoría verifica pertinencia, calidad y soportes de lo facturado frente a lo pactado.</t>
        </is>
      </c>
      <c r="N163" s="14" t="inlineStr">
        <is>
          <t>b) es materia de negociación contractual y c) confunde auditoría con registro clínico.</t>
        </is>
      </c>
      <c r="O163" s="14" t="inlineStr">
        <is>
          <t>Decreto 780 de 2016</t>
        </is>
      </c>
      <c r="P163" s="14" t="inlineStr">
        <is>
          <t>SI</t>
        </is>
      </c>
      <c r="Q163" s="11" t="inlineStr">
        <is>
          <t>Basica</t>
        </is>
      </c>
      <c r="R163" s="11" t="inlineStr">
        <is>
          <t>repaso</t>
        </is>
      </c>
    </row>
    <row r="164" ht="34.5" customHeight="1" s="12">
      <c r="A164" s="14" t="inlineStr">
        <is>
          <t>F0163</t>
        </is>
      </c>
      <c r="B164" s="14" t="inlineStr">
        <is>
          <t>PS 2782 de 2026 - ESE 2 - HUHMP Neiva</t>
        </is>
      </c>
      <c r="C164" s="14" t="inlineStr">
        <is>
          <t>Sistema de salud y Ley 100 de 1993</t>
        </is>
      </c>
      <c r="D164" s="14" t="inlineStr">
        <is>
          <t>Tecnico</t>
        </is>
      </c>
      <c r="E164" s="14" t="inlineStr">
        <is>
          <t>C055</t>
        </is>
      </c>
      <c r="F164" s="14" t="inlineStr">
        <is>
          <t>Caso 055</t>
        </is>
      </c>
      <c r="G164" s="14" t="inlineStr">
        <is>
          <t>Un técnico de admisiones debe explicar el plan de beneficios y las exclusiones a un usuario.</t>
        </is>
      </c>
      <c r="H164" s="14" t="inlineStr">
        <is>
          <t>El plan de beneficios en salud con cargo a la UPC:</t>
        </is>
      </c>
      <c r="I164" s="14" t="inlineStr">
        <is>
          <t>Cubre lo necesario para la promoción, prevención, diagnóstico, tratamiento y rehabilitación, salvo exclusiones expresas</t>
        </is>
      </c>
      <c r="J164" s="14" t="inlineStr">
        <is>
          <t>Cubre solo urgencias</t>
        </is>
      </c>
      <c r="K164" s="14" t="inlineStr">
        <is>
          <t>Cubre solo lo que autorice la EPS</t>
        </is>
      </c>
      <c r="L164" s="14" t="inlineStr">
        <is>
          <t>a</t>
        </is>
      </c>
      <c r="M164" s="14" t="inlineStr">
        <is>
          <t>El plan de beneficios cubre de manera integral los servicios necesarios, salvo lo expresamente excluido.</t>
        </is>
      </c>
      <c r="N164" s="14" t="inlineStr">
        <is>
          <t>b) y c) reducen la cobertura legal a una franja mínima o a la voluntad del asegurador.</t>
        </is>
      </c>
      <c r="O164" s="14" t="inlineStr">
        <is>
          <t>Ley 1751 de 2015, art. 15; Resolución de PBS vigente</t>
        </is>
      </c>
      <c r="P164" s="14" t="inlineStr">
        <is>
          <t>SI</t>
        </is>
      </c>
      <c r="Q164" s="11" t="inlineStr">
        <is>
          <t>Basica</t>
        </is>
      </c>
      <c r="R164" s="11" t="inlineStr">
        <is>
          <t>repaso</t>
        </is>
      </c>
    </row>
    <row r="165" ht="23.25" customHeight="1" s="12">
      <c r="A165" s="14" t="inlineStr">
        <is>
          <t>F0164</t>
        </is>
      </c>
      <c r="B165" s="14" t="inlineStr">
        <is>
          <t>PS 2782 de 2026 - ESE 2 - HUHMP Neiva</t>
        </is>
      </c>
      <c r="C165" s="14" t="inlineStr">
        <is>
          <t>Sistema de salud y Ley 100 de 1993</t>
        </is>
      </c>
      <c r="D165" s="14" t="inlineStr">
        <is>
          <t>Tecnico</t>
        </is>
      </c>
      <c r="E165" s="14" t="inlineStr">
        <is>
          <t>C055</t>
        </is>
      </c>
      <c r="F165" s="14" t="inlineStr">
        <is>
          <t>Caso 055</t>
        </is>
      </c>
      <c r="G165" s="14" t="inlineStr">
        <is>
          <t>Un técnico de admisiones debe explicar el plan de beneficios y las exclusiones a un usuario.</t>
        </is>
      </c>
      <c r="H165" s="14" t="inlineStr">
        <is>
          <t>Los servicios no financiados con la UPC:</t>
        </is>
      </c>
      <c r="I165" s="14" t="inlineStr">
        <is>
          <t>Se gestionan por el mecanismo de prescripción vigente (MIPRES) y su financiación tiene reglas propias</t>
        </is>
      </c>
      <c r="J165" s="14" t="inlineStr">
        <is>
          <t>No pueden prestarse</t>
        </is>
      </c>
      <c r="K165" s="14" t="inlineStr">
        <is>
          <t>Los paga siempre el usuario</t>
        </is>
      </c>
      <c r="L165" s="14" t="inlineStr">
        <is>
          <t>a</t>
        </is>
      </c>
      <c r="M165" s="14" t="inlineStr">
        <is>
          <t>Los servicios no financiados con la UPC se prescriben por la herramienta dispuesta para ello y su financiación sigue reglas específicas.</t>
        </is>
      </c>
      <c r="N165" s="14" t="inlineStr">
        <is>
          <t>b) niega el acceso y c) traslada al usuario un costo que la normativa no le asigna.</t>
        </is>
      </c>
      <c r="O165" s="14" t="inlineStr">
        <is>
          <t>Decreto 780 de 2016; Resolución 1885 de 2018</t>
        </is>
      </c>
      <c r="P165" s="14" t="inlineStr">
        <is>
          <t>SI</t>
        </is>
      </c>
      <c r="Q165" s="11" t="inlineStr">
        <is>
          <t>Basica</t>
        </is>
      </c>
      <c r="R165" s="11" t="inlineStr">
        <is>
          <t>repaso</t>
        </is>
      </c>
    </row>
    <row r="166" ht="23.25" customHeight="1" s="12">
      <c r="A166" s="14" t="inlineStr">
        <is>
          <t>F0165</t>
        </is>
      </c>
      <c r="B166" s="14" t="inlineStr">
        <is>
          <t>PS 2782 de 2026 - ESE 2 - HUHMP Neiva</t>
        </is>
      </c>
      <c r="C166" s="14" t="inlineStr">
        <is>
          <t>Sistema de salud y Ley 100 de 1993</t>
        </is>
      </c>
      <c r="D166" s="14" t="inlineStr">
        <is>
          <t>Tecnico</t>
        </is>
      </c>
      <c r="E166" s="14" t="inlineStr">
        <is>
          <t>C055</t>
        </is>
      </c>
      <c r="F166" s="14" t="inlineStr">
        <is>
          <t>Caso 055</t>
        </is>
      </c>
      <c r="G166" s="14" t="inlineStr">
        <is>
          <t>Un técnico de admisiones debe explicar el plan de beneficios y las exclusiones a un usuario.</t>
        </is>
      </c>
      <c r="H166" s="14" t="inlineStr">
        <is>
          <t>La portabilidad permite al afiliado:</t>
        </is>
      </c>
      <c r="I166" s="14" t="inlineStr">
        <is>
          <t>Recibir atención en un municipio distinto al de afiliación</t>
        </is>
      </c>
      <c r="J166" s="14" t="inlineStr">
        <is>
          <t>Cambiar de EPS cuando quiera sin requisitos</t>
        </is>
      </c>
      <c r="K166" s="14" t="inlineStr">
        <is>
          <t>Elegir el prestador que desee a nivel nacional sin restricción</t>
        </is>
      </c>
      <c r="L166" s="14" t="inlineStr">
        <is>
          <t>a</t>
        </is>
      </c>
      <c r="M166" s="14" t="inlineStr">
        <is>
          <t>La portabilidad garantiza el acceso a los servicios en un municipio distinto al de afiliación.</t>
        </is>
      </c>
      <c r="N166" s="14" t="inlineStr">
        <is>
          <t>b) describe el traslado, con reglas de permanencia; c) excede el derecho de elección dentro de la red.</t>
        </is>
      </c>
      <c r="O166" s="14" t="inlineStr">
        <is>
          <t>Decreto 780 de 2016</t>
        </is>
      </c>
      <c r="P166" s="14" t="inlineStr">
        <is>
          <t>SI</t>
        </is>
      </c>
      <c r="Q166" s="11" t="inlineStr">
        <is>
          <t>Basica</t>
        </is>
      </c>
      <c r="R166" s="11" t="inlineStr">
        <is>
          <t>repaso</t>
        </is>
      </c>
    </row>
    <row r="167" ht="23.25" customHeight="1" s="12">
      <c r="A167" s="14" t="inlineStr">
        <is>
          <t>F0166</t>
        </is>
      </c>
      <c r="B167" s="14" t="inlineStr">
        <is>
          <t>PS 2782 de 2026 - ESE 2 - HUHMP Neiva</t>
        </is>
      </c>
      <c r="C167" s="14" t="inlineStr">
        <is>
          <t>Sistema de salud y Ley 100 de 1993</t>
        </is>
      </c>
      <c r="D167" s="14" t="inlineStr">
        <is>
          <t>Profesional</t>
        </is>
      </c>
      <c r="E167" s="14" t="inlineStr">
        <is>
          <t>C056</t>
        </is>
      </c>
      <c r="F167" s="14" t="inlineStr">
        <is>
          <t>Caso 056</t>
        </is>
      </c>
      <c r="G167" s="14" t="inlineStr">
        <is>
          <t>La gerencia evalúa el desempeño de la red pública del departamento.</t>
        </is>
      </c>
      <c r="H167" s="14" t="inlineStr">
        <is>
          <t>La rectoría del sistema de salud en el departamento corresponde a:</t>
        </is>
      </c>
      <c r="I167" s="14" t="inlineStr">
        <is>
          <t>La secretaría departamental de salud, en el marco de sus competencias</t>
        </is>
      </c>
      <c r="J167" s="14" t="inlineStr">
        <is>
          <t>A la EPS con mayor número de afiliados</t>
        </is>
      </c>
      <c r="K167" s="14" t="inlineStr">
        <is>
          <t>Al hospital de mayor complejidad</t>
        </is>
      </c>
      <c r="L167" s="14" t="inlineStr">
        <is>
          <t>a</t>
        </is>
      </c>
      <c r="M167" s="14" t="inlineStr">
        <is>
          <t>La dirección del sector salud en el departamento corresponde a la entidad territorial, conforme a la Ley 715 de 2001.</t>
        </is>
      </c>
      <c r="N167" s="14" t="inlineStr">
        <is>
          <t>b) y c) son actores del sistema sin competencia de rectoría territorial.</t>
        </is>
      </c>
      <c r="O167" s="14" t="inlineStr">
        <is>
          <t>Ley 715 de 2001, art. 43</t>
        </is>
      </c>
      <c r="P167" s="14" t="inlineStr">
        <is>
          <t>SI</t>
        </is>
      </c>
      <c r="Q167" s="11" t="inlineStr">
        <is>
          <t>Basica</t>
        </is>
      </c>
      <c r="R167" s="11" t="inlineStr">
        <is>
          <t>repaso</t>
        </is>
      </c>
    </row>
    <row r="168" ht="23.25" customHeight="1" s="12">
      <c r="A168" s="14" t="inlineStr">
        <is>
          <t>F0167</t>
        </is>
      </c>
      <c r="B168" s="14" t="inlineStr">
        <is>
          <t>PS 2782 de 2026 - ESE 2 - HUHMP Neiva</t>
        </is>
      </c>
      <c r="C168" s="14" t="inlineStr">
        <is>
          <t>Sistema de salud y Ley 100 de 1993</t>
        </is>
      </c>
      <c r="D168" s="14" t="inlineStr">
        <is>
          <t>Profesional</t>
        </is>
      </c>
      <c r="E168" s="14" t="inlineStr">
        <is>
          <t>C056</t>
        </is>
      </c>
      <c r="F168" s="14" t="inlineStr">
        <is>
          <t>Caso 056</t>
        </is>
      </c>
      <c r="G168" s="14" t="inlineStr">
        <is>
          <t>La gerencia evalúa el desempeño de la red pública del departamento.</t>
        </is>
      </c>
      <c r="H168" s="14" t="inlineStr">
        <is>
          <t>La inspección, vigilancia y control del sistema corresponde principalmente a:</t>
        </is>
      </c>
      <c r="I168" s="14" t="inlineStr">
        <is>
          <t>La Superintendencia Nacional de Salud</t>
        </is>
      </c>
      <c r="J168" s="14" t="inlineStr">
        <is>
          <t>La Contraloría General</t>
        </is>
      </c>
      <c r="K168" s="14" t="inlineStr">
        <is>
          <t>La Procuraduría General</t>
        </is>
      </c>
      <c r="L168" s="14" t="inlineStr">
        <is>
          <t>a</t>
        </is>
      </c>
      <c r="M168" s="14" t="inlineStr">
        <is>
          <t>La Superintendencia Nacional de Salud ejerce la inspección, vigilancia y control sobre los actores del sistema.</t>
        </is>
      </c>
      <c r="N168" s="14" t="inlineStr">
        <is>
          <t>b) ejerce control fiscal y c) control disciplinario: ninguno reemplaza la vigilancia sectorial.</t>
        </is>
      </c>
      <c r="O168" s="14" t="inlineStr">
        <is>
          <t>Ley 1122 de 2007, art. 35</t>
        </is>
      </c>
      <c r="P168" s="14" t="inlineStr">
        <is>
          <t>SI</t>
        </is>
      </c>
      <c r="Q168" s="11" t="inlineStr">
        <is>
          <t>Basica</t>
        </is>
      </c>
      <c r="R168" s="11" t="inlineStr">
        <is>
          <t>repaso</t>
        </is>
      </c>
    </row>
    <row r="169" ht="23.25" customHeight="1" s="12">
      <c r="A169" s="14" t="inlineStr">
        <is>
          <t>F0168</t>
        </is>
      </c>
      <c r="B169" s="14" t="inlineStr">
        <is>
          <t>PS 2782 de 2026 - ESE 2 - HUHMP Neiva</t>
        </is>
      </c>
      <c r="C169" s="14" t="inlineStr">
        <is>
          <t>Sistema de salud y Ley 100 de 1993</t>
        </is>
      </c>
      <c r="D169" s="14" t="inlineStr">
        <is>
          <t>Profesional</t>
        </is>
      </c>
      <c r="E169" s="14" t="inlineStr">
        <is>
          <t>C056</t>
        </is>
      </c>
      <c r="F169" s="14" t="inlineStr">
        <is>
          <t>Caso 056</t>
        </is>
      </c>
      <c r="G169" s="14" t="inlineStr">
        <is>
          <t>La gerencia evalúa el desempeño de la red pública del departamento.</t>
        </is>
      </c>
      <c r="H169" s="14" t="inlineStr">
        <is>
          <t>El hospital de alta complejidad dentro de la red debe:</t>
        </is>
      </c>
      <c r="I169" s="14" t="inlineStr">
        <is>
          <t>Atender lo que corresponde a su nivel y devolver al nivel resolutivo lo que no lo requiere</t>
        </is>
      </c>
      <c r="J169" s="14" t="inlineStr">
        <is>
          <t>Atender toda consulta que llegue, sea cual sea su complejidad</t>
        </is>
      </c>
      <c r="K169" s="14" t="inlineStr">
        <is>
          <t>Rechazar toda remisión de primer nivel</t>
        </is>
      </c>
      <c r="L169" s="14" t="inlineStr">
        <is>
          <t>a</t>
        </is>
      </c>
      <c r="M169" s="14" t="inlineStr">
        <is>
          <t>La organización en red implica resolver en el nivel que corresponde y contrarreferir lo que puede atenderse en menor complejidad.</t>
        </is>
      </c>
      <c r="N169" s="14" t="inlineStr">
        <is>
          <t>b) satura la alta complejidad y c) desconoce la obligación de recibir lo pertinente.</t>
        </is>
      </c>
      <c r="O169" s="14" t="inlineStr">
        <is>
          <t>Ley 1438 de 2011; Decreto 780 de 2016</t>
        </is>
      </c>
      <c r="P169" s="14" t="inlineStr">
        <is>
          <t>SI</t>
        </is>
      </c>
      <c r="Q169" s="11" t="inlineStr">
        <is>
          <t>Basica</t>
        </is>
      </c>
      <c r="R169" s="11" t="inlineStr">
        <is>
          <t>repaso</t>
        </is>
      </c>
    </row>
    <row r="170" ht="23.25" customHeight="1" s="12">
      <c r="A170" s="14" t="inlineStr">
        <is>
          <t>F0169</t>
        </is>
      </c>
      <c r="B170" s="14" t="inlineStr">
        <is>
          <t>PS 2782 de 2026 - ESE 2 - HUHMP Neiva</t>
        </is>
      </c>
      <c r="C170" s="14" t="inlineStr">
        <is>
          <t>Sistema de salud y Ley 100 de 1993</t>
        </is>
      </c>
      <c r="D170" s="14" t="inlineStr">
        <is>
          <t>Tecnico</t>
        </is>
      </c>
      <c r="E170" s="14" t="inlineStr">
        <is>
          <t>C057</t>
        </is>
      </c>
      <c r="F170" s="14" t="inlineStr">
        <is>
          <t>Caso 057</t>
        </is>
      </c>
      <c r="G170" s="14" t="inlineStr">
        <is>
          <t>El área de facturación recibe una cuenta devuelta por la EPS.</t>
        </is>
      </c>
      <c r="H170" s="14" t="inlineStr">
        <is>
          <t>La devolución de una factura procede cuando:</t>
        </is>
      </c>
      <c r="I170" s="14" t="inlineStr">
        <is>
          <t>Existe una causal que impide tenerla como presentada, como falta de soportes esenciales</t>
        </is>
      </c>
      <c r="J170" s="14" t="inlineStr">
        <is>
          <t>La EPS considera alto el valor</t>
        </is>
      </c>
      <c r="K170" s="14" t="inlineStr">
        <is>
          <t>El prestador no acepta la tarifa</t>
        </is>
      </c>
      <c r="L170" s="14" t="inlineStr">
        <is>
          <t>a</t>
        </is>
      </c>
      <c r="M170" s="14" t="inlineStr">
        <is>
          <t>La devolución opera por causales que impiden tener la factura como presentada, distintas de la glosa.</t>
        </is>
      </c>
      <c r="N170" s="14" t="inlineStr">
        <is>
          <t>b) y c) describen desacuerdos económicos que se tramitan por glosa o conciliación.</t>
        </is>
      </c>
      <c r="O170" s="14" t="inlineStr">
        <is>
          <t>Resolución 3047 de 2008 y modificatorias</t>
        </is>
      </c>
      <c r="P170" s="14" t="inlineStr">
        <is>
          <t>SI</t>
        </is>
      </c>
      <c r="Q170" s="11" t="inlineStr">
        <is>
          <t>Basica</t>
        </is>
      </c>
      <c r="R170" s="11" t="inlineStr">
        <is>
          <t>repaso</t>
        </is>
      </c>
    </row>
    <row r="171" ht="23.25" customHeight="1" s="12">
      <c r="A171" s="14" t="inlineStr">
        <is>
          <t>F0170</t>
        </is>
      </c>
      <c r="B171" s="14" t="inlineStr">
        <is>
          <t>PS 2782 de 2026 - ESE 2 - HUHMP Neiva</t>
        </is>
      </c>
      <c r="C171" s="14" t="inlineStr">
        <is>
          <t>Sistema de salud y Ley 100 de 1993</t>
        </is>
      </c>
      <c r="D171" s="14" t="inlineStr">
        <is>
          <t>Tecnico</t>
        </is>
      </c>
      <c r="E171" s="14" t="inlineStr">
        <is>
          <t>C057</t>
        </is>
      </c>
      <c r="F171" s="14" t="inlineStr">
        <is>
          <t>Caso 057</t>
        </is>
      </c>
      <c r="G171" s="14" t="inlineStr">
        <is>
          <t>El área de facturación recibe una cuenta devuelta por la EPS.</t>
        </is>
      </c>
      <c r="H171" s="14" t="inlineStr">
        <is>
          <t>La diferencia entre glosa y devolución es que:</t>
        </is>
      </c>
      <c r="I171" s="14" t="inlineStr">
        <is>
          <t>La glosa objeta parcial o totalmente el contenido de la factura; la devolución impide tenerla por presentada</t>
        </is>
      </c>
      <c r="J171" s="14" t="inlineStr">
        <is>
          <t>Son sinónimos</t>
        </is>
      </c>
      <c r="K171" s="14" t="inlineStr">
        <is>
          <t>La glosa la formula el prestador</t>
        </is>
      </c>
      <c r="L171" s="14" t="inlineStr">
        <is>
          <t>a</t>
        </is>
      </c>
      <c r="M171" s="14" t="inlineStr">
        <is>
          <t>La glosa es una objeción al contenido facturado; la devolución es una no recepción por causal formal.</t>
        </is>
      </c>
      <c r="N171" s="14" t="inlineStr">
        <is>
          <t>b) iguala figuras con efectos distintos y c) invierte quién la formula.</t>
        </is>
      </c>
      <c r="O171" s="14" t="inlineStr">
        <is>
          <t>Resolución 3047 de 2008</t>
        </is>
      </c>
      <c r="P171" s="14" t="inlineStr">
        <is>
          <t>SI</t>
        </is>
      </c>
      <c r="Q171" s="11" t="inlineStr">
        <is>
          <t>Basica</t>
        </is>
      </c>
      <c r="R171" s="11" t="inlineStr">
        <is>
          <t>repaso</t>
        </is>
      </c>
    </row>
    <row r="172" ht="23.25" customHeight="1" s="12">
      <c r="A172" s="14" t="inlineStr">
        <is>
          <t>F0171</t>
        </is>
      </c>
      <c r="B172" s="14" t="inlineStr">
        <is>
          <t>PS 2782 de 2026 - ESE 2 - HUHMP Neiva</t>
        </is>
      </c>
      <c r="C172" s="14" t="inlineStr">
        <is>
          <t>Sistema de salud y Ley 100 de 1993</t>
        </is>
      </c>
      <c r="D172" s="14" t="inlineStr">
        <is>
          <t>Tecnico</t>
        </is>
      </c>
      <c r="E172" s="14" t="inlineStr">
        <is>
          <t>C057</t>
        </is>
      </c>
      <c r="F172" s="14" t="inlineStr">
        <is>
          <t>Caso 057</t>
        </is>
      </c>
      <c r="G172" s="14" t="inlineStr">
        <is>
          <t>El área de facturación recibe una cuenta devuelta por la EPS.</t>
        </is>
      </c>
      <c r="H172" s="14" t="inlineStr">
        <is>
          <t>El soporte mínimo de una factura de hospitalización incluye:</t>
        </is>
      </c>
      <c r="I172" s="14" t="inlineStr">
        <is>
          <t>Resumen de atención o epicrisis y los soportes exigidos por la norma</t>
        </is>
      </c>
      <c r="J172" s="14" t="inlineStr">
        <is>
          <t>Solo la orden médica</t>
        </is>
      </c>
      <c r="K172" s="14" t="inlineStr">
        <is>
          <t>Solo el registro de ingreso</t>
        </is>
      </c>
      <c r="L172" s="14" t="inlineStr">
        <is>
          <t>a</t>
        </is>
      </c>
      <c r="M172" s="14" t="inlineStr">
        <is>
          <t>La normativa define los soportes por tipo de servicio, incluyendo el resumen de atención en hospitalización.</t>
        </is>
      </c>
      <c r="N172" s="14" t="inlineStr">
        <is>
          <t>b) y c) aportan piezas parciales que no acreditan la atención facturada.</t>
        </is>
      </c>
      <c r="O172" s="14" t="inlineStr">
        <is>
          <t>Resolución 3047 de 2008</t>
        </is>
      </c>
      <c r="P172" s="14" t="inlineStr">
        <is>
          <t>SI</t>
        </is>
      </c>
      <c r="Q172" s="11" t="inlineStr">
        <is>
          <t>Basica</t>
        </is>
      </c>
      <c r="R172" s="11" t="inlineStr">
        <is>
          <t>repaso</t>
        </is>
      </c>
    </row>
    <row r="173" ht="23.25" customHeight="1" s="12">
      <c r="A173" s="14" t="inlineStr">
        <is>
          <t>F0172</t>
        </is>
      </c>
      <c r="B173" s="14" t="inlineStr">
        <is>
          <t>PS 2782 de 2026 - ESE 2 - HUHMP Neiva</t>
        </is>
      </c>
      <c r="C173" s="14" t="inlineStr">
        <is>
          <t>Sistema de salud y Ley 100 de 1993</t>
        </is>
      </c>
      <c r="D173" s="14" t="inlineStr">
        <is>
          <t>Profesional</t>
        </is>
      </c>
      <c r="E173" s="14" t="inlineStr">
        <is>
          <t>C058</t>
        </is>
      </c>
      <c r="F173" s="14" t="inlineStr">
        <is>
          <t>Caso 058</t>
        </is>
      </c>
      <c r="G173" s="14" t="inlineStr">
        <is>
          <t>El hospital revisa su rol frente a la salud pública del Huila.</t>
        </is>
      </c>
      <c r="H173" s="14" t="inlineStr">
        <is>
          <t>El Plan Decenal de Salud Pública es:</t>
        </is>
      </c>
      <c r="I173" s="14" t="inlineStr">
        <is>
          <t>El marco nacional de política pública en salud con metas de mediano plazo</t>
        </is>
      </c>
      <c r="J173" s="14" t="inlineStr">
        <is>
          <t>Un plan interno de cada IPS</t>
        </is>
      </c>
      <c r="K173" s="14" t="inlineStr">
        <is>
          <t>Un contrato con las EPS</t>
        </is>
      </c>
      <c r="L173" s="14" t="inlineStr">
        <is>
          <t>a</t>
        </is>
      </c>
      <c r="M173" s="14" t="inlineStr">
        <is>
          <t>El Plan Decenal de Salud Pública define el marco de política y las metas sanitarias del país.</t>
        </is>
      </c>
      <c r="N173" s="14" t="inlineStr">
        <is>
          <t>b) y c) confunden un instrumento de política nacional con documentos institucionales o contractuales.</t>
        </is>
      </c>
      <c r="O173" s="14" t="inlineStr">
        <is>
          <t>Ley 1438 de 2011, art. 6</t>
        </is>
      </c>
      <c r="P173" s="14" t="inlineStr">
        <is>
          <t>SI</t>
        </is>
      </c>
      <c r="Q173" s="11" t="inlineStr">
        <is>
          <t>Basica</t>
        </is>
      </c>
      <c r="R173" s="11" t="inlineStr">
        <is>
          <t>repaso</t>
        </is>
      </c>
    </row>
    <row r="174" ht="23.25" customHeight="1" s="12">
      <c r="A174" s="14" t="inlineStr">
        <is>
          <t>F0173</t>
        </is>
      </c>
      <c r="B174" s="14" t="inlineStr">
        <is>
          <t>PS 2782 de 2026 - ESE 2 - HUHMP Neiva</t>
        </is>
      </c>
      <c r="C174" s="14" t="inlineStr">
        <is>
          <t>Sistema de salud y Ley 100 de 1993</t>
        </is>
      </c>
      <c r="D174" s="14" t="inlineStr">
        <is>
          <t>Profesional</t>
        </is>
      </c>
      <c r="E174" s="14" t="inlineStr">
        <is>
          <t>C058</t>
        </is>
      </c>
      <c r="F174" s="14" t="inlineStr">
        <is>
          <t>Caso 058</t>
        </is>
      </c>
      <c r="G174" s="14" t="inlineStr">
        <is>
          <t>El hospital revisa su rol frente a la salud pública del Huila.</t>
        </is>
      </c>
      <c r="H174" s="14" t="inlineStr">
        <is>
          <t>Las acciones de promoción y prevención en la E.S.E.:</t>
        </is>
      </c>
      <c r="I174" s="14" t="inlineStr">
        <is>
          <t>Hacen parte de su objeto y se articulan con la entidad territorial y las EPS</t>
        </is>
      </c>
      <c r="J174" s="14" t="inlineStr">
        <is>
          <t>Son ajenas al hospital de alta complejidad</t>
        </is>
      </c>
      <c r="K174" s="14" t="inlineStr">
        <is>
          <t>Solo se hacen si sobran recursos</t>
        </is>
      </c>
      <c r="L174" s="14" t="inlineStr">
        <is>
          <t>a</t>
        </is>
      </c>
      <c r="M174" s="14" t="inlineStr">
        <is>
          <t>La promoción y la prevención hacen parte del objeto de las E.S.E. y se articulan con los demás actores.</t>
        </is>
      </c>
      <c r="N174" s="14" t="inlineStr">
        <is>
          <t>b) excluye una función legal y c) la condiciona a la disponibilidad presupuestal.</t>
        </is>
      </c>
      <c r="O174" s="14" t="inlineStr">
        <is>
          <t>Ley 100 de 1993, art. 194</t>
        </is>
      </c>
      <c r="P174" s="14" t="inlineStr">
        <is>
          <t>SI</t>
        </is>
      </c>
      <c r="Q174" s="11" t="inlineStr">
        <is>
          <t>Basica</t>
        </is>
      </c>
      <c r="R174" s="11" t="inlineStr">
        <is>
          <t>repaso</t>
        </is>
      </c>
    </row>
    <row r="175" ht="23.25" customHeight="1" s="12">
      <c r="A175" s="14" t="inlineStr">
        <is>
          <t>F0174</t>
        </is>
      </c>
      <c r="B175" s="14" t="inlineStr">
        <is>
          <t>PS 2782 de 2026 - ESE 2 - HUHMP Neiva</t>
        </is>
      </c>
      <c r="C175" s="14" t="inlineStr">
        <is>
          <t>Sistema de salud y Ley 100 de 1993</t>
        </is>
      </c>
      <c r="D175" s="14" t="inlineStr">
        <is>
          <t>Profesional</t>
        </is>
      </c>
      <c r="E175" s="14" t="inlineStr">
        <is>
          <t>C058</t>
        </is>
      </c>
      <c r="F175" s="14" t="inlineStr">
        <is>
          <t>Caso 058</t>
        </is>
      </c>
      <c r="G175" s="14" t="inlineStr">
        <is>
          <t>El hospital revisa su rol frente a la salud pública del Huila.</t>
        </is>
      </c>
      <c r="H175" s="14" t="inlineStr">
        <is>
          <t>La notificación de un evento de interés en salud pública es:</t>
        </is>
      </c>
      <c r="I175" s="14" t="inlineStr">
        <is>
          <t>Obligatoria para todo prestador, en los términos del protocolo</t>
        </is>
      </c>
      <c r="J175" s="14" t="inlineStr">
        <is>
          <t>Voluntaria</t>
        </is>
      </c>
      <c r="K175" s="14" t="inlineStr">
        <is>
          <t>Exclusiva de los laboratorios</t>
        </is>
      </c>
      <c r="L175" s="14" t="inlineStr">
        <is>
          <t>a</t>
        </is>
      </c>
      <c r="M175" s="14" t="inlineStr">
        <is>
          <t>Todos los prestadores son unidades primarias generadoras de datos y deben notificar los eventos de interés en salud pública.</t>
        </is>
      </c>
      <c r="N175" s="14" t="inlineStr">
        <is>
          <t>b) y c) desconocen el carácter obligatorio y general de la vigilancia.</t>
        </is>
      </c>
      <c r="O175" s="14" t="inlineStr">
        <is>
          <t>Decreto 780 de 2016; Decreto 3518 de 2006</t>
        </is>
      </c>
      <c r="P175" s="14" t="inlineStr">
        <is>
          <t>SI</t>
        </is>
      </c>
      <c r="Q175" s="11" t="inlineStr">
        <is>
          <t>Basica</t>
        </is>
      </c>
      <c r="R175" s="11" t="inlineStr">
        <is>
          <t>repaso</t>
        </is>
      </c>
    </row>
    <row r="176" ht="23.25" customHeight="1" s="12">
      <c r="A176" s="14" t="inlineStr">
        <is>
          <t>F0175</t>
        </is>
      </c>
      <c r="B176" s="14" t="inlineStr">
        <is>
          <t>PS 2782 de 2026 - ESE 2 - HUHMP Neiva</t>
        </is>
      </c>
      <c r="C176" s="14" t="inlineStr">
        <is>
          <t>Ley 1751 de 2015 - derecho fundamental a la salud</t>
        </is>
      </c>
      <c r="D176" s="14" t="inlineStr">
        <is>
          <t>Profesional</t>
        </is>
      </c>
      <c r="E176" s="14" t="inlineStr">
        <is>
          <t>C059</t>
        </is>
      </c>
      <c r="F176" s="14" t="inlineStr">
        <is>
          <t>Caso 059</t>
        </is>
      </c>
      <c r="G176" s="14" t="inlineStr">
        <is>
          <t>Un paciente con enfermedad huérfana reclama continuidad en su tratamiento.</t>
        </is>
      </c>
      <c r="H176" s="14" t="inlineStr">
        <is>
          <t>La continuidad como garantía del derecho implica que:</t>
        </is>
      </c>
      <c r="I176" s="14" t="inlineStr">
        <is>
          <t>Iniciado un tratamiento no puede interrumpirse por razones administrativas o económicas</t>
        </is>
      </c>
      <c r="J176" s="14" t="inlineStr">
        <is>
          <t>Puede suspenderse mientras se renueva el contrato con la EPS</t>
        </is>
      </c>
      <c r="K176" s="14" t="inlineStr">
        <is>
          <t>Depende de la disponibilidad de la IPS</t>
        </is>
      </c>
      <c r="L176" s="14" t="inlineStr">
        <is>
          <t>a</t>
        </is>
      </c>
      <c r="M176" s="14" t="inlineStr">
        <is>
          <t>La Ley Estatutaria garantiza la continuidad: iniciada la atención no puede interrumpirse por razones administrativas o económicas.</t>
        </is>
      </c>
      <c r="N176" s="14" t="inlineStr">
        <is>
          <t>b) y c) reintroducen barreras que la norma proscribe.</t>
        </is>
      </c>
      <c r="O176" s="14" t="inlineStr">
        <is>
          <t>Ley 1751 de 2015, art. 6 literal d</t>
        </is>
      </c>
      <c r="P176" s="14" t="inlineStr">
        <is>
          <t>SI</t>
        </is>
      </c>
      <c r="Q176" s="11" t="inlineStr">
        <is>
          <t>Basica</t>
        </is>
      </c>
      <c r="R176" s="11" t="inlineStr">
        <is>
          <t>repaso</t>
        </is>
      </c>
    </row>
    <row r="177" ht="23.25" customHeight="1" s="12">
      <c r="A177" s="14" t="inlineStr">
        <is>
          <t>F0176</t>
        </is>
      </c>
      <c r="B177" s="14" t="inlineStr">
        <is>
          <t>PS 2782 de 2026 - ESE 2 - HUHMP Neiva</t>
        </is>
      </c>
      <c r="C177" s="14" t="inlineStr">
        <is>
          <t>Ley 1751 de 2015 - derecho fundamental a la salud</t>
        </is>
      </c>
      <c r="D177" s="14" t="inlineStr">
        <is>
          <t>Profesional</t>
        </is>
      </c>
      <c r="E177" s="14" t="inlineStr">
        <is>
          <t>C059</t>
        </is>
      </c>
      <c r="F177" s="14" t="inlineStr">
        <is>
          <t>Caso 059</t>
        </is>
      </c>
      <c r="G177" s="14" t="inlineStr">
        <is>
          <t>Un paciente con enfermedad huérfana reclama continuidad en su tratamiento.</t>
        </is>
      </c>
      <c r="H177" s="14" t="inlineStr">
        <is>
          <t>Las personas con enfermedades huérfanas son:</t>
        </is>
      </c>
      <c r="I177" s="14" t="inlineStr">
        <is>
          <t>Sujetos de especial protección con atención preferente</t>
        </is>
      </c>
      <c r="J177" s="14" t="inlineStr">
        <is>
          <t>Usuarios con las mismas reglas generales</t>
        </is>
      </c>
      <c r="K177" s="14" t="inlineStr">
        <is>
          <t>Beneficiarios solo si cotizan</t>
        </is>
      </c>
      <c r="L177" s="14" t="inlineStr">
        <is>
          <t>a</t>
        </is>
      </c>
      <c r="M177" s="14" t="inlineStr">
        <is>
          <t>La ley reconoce a las personas con enfermedades huérfanas como sujetos de especial protección.</t>
        </is>
      </c>
      <c r="N177" s="14" t="inlineStr">
        <is>
          <t>b) y c) desconocen la protección reforzada y la universalidad del derecho.</t>
        </is>
      </c>
      <c r="O177" s="14" t="inlineStr">
        <is>
          <t>Ley 1751 de 2015, art. 11</t>
        </is>
      </c>
      <c r="P177" s="14" t="inlineStr">
        <is>
          <t>SI</t>
        </is>
      </c>
      <c r="Q177" s="11" t="inlineStr">
        <is>
          <t>Basica</t>
        </is>
      </c>
      <c r="R177" s="11" t="inlineStr">
        <is>
          <t>repaso</t>
        </is>
      </c>
    </row>
    <row r="178" ht="23.25" customHeight="1" s="12">
      <c r="A178" s="14" t="inlineStr">
        <is>
          <t>F0177</t>
        </is>
      </c>
      <c r="B178" s="14" t="inlineStr">
        <is>
          <t>PS 2782 de 2026 - ESE 2 - HUHMP Neiva</t>
        </is>
      </c>
      <c r="C178" s="14" t="inlineStr">
        <is>
          <t>Ley 1751 de 2015 - derecho fundamental a la salud</t>
        </is>
      </c>
      <c r="D178" s="14" t="inlineStr">
        <is>
          <t>Profesional</t>
        </is>
      </c>
      <c r="E178" s="14" t="inlineStr">
        <is>
          <t>C059</t>
        </is>
      </c>
      <c r="F178" s="14" t="inlineStr">
        <is>
          <t>Caso 059</t>
        </is>
      </c>
      <c r="G178" s="14" t="inlineStr">
        <is>
          <t>Un paciente con enfermedad huérfana reclama continuidad en su tratamiento.</t>
        </is>
      </c>
      <c r="H178" s="14" t="inlineStr">
        <is>
          <t>La integralidad significa que:</t>
        </is>
      </c>
      <c r="I178" s="14" t="inlineStr">
        <is>
          <t>Los servicios se prestan de manera completa para prevenir, paliar o curar, sin fragmentar la atención</t>
        </is>
      </c>
      <c r="J178" s="14" t="inlineStr">
        <is>
          <t>Se presta solo lo prescrito en la primera consulta</t>
        </is>
      </c>
      <c r="K178" s="14" t="inlineStr">
        <is>
          <t>Se atiende solo la patología principal</t>
        </is>
      </c>
      <c r="L178" s="14" t="inlineStr">
        <is>
          <t>a</t>
        </is>
      </c>
      <c r="M178" s="14" t="inlineStr">
        <is>
          <t>La integralidad obliga a prestar la atención de forma completa, sin fragmentarla.</t>
        </is>
      </c>
      <c r="N178" s="14" t="inlineStr">
        <is>
          <t>b) y c) fragmentan la atención en contra del principio.</t>
        </is>
      </c>
      <c r="O178" s="14" t="inlineStr">
        <is>
          <t>Ley 1751 de 2015, art. 8</t>
        </is>
      </c>
      <c r="P178" s="14" t="inlineStr">
        <is>
          <t>SI</t>
        </is>
      </c>
      <c r="Q178" s="11" t="inlineStr">
        <is>
          <t>Basica</t>
        </is>
      </c>
      <c r="R178" s="11" t="inlineStr">
        <is>
          <t>repaso</t>
        </is>
      </c>
    </row>
    <row r="179" ht="23.25" customHeight="1" s="12">
      <c r="A179" s="14" t="inlineStr">
        <is>
          <t>F0178</t>
        </is>
      </c>
      <c r="B179" s="14" t="inlineStr">
        <is>
          <t>PS 2782 de 2026 - ESE 2 - HUHMP Neiva</t>
        </is>
      </c>
      <c r="C179" s="14" t="inlineStr">
        <is>
          <t>Ley 1751 de 2015 - derecho fundamental a la salud</t>
        </is>
      </c>
      <c r="D179" s="14" t="inlineStr">
        <is>
          <t>Profesional</t>
        </is>
      </c>
      <c r="E179" s="14" t="inlineStr">
        <is>
          <t>C060</t>
        </is>
      </c>
      <c r="F179" s="14" t="inlineStr">
        <is>
          <t>Caso 060</t>
        </is>
      </c>
      <c r="G179" s="14" t="inlineStr">
        <is>
          <t>El hospital recibe una tutela por un servicio negado y el juez ordena la atención.</t>
        </is>
      </c>
      <c r="H179" s="14" t="inlineStr">
        <is>
          <t>El fallo de tutela que ordena un servicio:</t>
        </is>
      </c>
      <c r="I179" s="14" t="inlineStr">
        <is>
          <t>Es de cumplimiento inmediato y su desacato acarrea sanciones</t>
        </is>
      </c>
      <c r="J179" s="14" t="inlineStr">
        <is>
          <t>Puede cumplirse cuando haya disponibilidad</t>
        </is>
      </c>
      <c r="K179" s="14" t="inlineStr">
        <is>
          <t>Solo obliga a la EPS</t>
        </is>
      </c>
      <c r="L179" s="14" t="inlineStr">
        <is>
          <t>a</t>
        </is>
      </c>
      <c r="M179" s="14" t="inlineStr">
        <is>
          <t>La orden de tutela es de cumplimiento inmediato y su incumplimiento da lugar a incidente de desacato.</t>
        </is>
      </c>
      <c r="N179" s="14" t="inlineStr">
        <is>
          <t>b) condiciona el cumplimiento y c) desconoce que la orden puede vincular al prestador.</t>
        </is>
      </c>
      <c r="O179" s="14" t="inlineStr">
        <is>
          <t>Decreto 2591 de 1991, arts. 27 y 52</t>
        </is>
      </c>
      <c r="P179" s="14" t="inlineStr">
        <is>
          <t>SI</t>
        </is>
      </c>
      <c r="Q179" s="11" t="inlineStr">
        <is>
          <t>Basica</t>
        </is>
      </c>
      <c r="R179" s="11" t="inlineStr">
        <is>
          <t>repaso</t>
        </is>
      </c>
    </row>
    <row r="180" ht="34.5" customHeight="1" s="12">
      <c r="A180" s="14" t="inlineStr">
        <is>
          <t>F0179</t>
        </is>
      </c>
      <c r="B180" s="14" t="inlineStr">
        <is>
          <t>PS 2782 de 2026 - ESE 2 - HUHMP Neiva</t>
        </is>
      </c>
      <c r="C180" s="14" t="inlineStr">
        <is>
          <t>Ley 1751 de 2015 - derecho fundamental a la salud</t>
        </is>
      </c>
      <c r="D180" s="14" t="inlineStr">
        <is>
          <t>Profesional</t>
        </is>
      </c>
      <c r="E180" s="14" t="inlineStr">
        <is>
          <t>C060</t>
        </is>
      </c>
      <c r="F180" s="14" t="inlineStr">
        <is>
          <t>Caso 060</t>
        </is>
      </c>
      <c r="G180" s="14" t="inlineStr">
        <is>
          <t>El hospital recibe una tutela por un servicio negado y el juez ordena la atención.</t>
        </is>
      </c>
      <c r="H180" s="14" t="inlineStr">
        <is>
          <t>Frente al derecho fundamental, la tutela procede:</t>
        </is>
      </c>
      <c r="I180" s="14" t="inlineStr">
        <is>
          <t>Cuando se vulnera o amenaza el derecho, sin necesidad de agotar otra vía idónea previa cuando hay riesgo</t>
        </is>
      </c>
      <c r="J180" s="14" t="inlineStr">
        <is>
          <t>Solo después de dos años de trámite administrativo</t>
        </is>
      </c>
      <c r="K180" s="14" t="inlineStr">
        <is>
          <t>Solo para afiliados al régimen contributivo</t>
        </is>
      </c>
      <c r="L180" s="14" t="inlineStr">
        <is>
          <t>a</t>
        </is>
      </c>
      <c r="M180" s="14" t="inlineStr">
        <is>
          <t>La tutela protege el derecho fundamental frente a su vulneración o amenaza, con el criterio de idoneidad del otro medio.</t>
        </is>
      </c>
      <c r="N180" s="14" t="inlineStr">
        <is>
          <t>b) y c) inventan requisitos de procedibilidad inexistentes.</t>
        </is>
      </c>
      <c r="O180" s="14" t="inlineStr">
        <is>
          <t>C.P. art. 86; Ley 1751 de 2015</t>
        </is>
      </c>
      <c r="P180" s="14" t="inlineStr">
        <is>
          <t>SI</t>
        </is>
      </c>
      <c r="Q180" s="11" t="inlineStr">
        <is>
          <t>Basica</t>
        </is>
      </c>
      <c r="R180" s="11" t="inlineStr">
        <is>
          <t>repaso</t>
        </is>
      </c>
    </row>
    <row r="181" ht="23.25" customHeight="1" s="12">
      <c r="A181" s="14" t="inlineStr">
        <is>
          <t>F0180</t>
        </is>
      </c>
      <c r="B181" s="14" t="inlineStr">
        <is>
          <t>PS 2782 de 2026 - ESE 2 - HUHMP Neiva</t>
        </is>
      </c>
      <c r="C181" s="14" t="inlineStr">
        <is>
          <t>Ley 1751 de 2015 - derecho fundamental a la salud</t>
        </is>
      </c>
      <c r="D181" s="14" t="inlineStr">
        <is>
          <t>Profesional</t>
        </is>
      </c>
      <c r="E181" s="14" t="inlineStr">
        <is>
          <t>C060</t>
        </is>
      </c>
      <c r="F181" s="14" t="inlineStr">
        <is>
          <t>Caso 060</t>
        </is>
      </c>
      <c r="G181" s="14" t="inlineStr">
        <is>
          <t>El hospital recibe una tutela por un servicio negado y el juez ordena la atención.</t>
        </is>
      </c>
      <c r="H181" s="14" t="inlineStr">
        <is>
          <t>La atención de la población migrante irregular en urgencias:</t>
        </is>
      </c>
      <c r="I181" s="14" t="inlineStr">
        <is>
          <t>Debe prestarse, pues la atención inicial de urgencias no admite distinción</t>
        </is>
      </c>
      <c r="J181" s="14" t="inlineStr">
        <is>
          <t>Se niega por falta de afiliación</t>
        </is>
      </c>
      <c r="K181" s="14" t="inlineStr">
        <is>
          <t>Requiere autorización del consulado</t>
        </is>
      </c>
      <c r="L181" s="14" t="inlineStr">
        <is>
          <t>a</t>
        </is>
      </c>
      <c r="M181" s="14" t="inlineStr">
        <is>
          <t>La atención inicial de urgencias debe prestarse a toda persona, sin distinción por su situación de aseguramiento o migratoria.</t>
        </is>
      </c>
      <c r="N181" s="14" t="inlineStr">
        <is>
          <t>b) y c) condicionan una atención que la ley define como incondicionada.</t>
        </is>
      </c>
      <c r="O181" s="14" t="inlineStr">
        <is>
          <t>Ley 1751 de 2015, art. 14; Decreto 780 de 2016</t>
        </is>
      </c>
      <c r="P181" s="14" t="inlineStr">
        <is>
          <t>SI</t>
        </is>
      </c>
      <c r="Q181" s="11" t="inlineStr">
        <is>
          <t>Basica</t>
        </is>
      </c>
      <c r="R181" s="11" t="inlineStr">
        <is>
          <t>repaso</t>
        </is>
      </c>
    </row>
    <row r="182" ht="23.25" customHeight="1" s="12">
      <c r="A182" s="14" t="inlineStr">
        <is>
          <t>F0181</t>
        </is>
      </c>
      <c r="B182" s="14" t="inlineStr">
        <is>
          <t>PS 2782 de 2026 - ESE 2 - HUHMP Neiva</t>
        </is>
      </c>
      <c r="C182" s="14" t="inlineStr">
        <is>
          <t>Ley 1751 de 2015 - derecho fundamental a la salud</t>
        </is>
      </c>
      <c r="D182" s="14" t="inlineStr">
        <is>
          <t>Tecnico</t>
        </is>
      </c>
      <c r="E182" s="14" t="inlineStr">
        <is>
          <t>C061</t>
        </is>
      </c>
      <c r="F182" s="14" t="inlineStr">
        <is>
          <t>Caso 061</t>
        </is>
      </c>
      <c r="G182" s="14" t="inlineStr">
        <is>
          <t>Una usuaria pregunta qué puede reclamar si la EPS demora una autorización.</t>
        </is>
      </c>
      <c r="H182" s="14" t="inlineStr">
        <is>
          <t>El primer canal institucional es:</t>
        </is>
      </c>
      <c r="I182" s="14" t="inlineStr">
        <is>
          <t>Presentar la solicitud ante la EPS y ante el SIAU del prestador, con derecho de petición</t>
        </is>
      </c>
      <c r="J182" s="14" t="inlineStr">
        <is>
          <t>Acudir directamente a la Corte Constitucional</t>
        </is>
      </c>
      <c r="K182" s="14" t="inlineStr">
        <is>
          <t>Esperar la próxima cita</t>
        </is>
      </c>
      <c r="L182" s="14" t="inlineStr">
        <is>
          <t>a</t>
        </is>
      </c>
      <c r="M182" s="14" t="inlineStr">
        <is>
          <t>El usuario puede presentar su petición ante la entidad responsable y acudir al SIAU, sin perjuicio de otras acciones.</t>
        </is>
      </c>
      <c r="N182" s="14" t="inlineStr">
        <is>
          <t>b) desconoce las instancias competentes y c) prolonga la barrera de acceso.</t>
        </is>
      </c>
      <c r="O182" s="14" t="inlineStr">
        <is>
          <t>Ley 1755 de 2015; Ley 1122 de 2007</t>
        </is>
      </c>
      <c r="P182" s="14" t="inlineStr">
        <is>
          <t>SI</t>
        </is>
      </c>
      <c r="Q182" s="11" t="inlineStr">
        <is>
          <t>Basica</t>
        </is>
      </c>
      <c r="R182" s="11" t="inlineStr">
        <is>
          <t>repaso</t>
        </is>
      </c>
    </row>
    <row r="183" ht="23.25" customHeight="1" s="12">
      <c r="A183" s="14" t="inlineStr">
        <is>
          <t>F0182</t>
        </is>
      </c>
      <c r="B183" s="14" t="inlineStr">
        <is>
          <t>PS 2782 de 2026 - ESE 2 - HUHMP Neiva</t>
        </is>
      </c>
      <c r="C183" s="14" t="inlineStr">
        <is>
          <t>Ley 1751 de 2015 - derecho fundamental a la salud</t>
        </is>
      </c>
      <c r="D183" s="14" t="inlineStr">
        <is>
          <t>Tecnico</t>
        </is>
      </c>
      <c r="E183" s="14" t="inlineStr">
        <is>
          <t>C061</t>
        </is>
      </c>
      <c r="F183" s="14" t="inlineStr">
        <is>
          <t>Caso 061</t>
        </is>
      </c>
      <c r="G183" s="14" t="inlineStr">
        <is>
          <t>Una usuaria pregunta qué puede reclamar si la EPS demora una autorización.</t>
        </is>
      </c>
      <c r="H183" s="14" t="inlineStr">
        <is>
          <t>La Superintendencia Nacional de Salud puede:</t>
        </is>
      </c>
      <c r="I183" s="14" t="inlineStr">
        <is>
          <t>Conocer y resolver controversias por negación de servicios mediante su función jurisdiccional</t>
        </is>
      </c>
      <c r="J183" s="14" t="inlineStr">
        <is>
          <t>Solo emitir conceptos</t>
        </is>
      </c>
      <c r="K183" s="14" t="inlineStr">
        <is>
          <t>Reemplazar al juez de tutela en todos los casos</t>
        </is>
      </c>
      <c r="L183" s="14" t="inlineStr">
        <is>
          <t>a</t>
        </is>
      </c>
      <c r="M183" s="14" t="inlineStr">
        <is>
          <t>La Superintendencia tiene función jurisdiccional para resolver, entre otros, los conflictos por negación de servicios.</t>
        </is>
      </c>
      <c r="N183" s="14" t="inlineStr">
        <is>
          <t>b) minimiza su competencia y c) la equipara indebidamente con el juez constitucional.</t>
        </is>
      </c>
      <c r="O183" s="14" t="inlineStr">
        <is>
          <t>Ley 1122 de 2007, art. 41</t>
        </is>
      </c>
      <c r="P183" s="14" t="inlineStr">
        <is>
          <t>SI</t>
        </is>
      </c>
      <c r="Q183" s="11" t="inlineStr">
        <is>
          <t>Basica</t>
        </is>
      </c>
      <c r="R183" s="11" t="inlineStr">
        <is>
          <t>repaso</t>
        </is>
      </c>
    </row>
    <row r="184" ht="23.25" customHeight="1" s="12">
      <c r="A184" s="14" t="inlineStr">
        <is>
          <t>F0183</t>
        </is>
      </c>
      <c r="B184" s="14" t="inlineStr">
        <is>
          <t>PS 2782 de 2026 - ESE 2 - HUHMP Neiva</t>
        </is>
      </c>
      <c r="C184" s="14" t="inlineStr">
        <is>
          <t>Ley 1751 de 2015 - derecho fundamental a la salud</t>
        </is>
      </c>
      <c r="D184" s="14" t="inlineStr">
        <is>
          <t>Tecnico</t>
        </is>
      </c>
      <c r="E184" s="14" t="inlineStr">
        <is>
          <t>C061</t>
        </is>
      </c>
      <c r="F184" s="14" t="inlineStr">
        <is>
          <t>Caso 061</t>
        </is>
      </c>
      <c r="G184" s="14" t="inlineStr">
        <is>
          <t>Una usuaria pregunta qué puede reclamar si la EPS demora una autorización.</t>
        </is>
      </c>
      <c r="H184" s="14" t="inlineStr">
        <is>
          <t>El defensor del usuario en salud tiene como función:</t>
        </is>
      </c>
      <c r="I184" s="14" t="inlineStr">
        <is>
          <t>Representar los intereses de los usuarios ante las entidades del sistema</t>
        </is>
      </c>
      <c r="J184" s="14" t="inlineStr">
        <is>
          <t>Autorizar servicios</t>
        </is>
      </c>
      <c r="K184" s="14" t="inlineStr">
        <is>
          <t>Auditar facturas</t>
        </is>
      </c>
      <c r="L184" s="14" t="inlineStr">
        <is>
          <t>a</t>
        </is>
      </c>
      <c r="M184" s="14" t="inlineStr">
        <is>
          <t>El defensor del usuario representa los intereses de los usuarios ante las entidades del sistema.</t>
        </is>
      </c>
      <c r="N184" s="14" t="inlineStr">
        <is>
          <t>b) y c) son funciones del asegurador o de la auditoría, no de la defensoría.</t>
        </is>
      </c>
      <c r="O184" s="14" t="inlineStr">
        <is>
          <t>Ley 1122 de 2007, art. 42</t>
        </is>
      </c>
      <c r="P184" s="14" t="inlineStr">
        <is>
          <t>SI</t>
        </is>
      </c>
      <c r="Q184" s="11" t="inlineStr">
        <is>
          <t>Basica</t>
        </is>
      </c>
      <c r="R184" s="11" t="inlineStr">
        <is>
          <t>repaso</t>
        </is>
      </c>
    </row>
    <row r="185" ht="23.25" customHeight="1" s="12">
      <c r="A185" s="14" t="inlineStr">
        <is>
          <t>F0184</t>
        </is>
      </c>
      <c r="B185" s="14" t="inlineStr">
        <is>
          <t>PS 2782 de 2026 - ESE 2 - HUHMP Neiva</t>
        </is>
      </c>
      <c r="C185" s="14" t="inlineStr">
        <is>
          <t>Ley 1751 de 2015 - derecho fundamental a la salud</t>
        </is>
      </c>
      <c r="D185" s="14" t="inlineStr">
        <is>
          <t>Profesional</t>
        </is>
      </c>
      <c r="E185" s="14" t="inlineStr">
        <is>
          <t>C062</t>
        </is>
      </c>
      <c r="F185" s="14" t="inlineStr">
        <is>
          <t>Caso 062</t>
        </is>
      </c>
      <c r="G185" s="14" t="inlineStr">
        <is>
          <t>En un comité se discute hasta dónde llega la autonomía del paciente frente a su información clínica.</t>
        </is>
      </c>
      <c r="H185" s="14" t="inlineStr">
        <is>
          <t>El derecho a la información veraz del paciente comprende:</t>
        </is>
      </c>
      <c r="I185" s="14" t="inlineStr">
        <is>
          <t>Conocer su diagnóstico, alternativas de tratamiento, riesgos y pronóstico en lenguaje comprensible</t>
        </is>
      </c>
      <c r="J185" s="14" t="inlineStr">
        <is>
          <t>Solo el diagnóstico</t>
        </is>
      </c>
      <c r="K185" s="14" t="inlineStr">
        <is>
          <t>Solo lo que el médico considere conveniente</t>
        </is>
      </c>
      <c r="L185" s="14" t="inlineStr">
        <is>
          <t>a</t>
        </is>
      </c>
      <c r="M185" s="14" t="inlineStr">
        <is>
          <t>El usuario tiene derecho a información clara y completa sobre diagnóstico, alternativas, riesgos y pronóstico.</t>
        </is>
      </c>
      <c r="N185" s="14" t="inlineStr">
        <is>
          <t>b) y c) recortan el contenido del derecho o lo dejan al arbitrio del profesional.</t>
        </is>
      </c>
      <c r="O185" s="14" t="inlineStr">
        <is>
          <t>Ley 1751 de 2015, art. 10</t>
        </is>
      </c>
      <c r="P185" s="14" t="inlineStr">
        <is>
          <t>SI</t>
        </is>
      </c>
      <c r="Q185" s="11" t="inlineStr">
        <is>
          <t>Basica</t>
        </is>
      </c>
      <c r="R185" s="11" t="inlineStr">
        <is>
          <t>repaso</t>
        </is>
      </c>
    </row>
    <row r="186" ht="23.25" customHeight="1" s="12">
      <c r="A186" s="14" t="inlineStr">
        <is>
          <t>F0185</t>
        </is>
      </c>
      <c r="B186" s="14" t="inlineStr">
        <is>
          <t>PS 2782 de 2026 - ESE 2 - HUHMP Neiva</t>
        </is>
      </c>
      <c r="C186" s="14" t="inlineStr">
        <is>
          <t>Ley 1751 de 2015 - derecho fundamental a la salud</t>
        </is>
      </c>
      <c r="D186" s="14" t="inlineStr">
        <is>
          <t>Profesional</t>
        </is>
      </c>
      <c r="E186" s="14" t="inlineStr">
        <is>
          <t>C062</t>
        </is>
      </c>
      <c r="F186" s="14" t="inlineStr">
        <is>
          <t>Caso 062</t>
        </is>
      </c>
      <c r="G186" s="14" t="inlineStr">
        <is>
          <t>En un comité se discute hasta dónde llega la autonomía del paciente frente a su información clínica.</t>
        </is>
      </c>
      <c r="H186" s="14" t="inlineStr">
        <is>
          <t>El paciente puede solicitar una segunda opinión:</t>
        </is>
      </c>
      <c r="I186" s="14" t="inlineStr">
        <is>
          <t>Sí, es un derecho reconocido dentro del sistema</t>
        </is>
      </c>
      <c r="J186" s="14" t="inlineStr">
        <is>
          <t>No, salvo autorización de la EPS</t>
        </is>
      </c>
      <c r="K186" s="14" t="inlineStr">
        <is>
          <t>Solo en el sector privado</t>
        </is>
      </c>
      <c r="L186" s="14" t="inlineStr">
        <is>
          <t>a</t>
        </is>
      </c>
      <c r="M186" s="14" t="inlineStr">
        <is>
          <t>El usuario tiene derecho a obtener una segunda opinión sobre su diagnóstico o tratamiento.</t>
        </is>
      </c>
      <c r="N186" s="14" t="inlineStr">
        <is>
          <t>b) y c) condicionan un derecho reconocido en la ley.</t>
        </is>
      </c>
      <c r="O186" s="14" t="inlineStr">
        <is>
          <t>Ley 1751 de 2015, art. 10</t>
        </is>
      </c>
      <c r="P186" s="14" t="inlineStr">
        <is>
          <t>SI</t>
        </is>
      </c>
      <c r="Q186" s="11" t="inlineStr">
        <is>
          <t>Basica</t>
        </is>
      </c>
      <c r="R186" s="11" t="inlineStr">
        <is>
          <t>repaso</t>
        </is>
      </c>
    </row>
    <row r="187" ht="23.25" customHeight="1" s="12">
      <c r="A187" s="14" t="inlineStr">
        <is>
          <t>F0186</t>
        </is>
      </c>
      <c r="B187" s="14" t="inlineStr">
        <is>
          <t>PS 2782 de 2026 - ESE 2 - HUHMP Neiva</t>
        </is>
      </c>
      <c r="C187" s="14" t="inlineStr">
        <is>
          <t>Ley 1751 de 2015 - derecho fundamental a la salud</t>
        </is>
      </c>
      <c r="D187" s="14" t="inlineStr">
        <is>
          <t>Profesional</t>
        </is>
      </c>
      <c r="E187" s="14" t="inlineStr">
        <is>
          <t>C062</t>
        </is>
      </c>
      <c r="F187" s="14" t="inlineStr">
        <is>
          <t>Caso 062</t>
        </is>
      </c>
      <c r="G187" s="14" t="inlineStr">
        <is>
          <t>En un comité se discute hasta dónde llega la autonomía del paciente frente a su información clínica.</t>
        </is>
      </c>
      <c r="H187" s="14" t="inlineStr">
        <is>
          <t>Frente a la muerte digna, el prestador debe:</t>
        </is>
      </c>
      <c r="I187" s="14" t="inlineStr">
        <is>
          <t>Respetar la voluntad del paciente conforme a la normativa y la jurisprudencia vigentes</t>
        </is>
      </c>
      <c r="J187" s="14" t="inlineStr">
        <is>
          <t>Aplicar siempre todas las medidas disponibles</t>
        </is>
      </c>
      <c r="K187" s="14" t="inlineStr">
        <is>
          <t>Decidir según la opinión del equipo</t>
        </is>
      </c>
      <c r="L187" s="14" t="inlineStr">
        <is>
          <t>a</t>
        </is>
      </c>
      <c r="M187" s="14" t="inlineStr">
        <is>
          <t>La normativa y la jurisprudencia reconocen el derecho a morir dignamente y a rechazar tratamientos desproporcionados.</t>
        </is>
      </c>
      <c r="N187" s="14" t="inlineStr">
        <is>
          <t>b) configura obstinación terapéutica y c) desplaza la voluntad del titular.</t>
        </is>
      </c>
      <c r="O187" s="14" t="inlineStr">
        <is>
          <t>Ley 1733 de 2014; jurisprudencia constitucional</t>
        </is>
      </c>
      <c r="P187" s="14" t="inlineStr">
        <is>
          <t>SI</t>
        </is>
      </c>
      <c r="Q187" s="11" t="inlineStr">
        <is>
          <t>Basica</t>
        </is>
      </c>
      <c r="R187" s="11" t="inlineStr">
        <is>
          <t>repaso</t>
        </is>
      </c>
    </row>
    <row r="188" ht="23.25" customHeight="1" s="12">
      <c r="A188" s="14" t="inlineStr">
        <is>
          <t>F0187</t>
        </is>
      </c>
      <c r="B188" s="14" t="inlineStr">
        <is>
          <t>PS 2782 de 2026 - ESE 2 - HUHMP Neiva</t>
        </is>
      </c>
      <c r="C188" s="14" t="inlineStr">
        <is>
          <t>Ley 1751 de 2015 - derecho fundamental a la salud</t>
        </is>
      </c>
      <c r="D188" s="14" t="inlineStr">
        <is>
          <t>Profesional</t>
        </is>
      </c>
      <c r="E188" s="14" t="inlineStr">
        <is>
          <t>C063</t>
        </is>
      </c>
      <c r="F188" s="14" t="inlineStr">
        <is>
          <t>Caso 063</t>
        </is>
      </c>
      <c r="G188" s="14" t="inlineStr">
        <is>
          <t>El equipo de calidad revisa cómo se mide el goce efectivo del derecho.</t>
        </is>
      </c>
      <c r="H188" s="14" t="inlineStr">
        <is>
          <t>La oportunidad en la asignación de citas es un indicador de:</t>
        </is>
      </c>
      <c r="I188" s="14" t="inlineStr">
        <is>
          <t>Accesibilidad, uno de los elementos esenciales del derecho</t>
        </is>
      </c>
      <c r="J188" s="14" t="inlineStr">
        <is>
          <t>Sostenibilidad financiera</t>
        </is>
      </c>
      <c r="K188" s="14" t="inlineStr">
        <is>
          <t>Eficiencia administrativa únicamente</t>
        </is>
      </c>
      <c r="L188" s="14" t="inlineStr">
        <is>
          <t>a</t>
        </is>
      </c>
      <c r="M188" s="14" t="inlineStr">
        <is>
          <t>La oportunidad expresa la accesibilidad, elemento esencial del derecho a la salud.</t>
        </is>
      </c>
      <c r="N188" s="14" t="inlineStr">
        <is>
          <t>b) y c) desplazan el análisis del derecho hacia la gestión económica.</t>
        </is>
      </c>
      <c r="O188" s="14" t="inlineStr">
        <is>
          <t>Ley 1751 de 2015, art. 6; Resolución 256 de 2016</t>
        </is>
      </c>
      <c r="P188" s="14" t="inlineStr">
        <is>
          <t>SI</t>
        </is>
      </c>
      <c r="Q188" s="11" t="inlineStr">
        <is>
          <t>Basica</t>
        </is>
      </c>
      <c r="R188" s="11" t="inlineStr">
        <is>
          <t>repaso</t>
        </is>
      </c>
    </row>
    <row r="189" ht="23.25" customHeight="1" s="12">
      <c r="A189" s="14" t="inlineStr">
        <is>
          <t>F0188</t>
        </is>
      </c>
      <c r="B189" s="14" t="inlineStr">
        <is>
          <t>PS 2782 de 2026 - ESE 2 - HUHMP Neiva</t>
        </is>
      </c>
      <c r="C189" s="14" t="inlineStr">
        <is>
          <t>Ley 1751 de 2015 - derecho fundamental a la salud</t>
        </is>
      </c>
      <c r="D189" s="14" t="inlineStr">
        <is>
          <t>Profesional</t>
        </is>
      </c>
      <c r="E189" s="14" t="inlineStr">
        <is>
          <t>C063</t>
        </is>
      </c>
      <c r="F189" s="14" t="inlineStr">
        <is>
          <t>Caso 063</t>
        </is>
      </c>
      <c r="G189" s="14" t="inlineStr">
        <is>
          <t>El equipo de calidad revisa cómo se mide el goce efectivo del derecho.</t>
        </is>
      </c>
      <c r="H189" s="14" t="inlineStr">
        <is>
          <t>La aceptabilidad implica que los servicios:</t>
        </is>
      </c>
      <c r="I189" s="14" t="inlineStr">
        <is>
          <t>Respeten la ética médica y sean culturalmente apropiados</t>
        </is>
      </c>
      <c r="J189" s="14" t="inlineStr">
        <is>
          <t>Sean los más económicos</t>
        </is>
      </c>
      <c r="K189" s="14" t="inlineStr">
        <is>
          <t>Se presten en el mayor nivel de complejidad</t>
        </is>
      </c>
      <c r="L189" s="14" t="inlineStr">
        <is>
          <t>a</t>
        </is>
      </c>
      <c r="M189" s="14" t="inlineStr">
        <is>
          <t>La aceptabilidad exige respeto por la ética médica y pertinencia cultural de los servicios.</t>
        </is>
      </c>
      <c r="N189" s="14" t="inlineStr">
        <is>
          <t>b) y c) confunden aceptabilidad con costo o complejidad.</t>
        </is>
      </c>
      <c r="O189" s="14" t="inlineStr">
        <is>
          <t>Ley 1751 de 2015, art. 6</t>
        </is>
      </c>
      <c r="P189" s="14" t="inlineStr">
        <is>
          <t>SI</t>
        </is>
      </c>
      <c r="Q189" s="11" t="inlineStr">
        <is>
          <t>Basica</t>
        </is>
      </c>
      <c r="R189" s="11" t="inlineStr">
        <is>
          <t>repaso</t>
        </is>
      </c>
    </row>
    <row r="190" ht="23.25" customHeight="1" s="12">
      <c r="A190" s="14" t="inlineStr">
        <is>
          <t>F0189</t>
        </is>
      </c>
      <c r="B190" s="14" t="inlineStr">
        <is>
          <t>PS 2782 de 2026 - ESE 2 - HUHMP Neiva</t>
        </is>
      </c>
      <c r="C190" s="14" t="inlineStr">
        <is>
          <t>Ley 1751 de 2015 - derecho fundamental a la salud</t>
        </is>
      </c>
      <c r="D190" s="14" t="inlineStr">
        <is>
          <t>Profesional</t>
        </is>
      </c>
      <c r="E190" s="14" t="inlineStr">
        <is>
          <t>C063</t>
        </is>
      </c>
      <c r="F190" s="14" t="inlineStr">
        <is>
          <t>Caso 063</t>
        </is>
      </c>
      <c r="G190" s="14" t="inlineStr">
        <is>
          <t>El equipo de calidad revisa cómo se mide el goce efectivo del derecho.</t>
        </is>
      </c>
      <c r="H190" s="14" t="inlineStr">
        <is>
          <t>La disponibilidad se refiere a:</t>
        </is>
      </c>
      <c r="I190" s="14" t="inlineStr">
        <is>
          <t>Contar con servicios, tecnologías e instituciones suficientes para garantizar la atención</t>
        </is>
      </c>
      <c r="J190" s="14" t="inlineStr">
        <is>
          <t>Tener personal disponible solo en urgencias</t>
        </is>
      </c>
      <c r="K190" s="14" t="inlineStr">
        <is>
          <t>Tener contrato con todas las EPS</t>
        </is>
      </c>
      <c r="L190" s="14" t="inlineStr">
        <is>
          <t>a</t>
        </is>
      </c>
      <c r="M190" s="14" t="inlineStr">
        <is>
          <t>La disponibilidad exige servicios, tecnologías, instituciones y talento humano suficientes.</t>
        </is>
      </c>
      <c r="N190" s="14" t="inlineStr">
        <is>
          <t>b) y c) reducen el elemento a una franja del servicio o a lo contractual.</t>
        </is>
      </c>
      <c r="O190" s="14" t="inlineStr">
        <is>
          <t>Ley 1751 de 2015, art. 6</t>
        </is>
      </c>
      <c r="P190" s="14" t="inlineStr">
        <is>
          <t>SI</t>
        </is>
      </c>
      <c r="Q190" s="11" t="inlineStr">
        <is>
          <t>Basica</t>
        </is>
      </c>
      <c r="R190" s="11" t="inlineStr">
        <is>
          <t>repaso</t>
        </is>
      </c>
    </row>
    <row r="191" ht="23.25" customHeight="1" s="12">
      <c r="A191" s="14" t="inlineStr">
        <is>
          <t>F0190</t>
        </is>
      </c>
      <c r="B191" s="14" t="inlineStr">
        <is>
          <t>PS 2782 de 2026 - ESE 2 - HUHMP Neiva</t>
        </is>
      </c>
      <c r="C191" s="14" t="inlineStr">
        <is>
          <t>Habilitacion y calidad (Resolucion 3100 de 2019)</t>
        </is>
      </c>
      <c r="D191" s="14" t="inlineStr">
        <is>
          <t>Profesional</t>
        </is>
      </c>
      <c r="E191" s="14" t="inlineStr">
        <is>
          <t>C064</t>
        </is>
      </c>
      <c r="F191" s="14" t="inlineStr">
        <is>
          <t>Caso 064</t>
        </is>
      </c>
      <c r="G191" s="14" t="inlineStr">
        <is>
          <t>El hospital prepara la autoevaluación anual de habilitación de sus servicios quirúrgicos.</t>
        </is>
      </c>
      <c r="H191" s="14" t="inlineStr">
        <is>
          <t>El estándar de talento humano exige:</t>
        </is>
      </c>
      <c r="I191" s="14" t="inlineStr">
        <is>
          <t>Personal con la formación y experiencia definidas para el servicio, verificable documentalmente</t>
        </is>
      </c>
      <c r="J191" s="14" t="inlineStr">
        <is>
          <t>Únicamente el número de profesionales</t>
        </is>
      </c>
      <c r="K191" s="14" t="inlineStr">
        <is>
          <t>Solo contrato vigente</t>
        </is>
      </c>
      <c r="L191" s="14" t="inlineStr">
        <is>
          <t>a</t>
        </is>
      </c>
      <c r="M191" s="14" t="inlineStr">
        <is>
          <t>El estándar exige personal con el perfil definido para el servicio, acreditado documentalmente.</t>
        </is>
      </c>
      <c r="N191" s="14" t="inlineStr">
        <is>
          <t>b) y c) verifican cantidad o vínculo, no idoneidad.</t>
        </is>
      </c>
      <c r="O191" s="14" t="inlineStr">
        <is>
          <t>Resolución 3100 de 2019</t>
        </is>
      </c>
      <c r="P191" s="14" t="inlineStr">
        <is>
          <t>SI</t>
        </is>
      </c>
      <c r="Q191" s="11" t="inlineStr">
        <is>
          <t>Basica</t>
        </is>
      </c>
      <c r="R191" s="11" t="inlineStr">
        <is>
          <t>repaso</t>
        </is>
      </c>
    </row>
    <row r="192" ht="23.25" customHeight="1" s="12">
      <c r="A192" s="14" t="inlineStr">
        <is>
          <t>F0191</t>
        </is>
      </c>
      <c r="B192" s="14" t="inlineStr">
        <is>
          <t>PS 2782 de 2026 - ESE 2 - HUHMP Neiva</t>
        </is>
      </c>
      <c r="C192" s="14" t="inlineStr">
        <is>
          <t>Habilitacion y calidad (Resolucion 3100 de 2019)</t>
        </is>
      </c>
      <c r="D192" s="14" t="inlineStr">
        <is>
          <t>Profesional</t>
        </is>
      </c>
      <c r="E192" s="14" t="inlineStr">
        <is>
          <t>C064</t>
        </is>
      </c>
      <c r="F192" s="14" t="inlineStr">
        <is>
          <t>Caso 064</t>
        </is>
      </c>
      <c r="G192" s="14" t="inlineStr">
        <is>
          <t>El hospital prepara la autoevaluación anual de habilitación de sus servicios quirúrgicos.</t>
        </is>
      </c>
      <c r="H192" s="14" t="inlineStr">
        <is>
          <t>El estándar de dotación se refiere a:</t>
        </is>
      </c>
      <c r="I192" s="14" t="inlineStr">
        <is>
          <t>Equipos e insumos requeridos, con mantenimiento y calibración vigentes</t>
        </is>
      </c>
      <c r="J192" s="14" t="inlineStr">
        <is>
          <t>Solo a la existencia del equipo</t>
        </is>
      </c>
      <c r="K192" s="14" t="inlineStr">
        <is>
          <t>Al valor contable del equipo</t>
        </is>
      </c>
      <c r="L192" s="14" t="inlineStr">
        <is>
          <t>a</t>
        </is>
      </c>
      <c r="M192" s="14" t="inlineStr">
        <is>
          <t>La dotación comprende los equipos requeridos y su mantenimiento y calibración vigentes.</t>
        </is>
      </c>
      <c r="N192" s="14" t="inlineStr">
        <is>
          <t>b) omite el soporte de funcionamiento seguro y c) introduce un criterio contable.</t>
        </is>
      </c>
      <c r="O192" s="14" t="inlineStr">
        <is>
          <t>Resolución 3100 de 2019</t>
        </is>
      </c>
      <c r="P192" s="14" t="inlineStr">
        <is>
          <t>SI</t>
        </is>
      </c>
      <c r="Q192" s="11" t="inlineStr">
        <is>
          <t>Basica</t>
        </is>
      </c>
      <c r="R192" s="11" t="inlineStr">
        <is>
          <t>repaso</t>
        </is>
      </c>
    </row>
    <row r="193" ht="23.25" customHeight="1" s="12">
      <c r="A193" s="14" t="inlineStr">
        <is>
          <t>F0192</t>
        </is>
      </c>
      <c r="B193" s="14" t="inlineStr">
        <is>
          <t>PS 2782 de 2026 - ESE 2 - HUHMP Neiva</t>
        </is>
      </c>
      <c r="C193" s="14" t="inlineStr">
        <is>
          <t>Habilitacion y calidad (Resolucion 3100 de 2019)</t>
        </is>
      </c>
      <c r="D193" s="14" t="inlineStr">
        <is>
          <t>Profesional</t>
        </is>
      </c>
      <c r="E193" s="14" t="inlineStr">
        <is>
          <t>C064</t>
        </is>
      </c>
      <c r="F193" s="14" t="inlineStr">
        <is>
          <t>Caso 064</t>
        </is>
      </c>
      <c r="G193" s="14" t="inlineStr">
        <is>
          <t>El hospital prepara la autoevaluación anual de habilitación de sus servicios quirúrgicos.</t>
        </is>
      </c>
      <c r="H193" s="14" t="inlineStr">
        <is>
          <t>El estándar de procesos prioritarios implica:</t>
        </is>
      </c>
      <c r="I193" s="14" t="inlineStr">
        <is>
          <t>Contar con guías, protocolos y procedimientos documentados y socializados</t>
        </is>
      </c>
      <c r="J193" s="14" t="inlineStr">
        <is>
          <t>Tener solo el manual de funciones</t>
        </is>
      </c>
      <c r="K193" s="14" t="inlineStr">
        <is>
          <t>Tener solo el organigrama</t>
        </is>
      </c>
      <c r="L193" s="14" t="inlineStr">
        <is>
          <t>a</t>
        </is>
      </c>
      <c r="M193" s="14" t="inlineStr">
        <is>
          <t>Los procesos prioritarios exigen guías y protocolos documentados, socializados y aplicados.</t>
        </is>
      </c>
      <c r="N193" s="14" t="inlineStr">
        <is>
          <t>b) y c) son documentos institucionales que no reemplazan los protocolos asistenciales.</t>
        </is>
      </c>
      <c r="O193" s="14" t="inlineStr">
        <is>
          <t>Resolución 3100 de 2019</t>
        </is>
      </c>
      <c r="P193" s="14" t="inlineStr">
        <is>
          <t>SI</t>
        </is>
      </c>
      <c r="Q193" s="11" t="inlineStr">
        <is>
          <t>Basica</t>
        </is>
      </c>
      <c r="R193" s="11" t="inlineStr">
        <is>
          <t>repaso</t>
        </is>
      </c>
    </row>
    <row r="194" ht="23.25" customHeight="1" s="12">
      <c r="A194" s="14" t="inlineStr">
        <is>
          <t>F0193</t>
        </is>
      </c>
      <c r="B194" s="14" t="inlineStr">
        <is>
          <t>PS 2782 de 2026 - ESE 2 - HUHMP Neiva</t>
        </is>
      </c>
      <c r="C194" s="14" t="inlineStr">
        <is>
          <t>Habilitacion y calidad (Resolucion 3100 de 2019)</t>
        </is>
      </c>
      <c r="D194" s="14" t="inlineStr">
        <is>
          <t>Profesional</t>
        </is>
      </c>
      <c r="E194" s="14" t="inlineStr">
        <is>
          <t>C065</t>
        </is>
      </c>
      <c r="F194" s="14" t="inlineStr">
        <is>
          <t>Caso 065</t>
        </is>
      </c>
      <c r="G194" s="14" t="inlineStr">
        <is>
          <t>Un servicio nuevo se declara en el REPS y la entidad territorial anuncia visita.</t>
        </is>
      </c>
      <c r="H194" s="14" t="inlineStr">
        <is>
          <t>La visita de verificación se realiza:</t>
        </is>
      </c>
      <c r="I194" s="14" t="inlineStr">
        <is>
          <t>Conforme al plan de visitas de la entidad territorial, sin que su ausencia exima del cumplimiento</t>
        </is>
      </c>
      <c r="J194" s="14" t="inlineStr">
        <is>
          <t>Solo si el prestador la solicita</t>
        </is>
      </c>
      <c r="K194" s="14" t="inlineStr">
        <is>
          <t>Cada diez años</t>
        </is>
      </c>
      <c r="L194" s="14" t="inlineStr">
        <is>
          <t>a</t>
        </is>
      </c>
      <c r="M194" s="14" t="inlineStr">
        <is>
          <t>Las visitas se programan en el plan de la entidad territorial; el cumplimiento del estándar es permanente.</t>
        </is>
      </c>
      <c r="N194" s="14" t="inlineStr">
        <is>
          <t>b) y c) condicionan la vigilancia y relajan la exigencia continua.</t>
        </is>
      </c>
      <c r="O194" s="14" t="inlineStr">
        <is>
          <t>Resolución 3100 de 2019</t>
        </is>
      </c>
      <c r="P194" s="14" t="inlineStr">
        <is>
          <t>SI</t>
        </is>
      </c>
      <c r="Q194" s="11" t="inlineStr">
        <is>
          <t>Basica</t>
        </is>
      </c>
      <c r="R194" s="11" t="inlineStr">
        <is>
          <t>repaso</t>
        </is>
      </c>
    </row>
    <row r="195" ht="23.25" customHeight="1" s="12">
      <c r="A195" s="14" t="inlineStr">
        <is>
          <t>F0194</t>
        </is>
      </c>
      <c r="B195" s="14" t="inlineStr">
        <is>
          <t>PS 2782 de 2026 - ESE 2 - HUHMP Neiva</t>
        </is>
      </c>
      <c r="C195" s="14" t="inlineStr">
        <is>
          <t>Habilitacion y calidad (Resolucion 3100 de 2019)</t>
        </is>
      </c>
      <c r="D195" s="14" t="inlineStr">
        <is>
          <t>Profesional</t>
        </is>
      </c>
      <c r="E195" s="14" t="inlineStr">
        <is>
          <t>C065</t>
        </is>
      </c>
      <c r="F195" s="14" t="inlineStr">
        <is>
          <t>Caso 065</t>
        </is>
      </c>
      <c r="G195" s="14" t="inlineStr">
        <is>
          <t>Un servicio nuevo se declara en el REPS y la entidad territorial anuncia visita.</t>
        </is>
      </c>
      <c r="H195" s="14" t="inlineStr">
        <is>
          <t>Si en la visita se hallan incumplimientos, procede:</t>
        </is>
      </c>
      <c r="I195" s="14" t="inlineStr">
        <is>
          <t>El plan de cumplimiento o las medidas que la norma prevea, según la gravedad</t>
        </is>
      </c>
      <c r="J195" s="14" t="inlineStr">
        <is>
          <t>La sanción penal inmediata</t>
        </is>
      </c>
      <c r="K195" s="14" t="inlineStr">
        <is>
          <t>La pérdida automática de la personería jurídica</t>
        </is>
      </c>
      <c r="L195" s="14" t="inlineStr">
        <is>
          <t>a</t>
        </is>
      </c>
      <c r="M195" s="14" t="inlineStr">
        <is>
          <t>Según el hallazgo proceden planes de cumplimiento o medidas sanitarias, en el marco del procedimiento.</t>
        </is>
      </c>
      <c r="N195" s="14" t="inlineStr">
        <is>
          <t>b) y c) aplican consecuencias ajenas al régimen de habilitación.</t>
        </is>
      </c>
      <c r="O195" s="14" t="inlineStr">
        <is>
          <t>Resolución 3100 de 2019; Ley 9 de 1979</t>
        </is>
      </c>
      <c r="P195" s="14" t="inlineStr">
        <is>
          <t>SI</t>
        </is>
      </c>
      <c r="Q195" s="11" t="inlineStr">
        <is>
          <t>Basica</t>
        </is>
      </c>
      <c r="R195" s="11" t="inlineStr">
        <is>
          <t>repaso</t>
        </is>
      </c>
    </row>
    <row r="196" ht="23.25" customHeight="1" s="12">
      <c r="A196" s="14" t="inlineStr">
        <is>
          <t>F0195</t>
        </is>
      </c>
      <c r="B196" s="14" t="inlineStr">
        <is>
          <t>PS 2782 de 2026 - ESE 2 - HUHMP Neiva</t>
        </is>
      </c>
      <c r="C196" s="14" t="inlineStr">
        <is>
          <t>Habilitacion y calidad (Resolucion 3100 de 2019)</t>
        </is>
      </c>
      <c r="D196" s="14" t="inlineStr">
        <is>
          <t>Profesional</t>
        </is>
      </c>
      <c r="E196" s="14" t="inlineStr">
        <is>
          <t>C065</t>
        </is>
      </c>
      <c r="F196" s="14" t="inlineStr">
        <is>
          <t>Caso 065</t>
        </is>
      </c>
      <c r="G196" s="14" t="inlineStr">
        <is>
          <t>Un servicio nuevo se declara en el REPS y la entidad territorial anuncia visita.</t>
        </is>
      </c>
      <c r="H196" s="14" t="inlineStr">
        <is>
          <t>El distintivo de habilitación sirve para:</t>
        </is>
      </c>
      <c r="I196" s="14" t="inlineStr">
        <is>
          <t>Acreditar ante la ciudadanía que el prestador está inscrito y sus servicios habilitados</t>
        </is>
      </c>
      <c r="J196" s="14" t="inlineStr">
        <is>
          <t>Sustituir el registro en el REPS</t>
        </is>
      </c>
      <c r="K196" s="14" t="inlineStr">
        <is>
          <t>Certificar la acreditación</t>
        </is>
      </c>
      <c r="L196" s="14" t="inlineStr">
        <is>
          <t>a</t>
        </is>
      </c>
      <c r="M196" s="14" t="inlineStr">
        <is>
          <t>El distintivo informa a la ciudadanía la condición de prestador inscrito con servicios habilitados.</t>
        </is>
      </c>
      <c r="N196" s="14" t="inlineStr">
        <is>
          <t>b) y c) confunden el distintivo con el registro o con la acreditación.</t>
        </is>
      </c>
      <c r="O196" s="14" t="inlineStr">
        <is>
          <t>Resolución 3100 de 2019</t>
        </is>
      </c>
      <c r="P196" s="14" t="inlineStr">
        <is>
          <t>SI</t>
        </is>
      </c>
      <c r="Q196" s="11" t="inlineStr">
        <is>
          <t>Basica</t>
        </is>
      </c>
      <c r="R196" s="11" t="inlineStr">
        <is>
          <t>repaso</t>
        </is>
      </c>
    </row>
    <row r="197" ht="23.25" customHeight="1" s="12">
      <c r="A197" s="14" t="inlineStr">
        <is>
          <t>F0196</t>
        </is>
      </c>
      <c r="B197" s="14" t="inlineStr">
        <is>
          <t>PS 2782 de 2026 - ESE 2 - HUHMP Neiva</t>
        </is>
      </c>
      <c r="C197" s="14" t="inlineStr">
        <is>
          <t>Habilitacion y calidad (Resolucion 3100 de 2019)</t>
        </is>
      </c>
      <c r="D197" s="14" t="inlineStr">
        <is>
          <t>Tecnico</t>
        </is>
      </c>
      <c r="E197" s="14" t="inlineStr">
        <is>
          <t>C066</t>
        </is>
      </c>
      <c r="F197" s="14" t="inlineStr">
        <is>
          <t>Caso 066</t>
        </is>
      </c>
      <c r="G197" s="14" t="inlineStr">
        <is>
          <t>El técnico de mantenimiento organiza el programa de equipos biomédicos.</t>
        </is>
      </c>
      <c r="H197" s="14" t="inlineStr">
        <is>
          <t>El mantenimiento preventivo de equipos biomédicos debe:</t>
        </is>
      </c>
      <c r="I197" s="14" t="inlineStr">
        <is>
          <t>Programarse y documentarse según la hoja de vida de cada equipo</t>
        </is>
      </c>
      <c r="J197" s="14" t="inlineStr">
        <is>
          <t>Hacerse solo cuando el equipo falla</t>
        </is>
      </c>
      <c r="K197" s="14" t="inlineStr">
        <is>
          <t>Sustituirse por la garantía del proveedor</t>
        </is>
      </c>
      <c r="L197" s="14" t="inlineStr">
        <is>
          <t>a</t>
        </is>
      </c>
      <c r="M197" s="14" t="inlineStr">
        <is>
          <t>El programa exige mantenimiento preventivo programado y documentado en la hoja de vida del equipo.</t>
        </is>
      </c>
      <c r="N197" s="14" t="inlineStr">
        <is>
          <t>b) describe el correctivo y c) traslada al proveedor una obligación institucional.</t>
        </is>
      </c>
      <c r="O197" s="14" t="inlineStr">
        <is>
          <t>Resolución 3100 de 2019; Decreto 4725 de 2005</t>
        </is>
      </c>
      <c r="P197" s="14" t="inlineStr">
        <is>
          <t>SI</t>
        </is>
      </c>
      <c r="Q197" s="11" t="inlineStr">
        <is>
          <t>Basica</t>
        </is>
      </c>
      <c r="R197" s="11" t="inlineStr">
        <is>
          <t>repaso</t>
        </is>
      </c>
    </row>
    <row r="198" ht="23.25" customHeight="1" s="12">
      <c r="A198" s="14" t="inlineStr">
        <is>
          <t>F0197</t>
        </is>
      </c>
      <c r="B198" s="14" t="inlineStr">
        <is>
          <t>PS 2782 de 2026 - ESE 2 - HUHMP Neiva</t>
        </is>
      </c>
      <c r="C198" s="14" t="inlineStr">
        <is>
          <t>Habilitacion y calidad (Resolucion 3100 de 2019)</t>
        </is>
      </c>
      <c r="D198" s="14" t="inlineStr">
        <is>
          <t>Tecnico</t>
        </is>
      </c>
      <c r="E198" s="14" t="inlineStr">
        <is>
          <t>C066</t>
        </is>
      </c>
      <c r="F198" s="14" t="inlineStr">
        <is>
          <t>Caso 066</t>
        </is>
      </c>
      <c r="G198" s="14" t="inlineStr">
        <is>
          <t>El técnico de mantenimiento organiza el programa de equipos biomédicos.</t>
        </is>
      </c>
      <c r="H198" s="14" t="inlineStr">
        <is>
          <t>La calibración de equipos de medición busca:</t>
        </is>
      </c>
      <c r="I198" s="14" t="inlineStr">
        <is>
          <t>Asegurar la exactitud de las mediciones frente a patrones trazables</t>
        </is>
      </c>
      <c r="J198" s="14" t="inlineStr">
        <is>
          <t>Prolongar la garantía</t>
        </is>
      </c>
      <c r="K198" s="14" t="inlineStr">
        <is>
          <t>Reducir el consumo eléctrico</t>
        </is>
      </c>
      <c r="L198" s="14" t="inlineStr">
        <is>
          <t>a</t>
        </is>
      </c>
      <c r="M198" s="14" t="inlineStr">
        <is>
          <t>La calibración asegura exactitud frente a patrones trazables y es condición de seguridad.</t>
        </is>
      </c>
      <c r="N198" s="14" t="inlineStr">
        <is>
          <t>b) y c) no corresponden al propósito metrológico.</t>
        </is>
      </c>
      <c r="O198" s="14" t="inlineStr">
        <is>
          <t>Resolución 3100 de 2019</t>
        </is>
      </c>
      <c r="P198" s="14" t="inlineStr">
        <is>
          <t>SI</t>
        </is>
      </c>
      <c r="Q198" s="11" t="inlineStr">
        <is>
          <t>Basica</t>
        </is>
      </c>
      <c r="R198" s="11" t="inlineStr">
        <is>
          <t>repaso</t>
        </is>
      </c>
    </row>
    <row r="199" ht="23.25" customHeight="1" s="12">
      <c r="A199" s="14" t="inlineStr">
        <is>
          <t>F0198</t>
        </is>
      </c>
      <c r="B199" s="14" t="inlineStr">
        <is>
          <t>PS 2782 de 2026 - ESE 2 - HUHMP Neiva</t>
        </is>
      </c>
      <c r="C199" s="14" t="inlineStr">
        <is>
          <t>Habilitacion y calidad (Resolucion 3100 de 2019)</t>
        </is>
      </c>
      <c r="D199" s="14" t="inlineStr">
        <is>
          <t>Tecnico</t>
        </is>
      </c>
      <c r="E199" s="14" t="inlineStr">
        <is>
          <t>C066</t>
        </is>
      </c>
      <c r="F199" s="14" t="inlineStr">
        <is>
          <t>Caso 066</t>
        </is>
      </c>
      <c r="G199" s="14" t="inlineStr">
        <is>
          <t>El técnico de mantenimiento organiza el programa de equipos biomédicos.</t>
        </is>
      </c>
      <c r="H199" s="14" t="inlineStr">
        <is>
          <t>Un equipo sin soporte de mantenimiento vigente:</t>
        </is>
      </c>
      <c r="I199" s="14" t="inlineStr">
        <is>
          <t>No debe usarse en la atención hasta regularizar su condición</t>
        </is>
      </c>
      <c r="J199" s="14" t="inlineStr">
        <is>
          <t>Puede usarse bajo responsabilidad del operador</t>
        </is>
      </c>
      <c r="K199" s="14" t="inlineStr">
        <is>
          <t>Puede usarse si el paciente lo autoriza</t>
        </is>
      </c>
      <c r="L199" s="14" t="inlineStr">
        <is>
          <t>a</t>
        </is>
      </c>
      <c r="M199" s="14" t="inlineStr">
        <is>
          <t>Sin soporte vigente el equipo no cumple la condición de habilitación y no debe emplearse en la atención.</t>
        </is>
      </c>
      <c r="N199" s="14" t="inlineStr">
        <is>
          <t>b) y c) trasladan a personas el riesgo de un incumplimiento institucional.</t>
        </is>
      </c>
      <c r="O199" s="14" t="inlineStr">
        <is>
          <t>Resolución 3100 de 2019</t>
        </is>
      </c>
      <c r="P199" s="14" t="inlineStr">
        <is>
          <t>SI</t>
        </is>
      </c>
      <c r="Q199" s="11" t="inlineStr">
        <is>
          <t>Basica</t>
        </is>
      </c>
      <c r="R199" s="11" t="inlineStr">
        <is>
          <t>repaso</t>
        </is>
      </c>
    </row>
    <row r="200" ht="23.25" customHeight="1" s="12">
      <c r="A200" s="14" t="inlineStr">
        <is>
          <t>F0199</t>
        </is>
      </c>
      <c r="B200" s="14" t="inlineStr">
        <is>
          <t>PS 2782 de 2026 - ESE 2 - HUHMP Neiva</t>
        </is>
      </c>
      <c r="C200" s="14" t="inlineStr">
        <is>
          <t>Habilitacion y calidad (Resolucion 3100 de 2019)</t>
        </is>
      </c>
      <c r="D200" s="14" t="inlineStr">
        <is>
          <t>Profesional</t>
        </is>
      </c>
      <c r="E200" s="14" t="inlineStr">
        <is>
          <t>C067</t>
        </is>
      </c>
      <c r="F200" s="14" t="inlineStr">
        <is>
          <t>Caso 067</t>
        </is>
      </c>
      <c r="G200" s="14" t="inlineStr">
        <is>
          <t>La dirección evalúa postularse al Sistema Único de Acreditación.</t>
        </is>
      </c>
      <c r="H200" s="14" t="inlineStr">
        <is>
          <t>La acreditación en salud es:</t>
        </is>
      </c>
      <c r="I200" s="14" t="inlineStr">
        <is>
          <t>Voluntaria, periódica y basada en estándares superiores</t>
        </is>
      </c>
      <c r="J200" s="14" t="inlineStr">
        <is>
          <t>Obligatoria para hospitales universitarios</t>
        </is>
      </c>
      <c r="K200" s="14" t="inlineStr">
        <is>
          <t>Un requisito para contratar con EPS</t>
        </is>
      </c>
      <c r="L200" s="14" t="inlineStr">
        <is>
          <t>a</t>
        </is>
      </c>
      <c r="M200" s="14" t="inlineStr">
        <is>
          <t>La acreditación es un proceso voluntario y periódico de estándares superiores de calidad.</t>
        </is>
      </c>
      <c r="N200" s="14" t="inlineStr">
        <is>
          <t>b) y c) le atribuyen obligatoriedad que la norma no establece.</t>
        </is>
      </c>
      <c r="O200" s="14" t="inlineStr">
        <is>
          <t>Decreto 780 de 2016</t>
        </is>
      </c>
      <c r="P200" s="14" t="inlineStr">
        <is>
          <t>SI</t>
        </is>
      </c>
      <c r="Q200" s="11" t="inlineStr">
        <is>
          <t>Basica</t>
        </is>
      </c>
      <c r="R200" s="11" t="inlineStr">
        <is>
          <t>repaso</t>
        </is>
      </c>
    </row>
    <row r="201" ht="23.25" customHeight="1" s="12">
      <c r="A201" s="14" t="inlineStr">
        <is>
          <t>F0200</t>
        </is>
      </c>
      <c r="B201" s="14" t="inlineStr">
        <is>
          <t>PS 2782 de 2026 - ESE 2 - HUHMP Neiva</t>
        </is>
      </c>
      <c r="C201" s="14" t="inlineStr">
        <is>
          <t>Habilitacion y calidad (Resolucion 3100 de 2019)</t>
        </is>
      </c>
      <c r="D201" s="14" t="inlineStr">
        <is>
          <t>Profesional</t>
        </is>
      </c>
      <c r="E201" s="14" t="inlineStr">
        <is>
          <t>C067</t>
        </is>
      </c>
      <c r="F201" s="14" t="inlineStr">
        <is>
          <t>Caso 067</t>
        </is>
      </c>
      <c r="G201" s="14" t="inlineStr">
        <is>
          <t>La dirección evalúa postularse al Sistema Único de Acreditación.</t>
        </is>
      </c>
      <c r="H201" s="14" t="inlineStr">
        <is>
          <t>El ciclo de mejoramiento en acreditación exige:</t>
        </is>
      </c>
      <c r="I201" s="14" t="inlineStr">
        <is>
          <t>Autoevaluación, priorización, planes de mejora y seguimiento medible</t>
        </is>
      </c>
      <c r="J201" s="14" t="inlineStr">
        <is>
          <t>Solo la visita del ente acreditador</t>
        </is>
      </c>
      <c r="K201" s="14" t="inlineStr">
        <is>
          <t>Solo la certificación ISO</t>
        </is>
      </c>
      <c r="L201" s="14" t="inlineStr">
        <is>
          <t>a</t>
        </is>
      </c>
      <c r="M201" s="14" t="inlineStr">
        <is>
          <t>El modelo exige autoevaluación, priorización, mejora y seguimiento con mediciones.</t>
        </is>
      </c>
      <c r="N201" s="14" t="inlineStr">
        <is>
          <t>b) reduce el modelo a la visita y c) confunde sistemas de gestión distintos.</t>
        </is>
      </c>
      <c r="O201" s="14" t="inlineStr">
        <is>
          <t>Decreto 780 de 2016</t>
        </is>
      </c>
      <c r="P201" s="14" t="inlineStr">
        <is>
          <t>SI</t>
        </is>
      </c>
      <c r="Q201" s="11" t="inlineStr">
        <is>
          <t>Basica</t>
        </is>
      </c>
      <c r="R201" s="11" t="inlineStr">
        <is>
          <t>repaso</t>
        </is>
      </c>
    </row>
    <row r="202" ht="23.25" customHeight="1" s="12">
      <c r="A202" s="14" t="inlineStr">
        <is>
          <t>F0201</t>
        </is>
      </c>
      <c r="B202" s="14" t="inlineStr">
        <is>
          <t>PS 2782 de 2026 - ESE 2 - HUHMP Neiva</t>
        </is>
      </c>
      <c r="C202" s="14" t="inlineStr">
        <is>
          <t>Habilitacion y calidad (Resolucion 3100 de 2019)</t>
        </is>
      </c>
      <c r="D202" s="14" t="inlineStr">
        <is>
          <t>Profesional</t>
        </is>
      </c>
      <c r="E202" s="14" t="inlineStr">
        <is>
          <t>C067</t>
        </is>
      </c>
      <c r="F202" s="14" t="inlineStr">
        <is>
          <t>Caso 067</t>
        </is>
      </c>
      <c r="G202" s="14" t="inlineStr">
        <is>
          <t>La dirección evalúa postularse al Sistema Único de Acreditación.</t>
        </is>
      </c>
      <c r="H202" s="14" t="inlineStr">
        <is>
          <t>La acreditación no exime al prestador de:</t>
        </is>
      </c>
      <c r="I202" s="14" t="inlineStr">
        <is>
          <t>Mantener habilitados todos sus servicios</t>
        </is>
      </c>
      <c r="J202" s="14" t="inlineStr">
        <is>
          <t>Reportar indicadores</t>
        </is>
      </c>
      <c r="K202" s="14" t="inlineStr">
        <is>
          <t>Ninguna de sus obligaciones legales</t>
        </is>
      </c>
      <c r="L202" s="14" t="inlineStr">
        <is>
          <t>c</t>
        </is>
      </c>
      <c r="M202" s="14" t="inlineStr">
        <is>
          <t>La acreditación se suma a las obligaciones legales: no exime de habilitación ni de reportes ni de ninguna otra obligación.</t>
        </is>
      </c>
      <c r="N202" s="14" t="inlineStr">
        <is>
          <t>a) y b) enuncian obligaciones ciertas pero parciales frente a la afirmación completa.</t>
        </is>
      </c>
      <c r="O202" s="14" t="inlineStr">
        <is>
          <t>Decreto 780 de 2016</t>
        </is>
      </c>
      <c r="P202" s="14" t="inlineStr">
        <is>
          <t>SI</t>
        </is>
      </c>
      <c r="Q202" s="11" t="inlineStr">
        <is>
          <t>Basica</t>
        </is>
      </c>
      <c r="R202" s="11" t="inlineStr">
        <is>
          <t>repaso</t>
        </is>
      </c>
    </row>
    <row r="203" ht="23.25" customHeight="1" s="12">
      <c r="A203" s="14" t="inlineStr">
        <is>
          <t>F0202</t>
        </is>
      </c>
      <c r="B203" s="14" t="inlineStr">
        <is>
          <t>PS 2782 de 2026 - ESE 2 - HUHMP Neiva</t>
        </is>
      </c>
      <c r="C203" s="14" t="inlineStr">
        <is>
          <t>Habilitacion y calidad (Resolucion 3100 de 2019)</t>
        </is>
      </c>
      <c r="D203" s="14" t="inlineStr">
        <is>
          <t>Profesional</t>
        </is>
      </c>
      <c r="E203" s="14" t="inlineStr">
        <is>
          <t>C068</t>
        </is>
      </c>
      <c r="F203" s="14" t="inlineStr">
        <is>
          <t>Caso 068</t>
        </is>
      </c>
      <c r="G203" s="14" t="inlineStr">
        <is>
          <t>Se revisa la habilitación del servicio de telemedicina del hospital.</t>
        </is>
      </c>
      <c r="H203" s="14" t="inlineStr">
        <is>
          <t>La telemedicina requiere:</t>
        </is>
      </c>
      <c r="I203" s="14" t="inlineStr">
        <is>
          <t>Habilitación específica del servicio en la modalidad correspondiente</t>
        </is>
      </c>
      <c r="J203" s="14" t="inlineStr">
        <is>
          <t>Solo conexión a internet estable</t>
        </is>
      </c>
      <c r="K203" s="14" t="inlineStr">
        <is>
          <t>Autorización verbal del paciente</t>
        </is>
      </c>
      <c r="L203" s="14" t="inlineStr">
        <is>
          <t>a</t>
        </is>
      </c>
      <c r="M203" s="14" t="inlineStr">
        <is>
          <t>La prestación por telemedicina exige la habilitación del servicio en la modalidad respectiva.</t>
        </is>
      </c>
      <c r="N203" s="14" t="inlineStr">
        <is>
          <t>b) es una condición técnica y c) no sustituye la habilitación.</t>
        </is>
      </c>
      <c r="O203" s="14" t="inlineStr">
        <is>
          <t>Resolución 3100 de 2019; Ley 1419 de 2010</t>
        </is>
      </c>
      <c r="P203" s="14" t="inlineStr">
        <is>
          <t>SI</t>
        </is>
      </c>
      <c r="Q203" s="11" t="inlineStr">
        <is>
          <t>Basica</t>
        </is>
      </c>
      <c r="R203" s="11" t="inlineStr">
        <is>
          <t>repaso</t>
        </is>
      </c>
    </row>
    <row r="204" ht="23.25" customHeight="1" s="12">
      <c r="A204" s="14" t="inlineStr">
        <is>
          <t>F0203</t>
        </is>
      </c>
      <c r="B204" s="14" t="inlineStr">
        <is>
          <t>PS 2782 de 2026 - ESE 2 - HUHMP Neiva</t>
        </is>
      </c>
      <c r="C204" s="14" t="inlineStr">
        <is>
          <t>Habilitacion y calidad (Resolucion 3100 de 2019)</t>
        </is>
      </c>
      <c r="D204" s="14" t="inlineStr">
        <is>
          <t>Profesional</t>
        </is>
      </c>
      <c r="E204" s="14" t="inlineStr">
        <is>
          <t>C068</t>
        </is>
      </c>
      <c r="F204" s="14" t="inlineStr">
        <is>
          <t>Caso 068</t>
        </is>
      </c>
      <c r="G204" s="14" t="inlineStr">
        <is>
          <t>Se revisa la habilitación del servicio de telemedicina del hospital.</t>
        </is>
      </c>
      <c r="H204" s="14" t="inlineStr">
        <is>
          <t>En la atención por telemedicina la historia clínica:</t>
        </is>
      </c>
      <c r="I204" s="14" t="inlineStr">
        <is>
          <t>Se registra igual que en la atención presencial, con los datos de la modalidad</t>
        </is>
      </c>
      <c r="J204" s="14" t="inlineStr">
        <is>
          <t>No se abre</t>
        </is>
      </c>
      <c r="K204" s="14" t="inlineStr">
        <is>
          <t>Se reemplaza por la grabación</t>
        </is>
      </c>
      <c r="L204" s="14" t="inlineStr">
        <is>
          <t>a</t>
        </is>
      </c>
      <c r="M204" s="14" t="inlineStr">
        <is>
          <t>La atención por telemedicina se registra en la historia clínica, indicando la modalidad empleada.</t>
        </is>
      </c>
      <c r="N204" s="14" t="inlineStr">
        <is>
          <t>b) y c) incumplen la obligatoriedad y las características del registro clínico.</t>
        </is>
      </c>
      <c r="O204" s="14" t="inlineStr">
        <is>
          <t>Resolución 1995 de 1999</t>
        </is>
      </c>
      <c r="P204" s="14" t="inlineStr">
        <is>
          <t>SI</t>
        </is>
      </c>
      <c r="Q204" s="11" t="inlineStr">
        <is>
          <t>Basica</t>
        </is>
      </c>
      <c r="R204" s="11" t="inlineStr">
        <is>
          <t>repaso</t>
        </is>
      </c>
    </row>
    <row r="205" ht="23.25" customHeight="1" s="12">
      <c r="A205" s="14" t="inlineStr">
        <is>
          <t>F0204</t>
        </is>
      </c>
      <c r="B205" s="14" t="inlineStr">
        <is>
          <t>PS 2782 de 2026 - ESE 2 - HUHMP Neiva</t>
        </is>
      </c>
      <c r="C205" s="14" t="inlineStr">
        <is>
          <t>Habilitacion y calidad (Resolucion 3100 de 2019)</t>
        </is>
      </c>
      <c r="D205" s="14" t="inlineStr">
        <is>
          <t>Profesional</t>
        </is>
      </c>
      <c r="E205" s="14" t="inlineStr">
        <is>
          <t>C068</t>
        </is>
      </c>
      <c r="F205" s="14" t="inlineStr">
        <is>
          <t>Caso 068</t>
        </is>
      </c>
      <c r="G205" s="14" t="inlineStr">
        <is>
          <t>Se revisa la habilitación del servicio de telemedicina del hospital.</t>
        </is>
      </c>
      <c r="H205" s="14" t="inlineStr">
        <is>
          <t>La responsabilidad profesional en telemedicina:</t>
        </is>
      </c>
      <c r="I205" s="14" t="inlineStr">
        <is>
          <t>Se mantiene íntegra para el profesional tratante</t>
        </is>
      </c>
      <c r="J205" s="14" t="inlineStr">
        <is>
          <t>Se traslada al operador tecnológico</t>
        </is>
      </c>
      <c r="K205" s="14" t="inlineStr">
        <is>
          <t>Desaparece por ser atención remota</t>
        </is>
      </c>
      <c r="L205" s="14" t="inlineStr">
        <is>
          <t>a</t>
        </is>
      </c>
      <c r="M205" s="14" t="inlineStr">
        <is>
          <t>La modalidad no altera la responsabilidad del profesional tratante.</t>
        </is>
      </c>
      <c r="N205" s="14" t="inlineStr">
        <is>
          <t>b) y c) desplazan o eliminan una responsabilidad que permanece.</t>
        </is>
      </c>
      <c r="O205" s="14" t="inlineStr">
        <is>
          <t>Ley 1419 de 2010; Ley 23 de 1981</t>
        </is>
      </c>
      <c r="P205" s="14" t="inlineStr">
        <is>
          <t>SI</t>
        </is>
      </c>
      <c r="Q205" s="11" t="inlineStr">
        <is>
          <t>Basica</t>
        </is>
      </c>
      <c r="R205" s="11" t="inlineStr">
        <is>
          <t>repaso</t>
        </is>
      </c>
    </row>
    <row r="206" ht="23.25" customHeight="1" s="12">
      <c r="A206" s="14" t="inlineStr">
        <is>
          <t>F0205</t>
        </is>
      </c>
      <c r="B206" s="14" t="inlineStr">
        <is>
          <t>PS 2782 de 2026 - ESE 2 - HUHMP Neiva</t>
        </is>
      </c>
      <c r="C206" s="14" t="inlineStr">
        <is>
          <t>Habilitacion y calidad (Resolucion 3100 de 2019)</t>
        </is>
      </c>
      <c r="D206" s="14" t="inlineStr">
        <is>
          <t>Tecnico</t>
        </is>
      </c>
      <c r="E206" s="14" t="inlineStr">
        <is>
          <t>C069</t>
        </is>
      </c>
      <c r="F206" s="14" t="inlineStr">
        <is>
          <t>Caso 069</t>
        </is>
      </c>
      <c r="G206" s="14" t="inlineStr">
        <is>
          <t>El técnico de calidad prepara el reporte de indicadores del semestre.</t>
        </is>
      </c>
      <c r="H206" s="14" t="inlineStr">
        <is>
          <t>La oportunidad en consulta externa se mide como:</t>
        </is>
      </c>
      <c r="I206" s="14" t="inlineStr">
        <is>
          <t>Días transcurridos entre la solicitud y la asignación de la cita</t>
        </is>
      </c>
      <c r="J206" s="14" t="inlineStr">
        <is>
          <t>Número de consultas realizadas</t>
        </is>
      </c>
      <c r="K206" s="14" t="inlineStr">
        <is>
          <t>Porcentaje de citas canceladas</t>
        </is>
      </c>
      <c r="L206" s="14" t="inlineStr">
        <is>
          <t>a</t>
        </is>
      </c>
      <c r="M206" s="14" t="inlineStr">
        <is>
          <t>El indicador mide los días entre la solicitud y la asignación efectiva de la cita.</t>
        </is>
      </c>
      <c r="N206" s="14" t="inlineStr">
        <is>
          <t>b) mide producción y c) mide cancelación, no oportunidad.</t>
        </is>
      </c>
      <c r="O206" s="14" t="inlineStr">
        <is>
          <t>Resolución 256 de 2016</t>
        </is>
      </c>
      <c r="P206" s="14" t="inlineStr">
        <is>
          <t>SI</t>
        </is>
      </c>
      <c r="Q206" s="11" t="inlineStr">
        <is>
          <t>Basica</t>
        </is>
      </c>
      <c r="R206" s="11" t="inlineStr">
        <is>
          <t>repaso</t>
        </is>
      </c>
    </row>
    <row r="207" ht="23.25" customHeight="1" s="12">
      <c r="A207" s="14" t="inlineStr">
        <is>
          <t>F0206</t>
        </is>
      </c>
      <c r="B207" s="14" t="inlineStr">
        <is>
          <t>PS 2782 de 2026 - ESE 2 - HUHMP Neiva</t>
        </is>
      </c>
      <c r="C207" s="14" t="inlineStr">
        <is>
          <t>Habilitacion y calidad (Resolucion 3100 de 2019)</t>
        </is>
      </c>
      <c r="D207" s="14" t="inlineStr">
        <is>
          <t>Tecnico</t>
        </is>
      </c>
      <c r="E207" s="14" t="inlineStr">
        <is>
          <t>C069</t>
        </is>
      </c>
      <c r="F207" s="14" t="inlineStr">
        <is>
          <t>Caso 069</t>
        </is>
      </c>
      <c r="G207" s="14" t="inlineStr">
        <is>
          <t>El técnico de calidad prepara el reporte de indicadores del semestre.</t>
        </is>
      </c>
      <c r="H207" s="14" t="inlineStr">
        <is>
          <t>La tasa de reingreso hospitalario indica:</t>
        </is>
      </c>
      <c r="I207" s="14" t="inlineStr">
        <is>
          <t>Posibles fallas en la calidad o en la continuidad del cuidado</t>
        </is>
      </c>
      <c r="J207" s="14" t="inlineStr">
        <is>
          <t>Alta demanda del servicio</t>
        </is>
      </c>
      <c r="K207" s="14" t="inlineStr">
        <is>
          <t>Buena adherencia del paciente</t>
        </is>
      </c>
      <c r="L207" s="14" t="inlineStr">
        <is>
          <t>a</t>
        </is>
      </c>
      <c r="M207" s="14" t="inlineStr">
        <is>
          <t>El reingreso en un período corto alerta sobre calidad de la atención o de la continuidad del cuidado.</t>
        </is>
      </c>
      <c r="N207" s="14" t="inlineStr">
        <is>
          <t>b) y c) leen como positivo un indicador de alerta.</t>
        </is>
      </c>
      <c r="O207" s="14" t="inlineStr">
        <is>
          <t>Resolución 256 de 2016</t>
        </is>
      </c>
      <c r="P207" s="14" t="inlineStr">
        <is>
          <t>SI</t>
        </is>
      </c>
      <c r="Q207" s="11" t="inlineStr">
        <is>
          <t>Basica</t>
        </is>
      </c>
      <c r="R207" s="11" t="inlineStr">
        <is>
          <t>repaso</t>
        </is>
      </c>
    </row>
    <row r="208" ht="23.25" customHeight="1" s="12">
      <c r="A208" s="14" t="inlineStr">
        <is>
          <t>F0207</t>
        </is>
      </c>
      <c r="B208" s="14" t="inlineStr">
        <is>
          <t>PS 2782 de 2026 - ESE 2 - HUHMP Neiva</t>
        </is>
      </c>
      <c r="C208" s="14" t="inlineStr">
        <is>
          <t>Habilitacion y calidad (Resolucion 3100 de 2019)</t>
        </is>
      </c>
      <c r="D208" s="14" t="inlineStr">
        <is>
          <t>Tecnico</t>
        </is>
      </c>
      <c r="E208" s="14" t="inlineStr">
        <is>
          <t>C069</t>
        </is>
      </c>
      <c r="F208" s="14" t="inlineStr">
        <is>
          <t>Caso 069</t>
        </is>
      </c>
      <c r="G208" s="14" t="inlineStr">
        <is>
          <t>El técnico de calidad prepara el reporte de indicadores del semestre.</t>
        </is>
      </c>
      <c r="H208" s="14" t="inlineStr">
        <is>
          <t>El reporte de indicadores debe ser:</t>
        </is>
      </c>
      <c r="I208" s="14" t="inlineStr">
        <is>
          <t>Oportuno, completo y consistente con las fuentes institucionales</t>
        </is>
      </c>
      <c r="J208" s="14" t="inlineStr">
        <is>
          <t>Aproximado si no hay tiempo</t>
        </is>
      </c>
      <c r="K208" s="14" t="inlineStr">
        <is>
          <t>Opcional si no hay hallazgos</t>
        </is>
      </c>
      <c r="L208" s="14" t="inlineStr">
        <is>
          <t>a</t>
        </is>
      </c>
      <c r="M208" s="14" t="inlineStr">
        <is>
          <t>El reporte debe ser oportuno y consistente con las fuentes; su omisión o inexactitud tiene consecuencias.</t>
        </is>
      </c>
      <c r="N208" s="14" t="inlineStr">
        <is>
          <t>b) y c) comprometen la veracidad y el cumplimiento del deber de reporte.</t>
        </is>
      </c>
      <c r="O208" s="14" t="inlineStr">
        <is>
          <t>Resolución 256 de 2016</t>
        </is>
      </c>
      <c r="P208" s="14" t="inlineStr">
        <is>
          <t>SI</t>
        </is>
      </c>
      <c r="Q208" s="11" t="inlineStr">
        <is>
          <t>Basica</t>
        </is>
      </c>
      <c r="R208" s="11" t="inlineStr">
        <is>
          <t>repaso</t>
        </is>
      </c>
    </row>
    <row r="209" ht="23.25" customHeight="1" s="12">
      <c r="A209" s="14" t="inlineStr">
        <is>
          <t>F0208</t>
        </is>
      </c>
      <c r="B209" s="14" t="inlineStr">
        <is>
          <t>PS 2782 de 2026 - ESE 2 - HUHMP Neiva</t>
        </is>
      </c>
      <c r="C209" s="14" t="inlineStr">
        <is>
          <t>Seguridad del paciente</t>
        </is>
      </c>
      <c r="D209" s="14" t="inlineStr">
        <is>
          <t>Profesional</t>
        </is>
      </c>
      <c r="E209" s="14" t="inlineStr">
        <is>
          <t>C070</t>
        </is>
      </c>
      <c r="F209" s="14" t="inlineStr">
        <is>
          <t>Caso 070</t>
        </is>
      </c>
      <c r="G209" s="14" t="inlineStr">
        <is>
          <t>El comité analiza una caída de paciente durante la hospitalización.</t>
        </is>
      </c>
      <c r="H209" s="14" t="inlineStr">
        <is>
          <t>La primera acción tras la caída es:</t>
        </is>
      </c>
      <c r="I209" s="14" t="inlineStr">
        <is>
          <t>Valorar al paciente, brindar atención y registrar el hecho en la historia clínica</t>
        </is>
      </c>
      <c r="J209" s="14" t="inlineStr">
        <is>
          <t>Reportar al comité antes de valorar</t>
        </is>
      </c>
      <c r="K209" s="14" t="inlineStr">
        <is>
          <t>Informar a la familia y esperar</t>
        </is>
      </c>
      <c r="L209" s="14" t="inlineStr">
        <is>
          <t>a</t>
        </is>
      </c>
      <c r="M209" s="14" t="inlineStr">
        <is>
          <t>La prioridad es la atención inmediata del paciente y el registro veraz del hecho.</t>
        </is>
      </c>
      <c r="N209" s="14" t="inlineStr">
        <is>
          <t>b) y c) posponen la atención clínica frente a un trámite o a una comunicación.</t>
        </is>
      </c>
      <c r="O209" s="14" t="inlineStr">
        <is>
          <t>Política de Seguridad del Paciente, Minsalud</t>
        </is>
      </c>
      <c r="P209" s="14" t="inlineStr">
        <is>
          <t>SI</t>
        </is>
      </c>
      <c r="Q209" s="11" t="inlineStr">
        <is>
          <t>Basica</t>
        </is>
      </c>
      <c r="R209" s="11" t="inlineStr">
        <is>
          <t>repaso</t>
        </is>
      </c>
    </row>
    <row r="210" ht="23.25" customHeight="1" s="12">
      <c r="A210" s="14" t="inlineStr">
        <is>
          <t>F0209</t>
        </is>
      </c>
      <c r="B210" s="14" t="inlineStr">
        <is>
          <t>PS 2782 de 2026 - ESE 2 - HUHMP Neiva</t>
        </is>
      </c>
      <c r="C210" s="14" t="inlineStr">
        <is>
          <t>Seguridad del paciente</t>
        </is>
      </c>
      <c r="D210" s="14" t="inlineStr">
        <is>
          <t>Profesional</t>
        </is>
      </c>
      <c r="E210" s="14" t="inlineStr">
        <is>
          <t>C070</t>
        </is>
      </c>
      <c r="F210" s="14" t="inlineStr">
        <is>
          <t>Caso 070</t>
        </is>
      </c>
      <c r="G210" s="14" t="inlineStr">
        <is>
          <t>El comité analiza una caída de paciente durante la hospitalización.</t>
        </is>
      </c>
      <c r="H210" s="14" t="inlineStr">
        <is>
          <t>La prevención de caídas exige:</t>
        </is>
      </c>
      <c r="I210" s="14" t="inlineStr">
        <is>
          <t>Valorar el riesgo al ingreso y reevaluarlo según cambios del paciente</t>
        </is>
      </c>
      <c r="J210" s="14" t="inlineStr">
        <is>
          <t>Colocar barandas en todas las camas y nada más</t>
        </is>
      </c>
      <c r="K210" s="14" t="inlineStr">
        <is>
          <t>Restringir la movilidad de todos los pacientes</t>
        </is>
      </c>
      <c r="L210" s="14" t="inlineStr">
        <is>
          <t>a</t>
        </is>
      </c>
      <c r="M210" s="14" t="inlineStr">
        <is>
          <t>La barrera principal es la valoración del riesgo al ingreso y su reevaluación periódica.</t>
        </is>
      </c>
      <c r="N210" s="14" t="inlineStr">
        <is>
          <t>b) aplica una sola medida aislada y c) implica una restricción injustificada.</t>
        </is>
      </c>
      <c r="O210" s="14" t="inlineStr">
        <is>
          <t>Paquetes instruccionales, Minsalud</t>
        </is>
      </c>
      <c r="P210" s="14" t="inlineStr">
        <is>
          <t>SI</t>
        </is>
      </c>
      <c r="Q210" s="11" t="inlineStr">
        <is>
          <t>Basica</t>
        </is>
      </c>
      <c r="R210" s="11" t="inlineStr">
        <is>
          <t>repaso</t>
        </is>
      </c>
    </row>
    <row r="211" ht="23.25" customHeight="1" s="12">
      <c r="A211" s="14" t="inlineStr">
        <is>
          <t>F0210</t>
        </is>
      </c>
      <c r="B211" s="14" t="inlineStr">
        <is>
          <t>PS 2782 de 2026 - ESE 2 - HUHMP Neiva</t>
        </is>
      </c>
      <c r="C211" s="14" t="inlineStr">
        <is>
          <t>Seguridad del paciente</t>
        </is>
      </c>
      <c r="D211" s="14" t="inlineStr">
        <is>
          <t>Profesional</t>
        </is>
      </c>
      <c r="E211" s="14" t="inlineStr">
        <is>
          <t>C070</t>
        </is>
      </c>
      <c r="F211" s="14" t="inlineStr">
        <is>
          <t>Caso 070</t>
        </is>
      </c>
      <c r="G211" s="14" t="inlineStr">
        <is>
          <t>El comité analiza una caída de paciente durante la hospitalización.</t>
        </is>
      </c>
      <c r="H211" s="14" t="inlineStr">
        <is>
          <t>La contención física de un paciente:</t>
        </is>
      </c>
      <c r="I211" s="14" t="inlineStr">
        <is>
          <t>Es excepcional, requiere indicación médica, registro y reevaluación periódica</t>
        </is>
      </c>
      <c r="J211" s="14" t="inlineStr">
        <is>
          <t>Puede aplicarla cualquier miembro del equipo</t>
        </is>
      </c>
      <c r="K211" s="14" t="inlineStr">
        <is>
          <t>Se mantiene hasta el alta</t>
        </is>
      </c>
      <c r="L211" s="14" t="inlineStr">
        <is>
          <t>a</t>
        </is>
      </c>
      <c r="M211" s="14" t="inlineStr">
        <is>
          <t>La contención es excepcional, requiere indicación, registro y reevaluación periódica.</t>
        </is>
      </c>
      <c r="N211" s="14" t="inlineStr">
        <is>
          <t>b) y c) desconocen la indicación profesional y la temporalidad de la medida.</t>
        </is>
      </c>
      <c r="O211" s="14" t="inlineStr">
        <is>
          <t>Lineamientos de seguridad del paciente; Ley 1616 de 2013</t>
        </is>
      </c>
      <c r="P211" s="14" t="inlineStr">
        <is>
          <t>SI</t>
        </is>
      </c>
      <c r="Q211" s="11" t="inlineStr">
        <is>
          <t>Basica</t>
        </is>
      </c>
      <c r="R211" s="11" t="inlineStr">
        <is>
          <t>repaso</t>
        </is>
      </c>
    </row>
    <row r="212" ht="23.25" customHeight="1" s="12">
      <c r="A212" s="14" t="inlineStr">
        <is>
          <t>F0211</t>
        </is>
      </c>
      <c r="B212" s="14" t="inlineStr">
        <is>
          <t>PS 2782 de 2026 - ESE 2 - HUHMP Neiva</t>
        </is>
      </c>
      <c r="C212" s="14" t="inlineStr">
        <is>
          <t>Seguridad del paciente</t>
        </is>
      </c>
      <c r="D212" s="14" t="inlineStr">
        <is>
          <t>Profesional</t>
        </is>
      </c>
      <c r="E212" s="14" t="inlineStr">
        <is>
          <t>C071</t>
        </is>
      </c>
      <c r="F212" s="14" t="inlineStr">
        <is>
          <t>Caso 071</t>
        </is>
      </c>
      <c r="G212" s="14" t="inlineStr">
        <is>
          <t>En el servicio farmacéutico se detectan errores de transcripción en la prescripción.</t>
        </is>
      </c>
      <c r="H212" s="14" t="inlineStr">
        <is>
          <t>La prescripción debe ser:</t>
        </is>
      </c>
      <c r="I212" s="14" t="inlineStr">
        <is>
          <t>Legible, completa y con denominación común internacional del medicamento</t>
        </is>
      </c>
      <c r="J212" s="14" t="inlineStr">
        <is>
          <t>Con nombre comercial para evitar confusión</t>
        </is>
      </c>
      <c r="K212" s="14" t="inlineStr">
        <is>
          <t>Verbal cuando hay urgencia administrativa</t>
        </is>
      </c>
      <c r="L212" s="14" t="inlineStr">
        <is>
          <t>a</t>
        </is>
      </c>
      <c r="M212" s="14" t="inlineStr">
        <is>
          <t>La prescripción debe ser legible, completa y en denominación común internacional.</t>
        </is>
      </c>
      <c r="N212" s="14" t="inlineStr">
        <is>
          <t>b) favorece el sesgo comercial y c) elimina el soporte escrito exigido.</t>
        </is>
      </c>
      <c r="O212" s="14" t="inlineStr">
        <is>
          <t>Resolución 1403 de 2007; Decreto 780 de 2016</t>
        </is>
      </c>
      <c r="P212" s="14" t="inlineStr">
        <is>
          <t>SI</t>
        </is>
      </c>
      <c r="Q212" s="11" t="inlineStr">
        <is>
          <t>Basica</t>
        </is>
      </c>
      <c r="R212" s="11" t="inlineStr">
        <is>
          <t>repaso</t>
        </is>
      </c>
    </row>
    <row r="213" ht="23.25" customHeight="1" s="12">
      <c r="A213" s="14" t="inlineStr">
        <is>
          <t>F0212</t>
        </is>
      </c>
      <c r="B213" s="14" t="inlineStr">
        <is>
          <t>PS 2782 de 2026 - ESE 2 - HUHMP Neiva</t>
        </is>
      </c>
      <c r="C213" s="14" t="inlineStr">
        <is>
          <t>Seguridad del paciente</t>
        </is>
      </c>
      <c r="D213" s="14" t="inlineStr">
        <is>
          <t>Profesional</t>
        </is>
      </c>
      <c r="E213" s="14" t="inlineStr">
        <is>
          <t>C071</t>
        </is>
      </c>
      <c r="F213" s="14" t="inlineStr">
        <is>
          <t>Caso 071</t>
        </is>
      </c>
      <c r="G213" s="14" t="inlineStr">
        <is>
          <t>En el servicio farmacéutico se detectan errores de transcripción en la prescripción.</t>
        </is>
      </c>
      <c r="H213" s="14" t="inlineStr">
        <is>
          <t>Los medicamentos de alto riesgo requieren:</t>
        </is>
      </c>
      <c r="I213" s="14" t="inlineStr">
        <is>
          <t>Barreras específicas como doble verificación y almacenamiento diferenciado</t>
        </is>
      </c>
      <c r="J213" s="14" t="inlineStr">
        <is>
          <t>El mismo manejo que los demás</t>
        </is>
      </c>
      <c r="K213" s="14" t="inlineStr">
        <is>
          <t>Entrega directa al paciente sin control</t>
        </is>
      </c>
      <c r="L213" s="14" t="inlineStr">
        <is>
          <t>a</t>
        </is>
      </c>
      <c r="M213" s="14" t="inlineStr">
        <is>
          <t>Los medicamentos de alto riesgo exigen barreras específicas, como doble chequeo y almacenamiento diferenciado.</t>
        </is>
      </c>
      <c r="N213" s="14" t="inlineStr">
        <is>
          <t>b) elimina la barrera y c) suprime el control del proceso.</t>
        </is>
      </c>
      <c r="O213" s="14" t="inlineStr">
        <is>
          <t>Paquetes instruccionales, Minsalud</t>
        </is>
      </c>
      <c r="P213" s="14" t="inlineStr">
        <is>
          <t>SI</t>
        </is>
      </c>
      <c r="Q213" s="11" t="inlineStr">
        <is>
          <t>Basica</t>
        </is>
      </c>
      <c r="R213" s="11" t="inlineStr">
        <is>
          <t>repaso</t>
        </is>
      </c>
    </row>
    <row r="214" ht="23.25" customHeight="1" s="12">
      <c r="A214" s="14" t="inlineStr">
        <is>
          <t>F0213</t>
        </is>
      </c>
      <c r="B214" s="14" t="inlineStr">
        <is>
          <t>PS 2782 de 2026 - ESE 2 - HUHMP Neiva</t>
        </is>
      </c>
      <c r="C214" s="14" t="inlineStr">
        <is>
          <t>Seguridad del paciente</t>
        </is>
      </c>
      <c r="D214" s="14" t="inlineStr">
        <is>
          <t>Profesional</t>
        </is>
      </c>
      <c r="E214" s="14" t="inlineStr">
        <is>
          <t>C071</t>
        </is>
      </c>
      <c r="F214" s="14" t="inlineStr">
        <is>
          <t>Caso 071</t>
        </is>
      </c>
      <c r="G214" s="14" t="inlineStr">
        <is>
          <t>En el servicio farmacéutico se detectan errores de transcripción en la prescripción.</t>
        </is>
      </c>
      <c r="H214" s="14" t="inlineStr">
        <is>
          <t>La conciliación medicamentosa busca:</t>
        </is>
      </c>
      <c r="I214" s="14" t="inlineStr">
        <is>
          <t>Evitar duplicidades, omisiones e interacciones al cambiar el nivel de atención</t>
        </is>
      </c>
      <c r="J214" s="14" t="inlineStr">
        <is>
          <t>Reducir el costo de la terapia</t>
        </is>
      </c>
      <c r="K214" s="14" t="inlineStr">
        <is>
          <t>Cambiar la marca del medicamento</t>
        </is>
      </c>
      <c r="L214" s="14" t="inlineStr">
        <is>
          <t>a</t>
        </is>
      </c>
      <c r="M214" s="14" t="inlineStr">
        <is>
          <t>La conciliación compara la medicación previa y la actual para evitar omisiones, duplicidades e interacciones.</t>
        </is>
      </c>
      <c r="N214" s="14" t="inlineStr">
        <is>
          <t>b) y c) confunden una barrera de seguridad con una decisión económica o comercial.</t>
        </is>
      </c>
      <c r="O214" s="14" t="inlineStr">
        <is>
          <t>Paquetes instruccionales, Minsalud</t>
        </is>
      </c>
      <c r="P214" s="14" t="inlineStr">
        <is>
          <t>SI</t>
        </is>
      </c>
      <c r="Q214" s="11" t="inlineStr">
        <is>
          <t>Basica</t>
        </is>
      </c>
      <c r="R214" s="11" t="inlineStr">
        <is>
          <t>repaso</t>
        </is>
      </c>
    </row>
    <row r="215" ht="23.25" customHeight="1" s="12">
      <c r="A215" s="14" t="inlineStr">
        <is>
          <t>F0214</t>
        </is>
      </c>
      <c r="B215" s="14" t="inlineStr">
        <is>
          <t>PS 2782 de 2026 - ESE 2 - HUHMP Neiva</t>
        </is>
      </c>
      <c r="C215" s="14" t="inlineStr">
        <is>
          <t>Seguridad del paciente</t>
        </is>
      </c>
      <c r="D215" s="14" t="inlineStr">
        <is>
          <t>Tecnico</t>
        </is>
      </c>
      <c r="E215" s="14" t="inlineStr">
        <is>
          <t>C072</t>
        </is>
      </c>
      <c r="F215" s="14" t="inlineStr">
        <is>
          <t>Caso 072</t>
        </is>
      </c>
      <c r="G215" s="14" t="inlineStr">
        <is>
          <t>Un auxiliar debe preparar el material quirúrgico y el equipo pregunta por los controles.</t>
        </is>
      </c>
      <c r="H215" s="14" t="inlineStr">
        <is>
          <t>La esterilización debe verificarse con:</t>
        </is>
      </c>
      <c r="I215" s="14" t="inlineStr">
        <is>
          <t>Indicadores físicos, químicos y biológicos según el proceso</t>
        </is>
      </c>
      <c r="J215" s="14" t="inlineStr">
        <is>
          <t>Solo la apariencia del paquete</t>
        </is>
      </c>
      <c r="K215" s="14" t="inlineStr">
        <is>
          <t>Solo el tiempo de ciclo</t>
        </is>
      </c>
      <c r="L215" s="14" t="inlineStr">
        <is>
          <t>a</t>
        </is>
      </c>
      <c r="M215" s="14" t="inlineStr">
        <is>
          <t>El proceso se valida con indicadores físicos, químicos y biológicos.</t>
        </is>
      </c>
      <c r="N215" s="14" t="inlineStr">
        <is>
          <t>b) y c) toman señales parciales por validación del proceso.</t>
        </is>
      </c>
      <c r="O215" s="14" t="inlineStr">
        <is>
          <t>Resolución 3100 de 2019; manual de esterilización</t>
        </is>
      </c>
      <c r="P215" s="14" t="inlineStr">
        <is>
          <t>SI</t>
        </is>
      </c>
      <c r="Q215" s="11" t="inlineStr">
        <is>
          <t>Basica</t>
        </is>
      </c>
      <c r="R215" s="11" t="inlineStr">
        <is>
          <t>repaso</t>
        </is>
      </c>
    </row>
    <row r="216" ht="23.25" customHeight="1" s="12">
      <c r="A216" s="14" t="inlineStr">
        <is>
          <t>F0215</t>
        </is>
      </c>
      <c r="B216" s="14" t="inlineStr">
        <is>
          <t>PS 2782 de 2026 - ESE 2 - HUHMP Neiva</t>
        </is>
      </c>
      <c r="C216" s="14" t="inlineStr">
        <is>
          <t>Seguridad del paciente</t>
        </is>
      </c>
      <c r="D216" s="14" t="inlineStr">
        <is>
          <t>Tecnico</t>
        </is>
      </c>
      <c r="E216" s="14" t="inlineStr">
        <is>
          <t>C072</t>
        </is>
      </c>
      <c r="F216" s="14" t="inlineStr">
        <is>
          <t>Caso 072</t>
        </is>
      </c>
      <c r="G216" s="14" t="inlineStr">
        <is>
          <t>Un auxiliar debe preparar el material quirúrgico y el equipo pregunta por los controles.</t>
        </is>
      </c>
      <c r="H216" s="14" t="inlineStr">
        <is>
          <t>Un paquete estéril con empaque húmedo o roto:</t>
        </is>
      </c>
      <c r="I216" s="14" t="inlineStr">
        <is>
          <t>No debe usarse y debe reprocesarse</t>
        </is>
      </c>
      <c r="J216" s="14" t="inlineStr">
        <is>
          <t>Puede usarse si el indicador viró</t>
        </is>
      </c>
      <c r="K216" s="14" t="inlineStr">
        <is>
          <t>Puede usarse en procedimientos menores</t>
        </is>
      </c>
      <c r="L216" s="14" t="inlineStr">
        <is>
          <t>a</t>
        </is>
      </c>
      <c r="M216" s="14" t="inlineStr">
        <is>
          <t>La integridad del empaque es condición de esterilidad: si se compromete, el material se reprocesa.</t>
        </is>
      </c>
      <c r="N216" s="14" t="inlineStr">
        <is>
          <t>b) y c) mantienen en uso material con esterilidad comprometida.</t>
        </is>
      </c>
      <c r="O216" s="14" t="inlineStr">
        <is>
          <t>Manual de esterilización, Minsalud</t>
        </is>
      </c>
      <c r="P216" s="14" t="inlineStr">
        <is>
          <t>SI</t>
        </is>
      </c>
      <c r="Q216" s="11" t="inlineStr">
        <is>
          <t>Basica</t>
        </is>
      </c>
      <c r="R216" s="11" t="inlineStr">
        <is>
          <t>repaso</t>
        </is>
      </c>
    </row>
    <row r="217" ht="23.25" customHeight="1" s="12">
      <c r="A217" s="14" t="inlineStr">
        <is>
          <t>F0216</t>
        </is>
      </c>
      <c r="B217" s="14" t="inlineStr">
        <is>
          <t>PS 2782 de 2026 - ESE 2 - HUHMP Neiva</t>
        </is>
      </c>
      <c r="C217" s="14" t="inlineStr">
        <is>
          <t>Seguridad del paciente</t>
        </is>
      </c>
      <c r="D217" s="14" t="inlineStr">
        <is>
          <t>Tecnico</t>
        </is>
      </c>
      <c r="E217" s="14" t="inlineStr">
        <is>
          <t>C072</t>
        </is>
      </c>
      <c r="F217" s="14" t="inlineStr">
        <is>
          <t>Caso 072</t>
        </is>
      </c>
      <c r="G217" s="14" t="inlineStr">
        <is>
          <t>Un auxiliar debe preparar el material quirúrgico y el equipo pregunta por los controles.</t>
        </is>
      </c>
      <c r="H217" s="14" t="inlineStr">
        <is>
          <t>El aislamiento de un paciente con germen multirresistente exige:</t>
        </is>
      </c>
      <c r="I217" s="14" t="inlineStr">
        <is>
          <t>Precauciones adicionales según el mecanismo de transmisión</t>
        </is>
      </c>
      <c r="J217" s="14" t="inlineStr">
        <is>
          <t>Solo lavado de manos</t>
        </is>
      </c>
      <c r="K217" s="14" t="inlineStr">
        <is>
          <t>Traslado inmediato a otra institución</t>
        </is>
      </c>
      <c r="L217" s="14" t="inlineStr">
        <is>
          <t>a</t>
        </is>
      </c>
      <c r="M217" s="14" t="inlineStr">
        <is>
          <t>Se aplican precauciones adicionales según el mecanismo de transmisión, sumadas a las estándar.</t>
        </is>
      </c>
      <c r="N217" s="14" t="inlineStr">
        <is>
          <t>b) es insuficiente y c) traslada el riesgo sin gestionarlo.</t>
        </is>
      </c>
      <c r="O217" s="14" t="inlineStr">
        <is>
          <t>Protocolos de prevención de IAAS</t>
        </is>
      </c>
      <c r="P217" s="14" t="inlineStr">
        <is>
          <t>SI</t>
        </is>
      </c>
      <c r="Q217" s="11" t="inlineStr">
        <is>
          <t>Basica</t>
        </is>
      </c>
      <c r="R217" s="11" t="inlineStr">
        <is>
          <t>repaso</t>
        </is>
      </c>
    </row>
    <row r="218" ht="23.25" customHeight="1" s="12">
      <c r="A218" s="14" t="inlineStr">
        <is>
          <t>F0217</t>
        </is>
      </c>
      <c r="B218" s="14" t="inlineStr">
        <is>
          <t>PS 2782 de 2026 - ESE 2 - HUHMP Neiva</t>
        </is>
      </c>
      <c r="C218" s="14" t="inlineStr">
        <is>
          <t>Seguridad del paciente</t>
        </is>
      </c>
      <c r="D218" s="14" t="inlineStr">
        <is>
          <t>Profesional</t>
        </is>
      </c>
      <c r="E218" s="14" t="inlineStr">
        <is>
          <t>C073</t>
        </is>
      </c>
      <c r="F218" s="14" t="inlineStr">
        <is>
          <t>Caso 073</t>
        </is>
      </c>
      <c r="G218" s="14" t="inlineStr">
        <is>
          <t>La institución revisa su programa de seguridad tras un evento centinela.</t>
        </is>
      </c>
      <c r="H218" s="14" t="inlineStr">
        <is>
          <t>Un evento centinela se caracteriza por:</t>
        </is>
      </c>
      <c r="I218" s="14" t="inlineStr">
        <is>
          <t>Producir daño grave o muerte y exigir investigación inmediata</t>
        </is>
      </c>
      <c r="J218" s="14" t="inlineStr">
        <is>
          <t>Ser un error sin consecuencias</t>
        </is>
      </c>
      <c r="K218" s="14" t="inlineStr">
        <is>
          <t>Ser una complicación esperada</t>
        </is>
      </c>
      <c r="L218" s="14" t="inlineStr">
        <is>
          <t>a</t>
        </is>
      </c>
      <c r="M218" s="14" t="inlineStr">
        <is>
          <t>El evento centinela produce daño grave o muerte y obliga a investigación inmediata.</t>
        </is>
      </c>
      <c r="N218" s="14" t="inlineStr">
        <is>
          <t>b) describe un incidente y c) una complicación propia de la enfermedad.</t>
        </is>
      </c>
      <c r="O218" s="14" t="inlineStr">
        <is>
          <t>Política de Seguridad del Paciente, Minsalud</t>
        </is>
      </c>
      <c r="P218" s="14" t="inlineStr">
        <is>
          <t>SI</t>
        </is>
      </c>
      <c r="Q218" s="11" t="inlineStr">
        <is>
          <t>Basica</t>
        </is>
      </c>
      <c r="R218" s="11" t="inlineStr">
        <is>
          <t>repaso</t>
        </is>
      </c>
    </row>
    <row r="219" ht="23.25" customHeight="1" s="12">
      <c r="A219" s="14" t="inlineStr">
        <is>
          <t>F0218</t>
        </is>
      </c>
      <c r="B219" s="14" t="inlineStr">
        <is>
          <t>PS 2782 de 2026 - ESE 2 - HUHMP Neiva</t>
        </is>
      </c>
      <c r="C219" s="14" t="inlineStr">
        <is>
          <t>Seguridad del paciente</t>
        </is>
      </c>
      <c r="D219" s="14" t="inlineStr">
        <is>
          <t>Profesional</t>
        </is>
      </c>
      <c r="E219" s="14" t="inlineStr">
        <is>
          <t>C073</t>
        </is>
      </c>
      <c r="F219" s="14" t="inlineStr">
        <is>
          <t>Caso 073</t>
        </is>
      </c>
      <c r="G219" s="14" t="inlineStr">
        <is>
          <t>La institución revisa su programa de seguridad tras un evento centinela.</t>
        </is>
      </c>
      <c r="H219" s="14" t="inlineStr">
        <is>
          <t>La cultura justa en seguridad del paciente implica:</t>
        </is>
      </c>
      <c r="I219" s="14" t="inlineStr">
        <is>
          <t>Distinguir el error humano del comportamiento temerario, sin castigar el reporte</t>
        </is>
      </c>
      <c r="J219" s="14" t="inlineStr">
        <is>
          <t>Sancionar todo error</t>
        </is>
      </c>
      <c r="K219" s="14" t="inlineStr">
        <is>
          <t>No sancionar ninguna conducta</t>
        </is>
      </c>
      <c r="L219" s="14" t="inlineStr">
        <is>
          <t>a</t>
        </is>
      </c>
      <c r="M219" s="14" t="inlineStr">
        <is>
          <t>La cultura justa distingue el error humano del comportamiento temerario y protege el reporte.</t>
        </is>
      </c>
      <c r="N219" s="14" t="inlineStr">
        <is>
          <t>b) inhibe el reporte y c) renuncia a la responsabilidad ante conductas temerarias.</t>
        </is>
      </c>
      <c r="O219" s="14" t="inlineStr">
        <is>
          <t>Política de Seguridad del Paciente</t>
        </is>
      </c>
      <c r="P219" s="14" t="inlineStr">
        <is>
          <t>SI</t>
        </is>
      </c>
      <c r="Q219" s="11" t="inlineStr">
        <is>
          <t>Basica</t>
        </is>
      </c>
      <c r="R219" s="11" t="inlineStr">
        <is>
          <t>repaso</t>
        </is>
      </c>
    </row>
    <row r="220" ht="23.25" customHeight="1" s="12">
      <c r="A220" s="14" t="inlineStr">
        <is>
          <t>F0219</t>
        </is>
      </c>
      <c r="B220" s="14" t="inlineStr">
        <is>
          <t>PS 2782 de 2026 - ESE 2 - HUHMP Neiva</t>
        </is>
      </c>
      <c r="C220" s="14" t="inlineStr">
        <is>
          <t>Seguridad del paciente</t>
        </is>
      </c>
      <c r="D220" s="14" t="inlineStr">
        <is>
          <t>Profesional</t>
        </is>
      </c>
      <c r="E220" s="14" t="inlineStr">
        <is>
          <t>C073</t>
        </is>
      </c>
      <c r="F220" s="14" t="inlineStr">
        <is>
          <t>Caso 073</t>
        </is>
      </c>
      <c r="G220" s="14" t="inlineStr">
        <is>
          <t>La institución revisa su programa de seguridad tras un evento centinela.</t>
        </is>
      </c>
      <c r="H220" s="14" t="inlineStr">
        <is>
          <t>El plan de mejora debe incluir:</t>
        </is>
      </c>
      <c r="I220" s="14" t="inlineStr">
        <is>
          <t>Acción, responsable, plazo e indicador de verificación</t>
        </is>
      </c>
      <c r="J220" s="14" t="inlineStr">
        <is>
          <t>Solo la descripción del problema</t>
        </is>
      </c>
      <c r="K220" s="14" t="inlineStr">
        <is>
          <t>Solo la capacitación del personal</t>
        </is>
      </c>
      <c r="L220" s="14" t="inlineStr">
        <is>
          <t>a</t>
        </is>
      </c>
      <c r="M220" s="14" t="inlineStr">
        <is>
          <t>Un plan de mejora exige acción, responsable, plazo e indicador de verificación.</t>
        </is>
      </c>
      <c r="N220" s="14" t="inlineStr">
        <is>
          <t>b) no interviene la causa y c) aplica una sola barrera, la más débil.</t>
        </is>
      </c>
      <c r="O220" s="14" t="inlineStr">
        <is>
          <t>PAMEC, Decreto 780 de 2016</t>
        </is>
      </c>
      <c r="P220" s="14" t="inlineStr">
        <is>
          <t>SI</t>
        </is>
      </c>
      <c r="Q220" s="11" t="inlineStr">
        <is>
          <t>Basica</t>
        </is>
      </c>
      <c r="R220" s="11" t="inlineStr">
        <is>
          <t>repaso</t>
        </is>
      </c>
    </row>
    <row r="221" ht="23.25" customHeight="1" s="12">
      <c r="A221" s="14" t="inlineStr">
        <is>
          <t>F0220</t>
        </is>
      </c>
      <c r="B221" s="14" t="inlineStr">
        <is>
          <t>PS 2782 de 2026 - ESE 2 - HUHMP Neiva</t>
        </is>
      </c>
      <c r="C221" s="14" t="inlineStr">
        <is>
          <t>Seguridad del paciente</t>
        </is>
      </c>
      <c r="D221" s="14" t="inlineStr">
        <is>
          <t>Profesional</t>
        </is>
      </c>
      <c r="E221" s="14" t="inlineStr">
        <is>
          <t>C074</t>
        </is>
      </c>
      <c r="F221" s="14" t="inlineStr">
        <is>
          <t>Caso 074</t>
        </is>
      </c>
      <c r="G221" s="14" t="inlineStr">
        <is>
          <t>Se revisan las barreras en el proceso de transfusión sanguínea.</t>
        </is>
      </c>
      <c r="H221" s="14" t="inlineStr">
        <is>
          <t>Antes de transfundir se debe:</t>
        </is>
      </c>
      <c r="I221" s="14" t="inlineStr">
        <is>
          <t>Verificar identidad del paciente, componente y compatibilidad, con doble chequeo</t>
        </is>
      </c>
      <c r="J221" s="14" t="inlineStr">
        <is>
          <t>Confiar en la etiqueta de la bolsa</t>
        </is>
      </c>
      <c r="K221" s="14" t="inlineStr">
        <is>
          <t>Verificar solo el grupo sanguíneo</t>
        </is>
      </c>
      <c r="L221" s="14" t="inlineStr">
        <is>
          <t>a</t>
        </is>
      </c>
      <c r="M221" s="14" t="inlineStr">
        <is>
          <t>La barrera exige verificación de identidad, componente y compatibilidad con doble chequeo.</t>
        </is>
      </c>
      <c r="N221" s="14" t="inlineStr">
        <is>
          <t>b) y c) eliminan pasos de una verificación que debe ser completa.</t>
        </is>
      </c>
      <c r="O221" s="14" t="inlineStr">
        <is>
          <t>Paquetes instruccionales; Decreto 1571 de 1993</t>
        </is>
      </c>
      <c r="P221" s="14" t="inlineStr">
        <is>
          <t>SI</t>
        </is>
      </c>
      <c r="Q221" s="11" t="inlineStr">
        <is>
          <t>Basica</t>
        </is>
      </c>
      <c r="R221" s="11" t="inlineStr">
        <is>
          <t>repaso</t>
        </is>
      </c>
    </row>
    <row r="222" ht="23.25" customHeight="1" s="12">
      <c r="A222" s="14" t="inlineStr">
        <is>
          <t>F0221</t>
        </is>
      </c>
      <c r="B222" s="14" t="inlineStr">
        <is>
          <t>PS 2782 de 2026 - ESE 2 - HUHMP Neiva</t>
        </is>
      </c>
      <c r="C222" s="14" t="inlineStr">
        <is>
          <t>Seguridad del paciente</t>
        </is>
      </c>
      <c r="D222" s="14" t="inlineStr">
        <is>
          <t>Profesional</t>
        </is>
      </c>
      <c r="E222" s="14" t="inlineStr">
        <is>
          <t>C074</t>
        </is>
      </c>
      <c r="F222" s="14" t="inlineStr">
        <is>
          <t>Caso 074</t>
        </is>
      </c>
      <c r="G222" s="14" t="inlineStr">
        <is>
          <t>Se revisan las barreras en el proceso de transfusión sanguínea.</t>
        </is>
      </c>
      <c r="H222" s="14" t="inlineStr">
        <is>
          <t>Ante una reacción transfusional se debe:</t>
        </is>
      </c>
      <c r="I222" s="14" t="inlineStr">
        <is>
          <t>Suspender la transfusión, atender al paciente y reportar el evento</t>
        </is>
      </c>
      <c r="J222" s="14" t="inlineStr">
        <is>
          <t>Disminuir la velocidad de infusión</t>
        </is>
      </c>
      <c r="K222" s="14" t="inlineStr">
        <is>
          <t>Continuar y observar</t>
        </is>
      </c>
      <c r="L222" s="14" t="inlineStr">
        <is>
          <t>a</t>
        </is>
      </c>
      <c r="M222" s="14" t="inlineStr">
        <is>
          <t>La conducta es suspender de inmediato, atender al paciente y activar el reporte de hemovigilancia.</t>
        </is>
      </c>
      <c r="N222" s="14" t="inlineStr">
        <is>
          <t>b) y c) mantienen la exposición al componente implicado.</t>
        </is>
      </c>
      <c r="O222" s="14" t="inlineStr">
        <is>
          <t>Programa de hemovigilancia, INS</t>
        </is>
      </c>
      <c r="P222" s="14" t="inlineStr">
        <is>
          <t>SI</t>
        </is>
      </c>
      <c r="Q222" s="11" t="inlineStr">
        <is>
          <t>Basica</t>
        </is>
      </c>
      <c r="R222" s="11" t="inlineStr">
        <is>
          <t>repaso</t>
        </is>
      </c>
    </row>
    <row r="223" ht="23.25" customHeight="1" s="12">
      <c r="A223" s="14" t="inlineStr">
        <is>
          <t>F0222</t>
        </is>
      </c>
      <c r="B223" s="14" t="inlineStr">
        <is>
          <t>PS 2782 de 2026 - ESE 2 - HUHMP Neiva</t>
        </is>
      </c>
      <c r="C223" s="14" t="inlineStr">
        <is>
          <t>Seguridad del paciente</t>
        </is>
      </c>
      <c r="D223" s="14" t="inlineStr">
        <is>
          <t>Profesional</t>
        </is>
      </c>
      <c r="E223" s="14" t="inlineStr">
        <is>
          <t>C074</t>
        </is>
      </c>
      <c r="F223" s="14" t="inlineStr">
        <is>
          <t>Caso 074</t>
        </is>
      </c>
      <c r="G223" s="14" t="inlineStr">
        <is>
          <t>Se revisan las barreras en el proceso de transfusión sanguínea.</t>
        </is>
      </c>
      <c r="H223" s="14" t="inlineStr">
        <is>
          <t>La hemovigilancia se ocupa de:</t>
        </is>
      </c>
      <c r="I223" s="14" t="inlineStr">
        <is>
          <t>Los eventos adversos asociados a la transfusión y a la donación</t>
        </is>
      </c>
      <c r="J223" s="14" t="inlineStr">
        <is>
          <t>Los eventos con dispositivos médicos</t>
        </is>
      </c>
      <c r="K223" s="14" t="inlineStr">
        <is>
          <t>Las reacciones a medicamentos</t>
        </is>
      </c>
      <c r="L223" s="14" t="inlineStr">
        <is>
          <t>a</t>
        </is>
      </c>
      <c r="M223" s="14" t="inlineStr">
        <is>
          <t>La hemovigilancia cubre los eventos asociados a la cadena transfusional.</t>
        </is>
      </c>
      <c r="N223" s="14" t="inlineStr">
        <is>
          <t>b) corresponde a tecnovigilancia y c) a farmacovigilancia.</t>
        </is>
      </c>
      <c r="O223" s="14" t="inlineStr">
        <is>
          <t>Programa de hemovigilancia, INS</t>
        </is>
      </c>
      <c r="P223" s="14" t="inlineStr">
        <is>
          <t>SI</t>
        </is>
      </c>
      <c r="Q223" s="11" t="inlineStr">
        <is>
          <t>Basica</t>
        </is>
      </c>
      <c r="R223" s="11" t="inlineStr">
        <is>
          <t>repaso</t>
        </is>
      </c>
    </row>
    <row r="224" ht="23.25" customHeight="1" s="12">
      <c r="A224" s="14" t="inlineStr">
        <is>
          <t>F0223</t>
        </is>
      </c>
      <c r="B224" s="14" t="inlineStr">
        <is>
          <t>PS 2782 de 2026 - ESE 2 - HUHMP Neiva</t>
        </is>
      </c>
      <c r="C224" s="14" t="inlineStr">
        <is>
          <t>Seguridad del paciente</t>
        </is>
      </c>
      <c r="D224" s="14" t="inlineStr">
        <is>
          <t>Tecnico</t>
        </is>
      </c>
      <c r="E224" s="14" t="inlineStr">
        <is>
          <t>C075</t>
        </is>
      </c>
      <c r="F224" s="14" t="inlineStr">
        <is>
          <t>Caso 075</t>
        </is>
      </c>
      <c r="G224" s="14" t="inlineStr">
        <is>
          <t>El técnico de urgencias pregunta por el lavado de manos y los elementos de protección.</t>
        </is>
      </c>
      <c r="H224" s="14" t="inlineStr">
        <is>
          <t>Los cinco momentos de la higiene de manos incluyen:</t>
        </is>
      </c>
      <c r="I224" s="14" t="inlineStr">
        <is>
          <t>Antes de tocar al paciente y después del riesgo de exposición a fluidos</t>
        </is>
      </c>
      <c r="J224" s="14" t="inlineStr">
        <is>
          <t>Solo al iniciar el turno</t>
        </is>
      </c>
      <c r="K224" s="14" t="inlineStr">
        <is>
          <t>Solo después de retirarse los guantes</t>
        </is>
      </c>
      <c r="L224" s="14" t="inlineStr">
        <is>
          <t>a</t>
        </is>
      </c>
      <c r="M224" s="14" t="inlineStr">
        <is>
          <t>La estrategia define cinco momentos, entre ellos antes del contacto y después de exposición a fluidos.</t>
        </is>
      </c>
      <c r="N224" s="14" t="inlineStr">
        <is>
          <t>b) y c) reducen la práctica a un instante aislado.</t>
        </is>
      </c>
      <c r="O224" s="14" t="inlineStr">
        <is>
          <t>Estrategia multimodal OMS - Minsalud</t>
        </is>
      </c>
      <c r="P224" s="14" t="inlineStr">
        <is>
          <t>SI</t>
        </is>
      </c>
      <c r="Q224" s="11" t="inlineStr">
        <is>
          <t>Basica</t>
        </is>
      </c>
      <c r="R224" s="11" t="inlineStr">
        <is>
          <t>repaso</t>
        </is>
      </c>
    </row>
    <row r="225" ht="23.25" customHeight="1" s="12">
      <c r="A225" s="14" t="inlineStr">
        <is>
          <t>F0224</t>
        </is>
      </c>
      <c r="B225" s="14" t="inlineStr">
        <is>
          <t>PS 2782 de 2026 - ESE 2 - HUHMP Neiva</t>
        </is>
      </c>
      <c r="C225" s="14" t="inlineStr">
        <is>
          <t>Seguridad del paciente</t>
        </is>
      </c>
      <c r="D225" s="14" t="inlineStr">
        <is>
          <t>Tecnico</t>
        </is>
      </c>
      <c r="E225" s="14" t="inlineStr">
        <is>
          <t>C075</t>
        </is>
      </c>
      <c r="F225" s="14" t="inlineStr">
        <is>
          <t>Caso 075</t>
        </is>
      </c>
      <c r="G225" s="14" t="inlineStr">
        <is>
          <t>El técnico de urgencias pregunta por el lavado de manos y los elementos de protección.</t>
        </is>
      </c>
      <c r="H225" s="14" t="inlineStr">
        <is>
          <t>El uso de guantes:</t>
        </is>
      </c>
      <c r="I225" s="14" t="inlineStr">
        <is>
          <t>No reemplaza la higiene de manos</t>
        </is>
      </c>
      <c r="J225" s="14" t="inlineStr">
        <is>
          <t>Reemplaza el lavado si son estériles</t>
        </is>
      </c>
      <c r="K225" s="14" t="inlineStr">
        <is>
          <t>Es opcional en procedimientos invasivos</t>
        </is>
      </c>
      <c r="L225" s="14" t="inlineStr">
        <is>
          <t>a</t>
        </is>
      </c>
      <c r="M225" s="14" t="inlineStr">
        <is>
          <t>Los guantes complementan, pero nunca sustituyen, la higiene de manos.</t>
        </is>
      </c>
      <c r="N225" s="14" t="inlineStr">
        <is>
          <t>b) sustituye una barrera por otra y c) omite una protección obligatoria.</t>
        </is>
      </c>
      <c r="O225" s="14" t="inlineStr">
        <is>
          <t>Estrategia multimodal OMS - Minsalud</t>
        </is>
      </c>
      <c r="P225" s="14" t="inlineStr">
        <is>
          <t>SI</t>
        </is>
      </c>
      <c r="Q225" s="11" t="inlineStr">
        <is>
          <t>Basica</t>
        </is>
      </c>
      <c r="R225" s="11" t="inlineStr">
        <is>
          <t>repaso</t>
        </is>
      </c>
    </row>
    <row r="226" ht="23.25" customHeight="1" s="12">
      <c r="A226" s="14" t="inlineStr">
        <is>
          <t>F0225</t>
        </is>
      </c>
      <c r="B226" s="14" t="inlineStr">
        <is>
          <t>PS 2782 de 2026 - ESE 2 - HUHMP Neiva</t>
        </is>
      </c>
      <c r="C226" s="14" t="inlineStr">
        <is>
          <t>Seguridad del paciente</t>
        </is>
      </c>
      <c r="D226" s="14" t="inlineStr">
        <is>
          <t>Tecnico</t>
        </is>
      </c>
      <c r="E226" s="14" t="inlineStr">
        <is>
          <t>C075</t>
        </is>
      </c>
      <c r="F226" s="14" t="inlineStr">
        <is>
          <t>Caso 075</t>
        </is>
      </c>
      <c r="G226" s="14" t="inlineStr">
        <is>
          <t>El técnico de urgencias pregunta por el lavado de manos y los elementos de protección.</t>
        </is>
      </c>
      <c r="H226" s="14" t="inlineStr">
        <is>
          <t>Ante un accidente con riesgo biológico, el trabajador debe:</t>
        </is>
      </c>
      <c r="I226" s="14" t="inlineStr">
        <is>
          <t>Lavar la zona, reportar de inmediato y activar el protocolo de profilaxis</t>
        </is>
      </c>
      <c r="J226" s="14" t="inlineStr">
        <is>
          <t>Esperar a fin de turno para reportar</t>
        </is>
      </c>
      <c r="K226" s="14" t="inlineStr">
        <is>
          <t>Aplicar solo antiséptico y continuar</t>
        </is>
      </c>
      <c r="L226" s="14" t="inlineStr">
        <is>
          <t>a</t>
        </is>
      </c>
      <c r="M226" s="14" t="inlineStr">
        <is>
          <t>El protocolo exige lavado, reporte inmediato y evaluación para profilaxis posexposición.</t>
        </is>
      </c>
      <c r="N226" s="14" t="inlineStr">
        <is>
          <t>b) y c) pierden la ventana terapéutica de la profilaxis.</t>
        </is>
      </c>
      <c r="O226" s="14" t="inlineStr">
        <is>
          <t>Decreto 1072 de 2015; protocolos de bioseguridad</t>
        </is>
      </c>
      <c r="P226" s="14" t="inlineStr">
        <is>
          <t>SI</t>
        </is>
      </c>
      <c r="Q226" s="11" t="inlineStr">
        <is>
          <t>Basica</t>
        </is>
      </c>
      <c r="R226" s="11" t="inlineStr">
        <is>
          <t>repaso</t>
        </is>
      </c>
    </row>
    <row r="227" ht="23.25" customHeight="1" s="12">
      <c r="A227" s="14" t="inlineStr">
        <is>
          <t>F0226</t>
        </is>
      </c>
      <c r="B227" s="14" t="inlineStr">
        <is>
          <t>PS 2782 de 2026 - ESE 2 - HUHMP Neiva</t>
        </is>
      </c>
      <c r="C227" s="14" t="inlineStr">
        <is>
          <t>Historia clinica y proteccion de datos (Ley 1581 de 2012)</t>
        </is>
      </c>
      <c r="D227" s="14" t="inlineStr">
        <is>
          <t>Profesional</t>
        </is>
      </c>
      <c r="E227" s="14" t="inlineStr">
        <is>
          <t>C076</t>
        </is>
      </c>
      <c r="F227" s="14" t="inlineStr">
        <is>
          <t>Caso 076</t>
        </is>
      </c>
      <c r="G227" s="14" t="inlineStr">
        <is>
          <t>Una aseguradora solicita copia masiva de historias clínicas para auditoría.</t>
        </is>
      </c>
      <c r="H227" s="14" t="inlineStr">
        <is>
          <t>El acceso del auditor de la EPS a la historia clínica:</t>
        </is>
      </c>
      <c r="I227" s="14" t="inlineStr">
        <is>
          <t>Procede para la auditoría de los servicios facturados, con deber de reserva</t>
        </is>
      </c>
      <c r="J227" s="14" t="inlineStr">
        <is>
          <t>No procede en ningún caso</t>
        </is>
      </c>
      <c r="K227" s="14" t="inlineStr">
        <is>
          <t>Procede sin límite alguno</t>
        </is>
      </c>
      <c r="L227" s="14" t="inlineStr">
        <is>
          <t>a</t>
        </is>
      </c>
      <c r="M227" s="14" t="inlineStr">
        <is>
          <t>La auditoría de cuentas permite el acceso a la información de los servicios facturados, con deber de reserva.</t>
        </is>
      </c>
      <c r="N227" s="14" t="inlineStr">
        <is>
          <t>b) impide una función contractual legítima y c) desconoce los límites y la finalidad del acceso.</t>
        </is>
      </c>
      <c r="O227" s="14" t="inlineStr">
        <is>
          <t>Resolución 1995 de 1999; Ley 1581 de 2012</t>
        </is>
      </c>
      <c r="P227" s="14" t="inlineStr">
        <is>
          <t>SI</t>
        </is>
      </c>
      <c r="Q227" s="11" t="inlineStr">
        <is>
          <t>Basica</t>
        </is>
      </c>
      <c r="R227" s="11" t="inlineStr">
        <is>
          <t>repaso</t>
        </is>
      </c>
    </row>
    <row r="228" ht="23.25" customHeight="1" s="12">
      <c r="A228" s="14" t="inlineStr">
        <is>
          <t>F0227</t>
        </is>
      </c>
      <c r="B228" s="14" t="inlineStr">
        <is>
          <t>PS 2782 de 2026 - ESE 2 - HUHMP Neiva</t>
        </is>
      </c>
      <c r="C228" s="14" t="inlineStr">
        <is>
          <t>Historia clinica y proteccion de datos (Ley 1581 de 2012)</t>
        </is>
      </c>
      <c r="D228" s="14" t="inlineStr">
        <is>
          <t>Profesional</t>
        </is>
      </c>
      <c r="E228" s="14" t="inlineStr">
        <is>
          <t>C076</t>
        </is>
      </c>
      <c r="F228" s="14" t="inlineStr">
        <is>
          <t>Caso 076</t>
        </is>
      </c>
      <c r="G228" s="14" t="inlineStr">
        <is>
          <t>Una aseguradora solicita copia masiva de historias clínicas para auditoría.</t>
        </is>
      </c>
      <c r="H228" s="14" t="inlineStr">
        <is>
          <t>El deber de reserva del auditor:</t>
        </is>
      </c>
      <c r="I228" s="14" t="inlineStr">
        <is>
          <t>Persiste aun después de terminada la auditoría</t>
        </is>
      </c>
      <c r="J228" s="14" t="inlineStr">
        <is>
          <t>Termina con el informe</t>
        </is>
      </c>
      <c r="K228" s="14" t="inlineStr">
        <is>
          <t>No existe si es funcionario público</t>
        </is>
      </c>
      <c r="L228" s="14" t="inlineStr">
        <is>
          <t>a</t>
        </is>
      </c>
      <c r="M228" s="14" t="inlineStr">
        <is>
          <t>El deber de reserva sobre la información de salud persiste con independencia del término de la auditoría.</t>
        </is>
      </c>
      <c r="N228" s="14" t="inlineStr">
        <is>
          <t>b) y c) limitan indebidamente un deber permanente.</t>
        </is>
      </c>
      <c r="O228" s="14" t="inlineStr">
        <is>
          <t>Ley 1581 de 2012; Ley 23 de 1981</t>
        </is>
      </c>
      <c r="P228" s="14" t="inlineStr">
        <is>
          <t>SI</t>
        </is>
      </c>
      <c r="Q228" s="11" t="inlineStr">
        <is>
          <t>Basica</t>
        </is>
      </c>
      <c r="R228" s="11" t="inlineStr">
        <is>
          <t>repaso</t>
        </is>
      </c>
    </row>
    <row r="229" ht="23.25" customHeight="1" s="12">
      <c r="A229" s="14" t="inlineStr">
        <is>
          <t>F0228</t>
        </is>
      </c>
      <c r="B229" s="14" t="inlineStr">
        <is>
          <t>PS 2782 de 2026 - ESE 2 - HUHMP Neiva</t>
        </is>
      </c>
      <c r="C229" s="14" t="inlineStr">
        <is>
          <t>Historia clinica y proteccion de datos (Ley 1581 de 2012)</t>
        </is>
      </c>
      <c r="D229" s="14" t="inlineStr">
        <is>
          <t>Profesional</t>
        </is>
      </c>
      <c r="E229" s="14" t="inlineStr">
        <is>
          <t>C076</t>
        </is>
      </c>
      <c r="F229" s="14" t="inlineStr">
        <is>
          <t>Caso 076</t>
        </is>
      </c>
      <c r="G229" s="14" t="inlineStr">
        <is>
          <t>Una aseguradora solicita copia masiva de historias clínicas para auditoría.</t>
        </is>
      </c>
      <c r="H229" s="14" t="inlineStr">
        <is>
          <t>La entrega masiva de historias sin filtro:</t>
        </is>
      </c>
      <c r="I229" s="14" t="inlineStr">
        <is>
          <t>Es improcedente: debe limitarse a lo necesario para la finalidad</t>
        </is>
      </c>
      <c r="J229" s="14" t="inlineStr">
        <is>
          <t>Procede si hay contrato</t>
        </is>
      </c>
      <c r="K229" s="14" t="inlineStr">
        <is>
          <t>Procede si la EPS lo exige por escrito</t>
        </is>
      </c>
      <c r="L229" s="14" t="inlineStr">
        <is>
          <t>a</t>
        </is>
      </c>
      <c r="M229" s="14" t="inlineStr">
        <is>
          <t>El principio de finalidad y el de necesidad limitan el tratamiento a lo indispensable.</t>
        </is>
      </c>
      <c r="N229" s="14" t="inlineStr">
        <is>
          <t>b) y c) convierten una relación contractual en un permiso ilimitado.</t>
        </is>
      </c>
      <c r="O229" s="14" t="inlineStr">
        <is>
          <t>Ley 1581 de 2012, art. 4</t>
        </is>
      </c>
      <c r="P229" s="14" t="inlineStr">
        <is>
          <t>SI</t>
        </is>
      </c>
      <c r="Q229" s="11" t="inlineStr">
        <is>
          <t>Basica</t>
        </is>
      </c>
      <c r="R229" s="11" t="inlineStr">
        <is>
          <t>repaso</t>
        </is>
      </c>
    </row>
    <row r="230" ht="23.25" customHeight="1" s="12">
      <c r="A230" s="14" t="inlineStr">
        <is>
          <t>F0229</t>
        </is>
      </c>
      <c r="B230" s="14" t="inlineStr">
        <is>
          <t>PS 2782 de 2026 - ESE 2 - HUHMP Neiva</t>
        </is>
      </c>
      <c r="C230" s="14" t="inlineStr">
        <is>
          <t>Historia clinica y proteccion de datos (Ley 1581 de 2012)</t>
        </is>
      </c>
      <c r="D230" s="14" t="inlineStr">
        <is>
          <t>Tecnico</t>
        </is>
      </c>
      <c r="E230" s="14" t="inlineStr">
        <is>
          <t>C077</t>
        </is>
      </c>
      <c r="F230" s="14" t="inlineStr">
        <is>
          <t>Caso 077</t>
        </is>
      </c>
      <c r="G230" s="14" t="inlineStr">
        <is>
          <t>Un paciente pide copia de su historia clínica en la ventanilla.</t>
        </is>
      </c>
      <c r="H230" s="14" t="inlineStr">
        <is>
          <t>La solicitud del titular:</t>
        </is>
      </c>
      <c r="I230" s="14" t="inlineStr">
        <is>
          <t>Debe atenderse entregando copia, previa identificación</t>
        </is>
      </c>
      <c r="J230" s="14" t="inlineStr">
        <is>
          <t>Requiere autorización del médico tratante</t>
        </is>
      </c>
      <c r="K230" s="14" t="inlineStr">
        <is>
          <t>Solo procede con orden judicial</t>
        </is>
      </c>
      <c r="L230" s="14" t="inlineStr">
        <is>
          <t>a</t>
        </is>
      </c>
      <c r="M230" s="14" t="inlineStr">
        <is>
          <t>El titular tiene derecho a obtener copia de su historia clínica, acreditando su identidad.</t>
        </is>
      </c>
      <c r="N230" s="14" t="inlineStr">
        <is>
          <t>b) y c) imponen requisitos que no aplican al propio titular.</t>
        </is>
      </c>
      <c r="O230" s="14" t="inlineStr">
        <is>
          <t>Resolución 1995 de 1999</t>
        </is>
      </c>
      <c r="P230" s="14" t="inlineStr">
        <is>
          <t>SI</t>
        </is>
      </c>
      <c r="Q230" s="11" t="inlineStr">
        <is>
          <t>Basica</t>
        </is>
      </c>
      <c r="R230" s="11" t="inlineStr">
        <is>
          <t>repaso</t>
        </is>
      </c>
    </row>
    <row r="231" ht="23.25" customHeight="1" s="12">
      <c r="A231" s="14" t="inlineStr">
        <is>
          <t>F0230</t>
        </is>
      </c>
      <c r="B231" s="14" t="inlineStr">
        <is>
          <t>PS 2782 de 2026 - ESE 2 - HUHMP Neiva</t>
        </is>
      </c>
      <c r="C231" s="14" t="inlineStr">
        <is>
          <t>Historia clinica y proteccion de datos (Ley 1581 de 2012)</t>
        </is>
      </c>
      <c r="D231" s="14" t="inlineStr">
        <is>
          <t>Tecnico</t>
        </is>
      </c>
      <c r="E231" s="14" t="inlineStr">
        <is>
          <t>C077</t>
        </is>
      </c>
      <c r="F231" s="14" t="inlineStr">
        <is>
          <t>Caso 077</t>
        </is>
      </c>
      <c r="G231" s="14" t="inlineStr">
        <is>
          <t>Un paciente pide copia de su historia clínica en la ventanilla.</t>
        </is>
      </c>
      <c r="H231" s="14" t="inlineStr">
        <is>
          <t>Si quien solicita es el padre de un menor de edad:</t>
        </is>
      </c>
      <c r="I231" s="14" t="inlineStr">
        <is>
          <t>Procede la entrega como representante legal, con acreditación del parentesco</t>
        </is>
      </c>
      <c r="J231" s="14" t="inlineStr">
        <is>
          <t>No procede nunca</t>
        </is>
      </c>
      <c r="K231" s="14" t="inlineStr">
        <is>
          <t>Procede sin acreditar nada</t>
        </is>
      </c>
      <c r="L231" s="14" t="inlineStr">
        <is>
          <t>a</t>
        </is>
      </c>
      <c r="M231" s="14" t="inlineStr">
        <is>
          <t>El representante legal del menor puede acceder acreditando su calidad.</t>
        </is>
      </c>
      <c r="N231" s="14" t="inlineStr">
        <is>
          <t>b) niega la representación legal y c) omite su acreditación.</t>
        </is>
      </c>
      <c r="O231" s="14" t="inlineStr">
        <is>
          <t>Resolución 1995 de 1999; Ley 1098 de 2006</t>
        </is>
      </c>
      <c r="P231" s="14" t="inlineStr">
        <is>
          <t>SI</t>
        </is>
      </c>
      <c r="Q231" s="11" t="inlineStr">
        <is>
          <t>Basica</t>
        </is>
      </c>
      <c r="R231" s="11" t="inlineStr">
        <is>
          <t>repaso</t>
        </is>
      </c>
    </row>
    <row r="232" ht="23.25" customHeight="1" s="12">
      <c r="A232" s="14" t="inlineStr">
        <is>
          <t>F0231</t>
        </is>
      </c>
      <c r="B232" s="14" t="inlineStr">
        <is>
          <t>PS 2782 de 2026 - ESE 2 - HUHMP Neiva</t>
        </is>
      </c>
      <c r="C232" s="14" t="inlineStr">
        <is>
          <t>Historia clinica y proteccion de datos (Ley 1581 de 2012)</t>
        </is>
      </c>
      <c r="D232" s="14" t="inlineStr">
        <is>
          <t>Tecnico</t>
        </is>
      </c>
      <c r="E232" s="14" t="inlineStr">
        <is>
          <t>C077</t>
        </is>
      </c>
      <c r="F232" s="14" t="inlineStr">
        <is>
          <t>Caso 077</t>
        </is>
      </c>
      <c r="G232" s="14" t="inlineStr">
        <is>
          <t>Un paciente pide copia de su historia clínica en la ventanilla.</t>
        </is>
      </c>
      <c r="H232" s="14" t="inlineStr">
        <is>
          <t>Si el paciente falleció, la entrega a familiares:</t>
        </is>
      </c>
      <c r="I232" s="14" t="inlineStr">
        <is>
          <t>Procede conforme a las reglas sobre acceso de causahabientes acreditados</t>
        </is>
      </c>
      <c r="J232" s="14" t="inlineStr">
        <is>
          <t>Es libre para cualquier persona</t>
        </is>
      </c>
      <c r="K232" s="14" t="inlineStr">
        <is>
          <t>Está prohibida en todos los casos</t>
        </is>
      </c>
      <c r="L232" s="14" t="inlineStr">
        <is>
          <t>a</t>
        </is>
      </c>
      <c r="M232" s="14" t="inlineStr">
        <is>
          <t>El acceso de los causahabientes procede acreditando esa calidad, conservando la reserva frente a terceros.</t>
        </is>
      </c>
      <c r="N232" s="14" t="inlineStr">
        <is>
          <t>b) abre la reserva a cualquiera y c) niega un acceso admitido.</t>
        </is>
      </c>
      <c r="O232" s="14" t="inlineStr">
        <is>
          <t>Resolución 1995 de 1999</t>
        </is>
      </c>
      <c r="P232" s="14" t="inlineStr">
        <is>
          <t>SI</t>
        </is>
      </c>
      <c r="Q232" s="11" t="inlineStr">
        <is>
          <t>Basica</t>
        </is>
      </c>
      <c r="R232" s="11" t="inlineStr">
        <is>
          <t>repaso</t>
        </is>
      </c>
    </row>
    <row r="233" ht="23.25" customHeight="1" s="12">
      <c r="A233" s="14" t="inlineStr">
        <is>
          <t>F0232</t>
        </is>
      </c>
      <c r="B233" s="14" t="inlineStr">
        <is>
          <t>PS 2782 de 2026 - ESE 2 - HUHMP Neiva</t>
        </is>
      </c>
      <c r="C233" s="14" t="inlineStr">
        <is>
          <t>Historia clinica y proteccion de datos (Ley 1581 de 2012)</t>
        </is>
      </c>
      <c r="D233" s="14" t="inlineStr">
        <is>
          <t>Profesional</t>
        </is>
      </c>
      <c r="E233" s="14" t="inlineStr">
        <is>
          <t>C078</t>
        </is>
      </c>
      <c r="F233" s="14" t="inlineStr">
        <is>
          <t>Caso 078</t>
        </is>
      </c>
      <c r="G233" s="14" t="inlineStr">
        <is>
          <t>El hospital migra su historia clínica a un sistema electrónico.</t>
        </is>
      </c>
      <c r="H233" s="14" t="inlineStr">
        <is>
          <t>La historia clínica electrónica debe garantizar:</t>
        </is>
      </c>
      <c r="I233" s="14" t="inlineStr">
        <is>
          <t>Autenticidad, integridad, disponibilidad y trazabilidad de los registros</t>
        </is>
      </c>
      <c r="J233" s="14" t="inlineStr">
        <is>
          <t>Solo rapidez de consulta</t>
        </is>
      </c>
      <c r="K233" s="14" t="inlineStr">
        <is>
          <t>Solo ahorro de papel</t>
        </is>
      </c>
      <c r="L233" s="14" t="inlineStr">
        <is>
          <t>a</t>
        </is>
      </c>
      <c r="M233" s="14" t="inlineStr">
        <is>
          <t>El registro electrónico debe asegurar autenticidad, integridad, disponibilidad y trazabilidad.</t>
        </is>
      </c>
      <c r="N233" s="14" t="inlineStr">
        <is>
          <t>b) y c) son beneficios operativos, no garantías del registro.</t>
        </is>
      </c>
      <c r="O233" s="14" t="inlineStr">
        <is>
          <t>Ley 2015 de 2020; Resolución 1995 de 1999</t>
        </is>
      </c>
      <c r="P233" s="14" t="inlineStr">
        <is>
          <t>SI</t>
        </is>
      </c>
      <c r="Q233" s="11" t="inlineStr">
        <is>
          <t>Basica</t>
        </is>
      </c>
      <c r="R233" s="11" t="inlineStr">
        <is>
          <t>repaso</t>
        </is>
      </c>
    </row>
    <row r="234" ht="23.25" customHeight="1" s="12">
      <c r="A234" s="14" t="inlineStr">
        <is>
          <t>F0233</t>
        </is>
      </c>
      <c r="B234" s="14" t="inlineStr">
        <is>
          <t>PS 2782 de 2026 - ESE 2 - HUHMP Neiva</t>
        </is>
      </c>
      <c r="C234" s="14" t="inlineStr">
        <is>
          <t>Historia clinica y proteccion de datos (Ley 1581 de 2012)</t>
        </is>
      </c>
      <c r="D234" s="14" t="inlineStr">
        <is>
          <t>Profesional</t>
        </is>
      </c>
      <c r="E234" s="14" t="inlineStr">
        <is>
          <t>C078</t>
        </is>
      </c>
      <c r="F234" s="14" t="inlineStr">
        <is>
          <t>Caso 078</t>
        </is>
      </c>
      <c r="G234" s="14" t="inlineStr">
        <is>
          <t>El hospital migra su historia clínica a un sistema electrónico.</t>
        </is>
      </c>
      <c r="H234" s="14" t="inlineStr">
        <is>
          <t>La interoperabilidad de la historia clínica busca:</t>
        </is>
      </c>
      <c r="I234" s="14" t="inlineStr">
        <is>
          <t>Que la información clínica siga al paciente entre prestadores, con seguridad</t>
        </is>
      </c>
      <c r="J234" s="14" t="inlineStr">
        <is>
          <t>Publicar los datos</t>
        </is>
      </c>
      <c r="K234" s="14" t="inlineStr">
        <is>
          <t>Unificar tarifas</t>
        </is>
      </c>
      <c r="L234" s="14" t="inlineStr">
        <is>
          <t>a</t>
        </is>
      </c>
      <c r="M234" s="14" t="inlineStr">
        <is>
          <t>La interoperabilidad permite que la información acompañe al paciente entre prestadores, bajo condiciones de seguridad.</t>
        </is>
      </c>
      <c r="N234" s="14" t="inlineStr">
        <is>
          <t>b) vulneraría la reserva y c) es ajeno al propósito.</t>
        </is>
      </c>
      <c r="O234" s="14" t="inlineStr">
        <is>
          <t>Ley 2015 de 2020</t>
        </is>
      </c>
      <c r="P234" s="14" t="inlineStr">
        <is>
          <t>SI</t>
        </is>
      </c>
      <c r="Q234" s="11" t="inlineStr">
        <is>
          <t>Basica</t>
        </is>
      </c>
      <c r="R234" s="11" t="inlineStr">
        <is>
          <t>repaso</t>
        </is>
      </c>
    </row>
    <row r="235" ht="23.25" customHeight="1" s="12">
      <c r="A235" s="14" t="inlineStr">
        <is>
          <t>F0234</t>
        </is>
      </c>
      <c r="B235" s="14" t="inlineStr">
        <is>
          <t>PS 2782 de 2026 - ESE 2 - HUHMP Neiva</t>
        </is>
      </c>
      <c r="C235" s="14" t="inlineStr">
        <is>
          <t>Historia clinica y proteccion de datos (Ley 1581 de 2012)</t>
        </is>
      </c>
      <c r="D235" s="14" t="inlineStr">
        <is>
          <t>Profesional</t>
        </is>
      </c>
      <c r="E235" s="14" t="inlineStr">
        <is>
          <t>C078</t>
        </is>
      </c>
      <c r="F235" s="14" t="inlineStr">
        <is>
          <t>Caso 078</t>
        </is>
      </c>
      <c r="G235" s="14" t="inlineStr">
        <is>
          <t>El hospital migra su historia clínica a un sistema electrónico.</t>
        </is>
      </c>
      <c r="H235" s="14" t="inlineStr">
        <is>
          <t>La firma del profesional en el registro electrónico:</t>
        </is>
      </c>
      <c r="I235" s="14" t="inlineStr">
        <is>
          <t>Debe permitir identificar inequívocamente al autor de cada anotación</t>
        </is>
      </c>
      <c r="J235" s="14" t="inlineStr">
        <is>
          <t>Puede ser compartida por el servicio</t>
        </is>
      </c>
      <c r="K235" s="14" t="inlineStr">
        <is>
          <t>Puede omitirse si el sistema registra el usuario</t>
        </is>
      </c>
      <c r="L235" s="14" t="inlineStr">
        <is>
          <t>a</t>
        </is>
      </c>
      <c r="M235" s="14" t="inlineStr">
        <is>
          <t>Cada anotación debe permitir identificar inequívocamente a su autor.</t>
        </is>
      </c>
      <c r="N235" s="14" t="inlineStr">
        <is>
          <t>b) y c) rompen la trazabilidad y la responsabilidad individual del registro.</t>
        </is>
      </c>
      <c r="O235" s="14" t="inlineStr">
        <is>
          <t>Resolución 1995 de 1999; Ley 527 de 1999</t>
        </is>
      </c>
      <c r="P235" s="14" t="inlineStr">
        <is>
          <t>SI</t>
        </is>
      </c>
      <c r="Q235" s="11" t="inlineStr">
        <is>
          <t>Basica</t>
        </is>
      </c>
      <c r="R235" s="11" t="inlineStr">
        <is>
          <t>repaso</t>
        </is>
      </c>
    </row>
    <row r="236" ht="23.25" customHeight="1" s="12">
      <c r="A236" s="14" t="inlineStr">
        <is>
          <t>F0235</t>
        </is>
      </c>
      <c r="B236" s="14" t="inlineStr">
        <is>
          <t>PS 2782 de 2026 - ESE 2 - HUHMP Neiva</t>
        </is>
      </c>
      <c r="C236" s="14" t="inlineStr">
        <is>
          <t>Historia clinica y proteccion de datos (Ley 1581 de 2012)</t>
        </is>
      </c>
      <c r="D236" s="14" t="inlineStr">
        <is>
          <t>Profesional</t>
        </is>
      </c>
      <c r="E236" s="14" t="inlineStr">
        <is>
          <t>C079</t>
        </is>
      </c>
      <c r="F236" s="14" t="inlineStr">
        <is>
          <t>Caso 079</t>
        </is>
      </c>
      <c r="G236" s="14" t="inlineStr">
        <is>
          <t>Se estudia una solicitud de información de un periodista sobre un paciente reconocido.</t>
        </is>
      </c>
      <c r="H236" s="14" t="inlineStr">
        <is>
          <t>La respuesta correcta al periodista es:</t>
        </is>
      </c>
      <c r="I236" s="14" t="inlineStr">
        <is>
          <t>Negar la información por estar sometida a reserva</t>
        </is>
      </c>
      <c r="J236" s="14" t="inlineStr">
        <is>
          <t>Entregar un resumen clínico</t>
        </is>
      </c>
      <c r="K236" s="14" t="inlineStr">
        <is>
          <t>Confirmar solo el diagnóstico</t>
        </is>
      </c>
      <c r="L236" s="14" t="inlineStr">
        <is>
          <t>a</t>
        </is>
      </c>
      <c r="M236" s="14" t="inlineStr">
        <is>
          <t>La información clínica está sometida a reserva y no puede revelarse a terceros sin autorización.</t>
        </is>
      </c>
      <c r="N236" s="14" t="inlineStr">
        <is>
          <t>b) y c) revelan información reservada, aunque sea parcial.</t>
        </is>
      </c>
      <c r="O236" s="14" t="inlineStr">
        <is>
          <t>Resolución 1995 de 1999; Ley 1712 de 2014, art. 18</t>
        </is>
      </c>
      <c r="P236" s="14" t="inlineStr">
        <is>
          <t>SI</t>
        </is>
      </c>
      <c r="Q236" s="11" t="inlineStr">
        <is>
          <t>Basica</t>
        </is>
      </c>
      <c r="R236" s="11" t="inlineStr">
        <is>
          <t>repaso</t>
        </is>
      </c>
    </row>
    <row r="237" ht="23.25" customHeight="1" s="12">
      <c r="A237" s="14" t="inlineStr">
        <is>
          <t>F0236</t>
        </is>
      </c>
      <c r="B237" s="14" t="inlineStr">
        <is>
          <t>PS 2782 de 2026 - ESE 2 - HUHMP Neiva</t>
        </is>
      </c>
      <c r="C237" s="14" t="inlineStr">
        <is>
          <t>Historia clinica y proteccion de datos (Ley 1581 de 2012)</t>
        </is>
      </c>
      <c r="D237" s="14" t="inlineStr">
        <is>
          <t>Profesional</t>
        </is>
      </c>
      <c r="E237" s="14" t="inlineStr">
        <is>
          <t>C079</t>
        </is>
      </c>
      <c r="F237" s="14" t="inlineStr">
        <is>
          <t>Caso 079</t>
        </is>
      </c>
      <c r="G237" s="14" t="inlineStr">
        <is>
          <t>Se estudia una solicitud de información de un periodista sobre un paciente reconocido.</t>
        </is>
      </c>
      <c r="H237" s="14" t="inlineStr">
        <is>
          <t>Confirmar públicamente que una persona está hospitalizada:</t>
        </is>
      </c>
      <c r="I237" s="14" t="inlineStr">
        <is>
          <t>Vulnera su intimidad y la reserva de sus datos</t>
        </is>
      </c>
      <c r="J237" s="14" t="inlineStr">
        <is>
          <t>Es información pública</t>
        </is>
      </c>
      <c r="K237" s="14" t="inlineStr">
        <is>
          <t>Procede si el hecho es notorio</t>
        </is>
      </c>
      <c r="L237" s="14" t="inlineStr">
        <is>
          <t>a</t>
        </is>
      </c>
      <c r="M237" s="14" t="inlineStr">
        <is>
          <t>La sola confirmación revela un dato sensible y vulnera la intimidad del paciente.</t>
        </is>
      </c>
      <c r="N237" s="14" t="inlineStr">
        <is>
          <t>b) y c) tratan como pública una información protegida.</t>
        </is>
      </c>
      <c r="O237" s="14" t="inlineStr">
        <is>
          <t>Ley 1581 de 2012; C.P. art. 15</t>
        </is>
      </c>
      <c r="P237" s="14" t="inlineStr">
        <is>
          <t>SI</t>
        </is>
      </c>
      <c r="Q237" s="11" t="inlineStr">
        <is>
          <t>Basica</t>
        </is>
      </c>
      <c r="R237" s="11" t="inlineStr">
        <is>
          <t>repaso</t>
        </is>
      </c>
    </row>
    <row r="238" ht="23.25" customHeight="1" s="12">
      <c r="A238" s="14" t="inlineStr">
        <is>
          <t>F0237</t>
        </is>
      </c>
      <c r="B238" s="14" t="inlineStr">
        <is>
          <t>PS 2782 de 2026 - ESE 2 - HUHMP Neiva</t>
        </is>
      </c>
      <c r="C238" s="14" t="inlineStr">
        <is>
          <t>Historia clinica y proteccion de datos (Ley 1581 de 2012)</t>
        </is>
      </c>
      <c r="D238" s="14" t="inlineStr">
        <is>
          <t>Profesional</t>
        </is>
      </c>
      <c r="E238" s="14" t="inlineStr">
        <is>
          <t>C079</t>
        </is>
      </c>
      <c r="F238" s="14" t="inlineStr">
        <is>
          <t>Caso 079</t>
        </is>
      </c>
      <c r="G238" s="14" t="inlineStr">
        <is>
          <t>Se estudia una solicitud de información de un periodista sobre un paciente reconocido.</t>
        </is>
      </c>
      <c r="H238" s="14" t="inlineStr">
        <is>
          <t>Un funcionario que divulga esa información puede incurrir en:</t>
        </is>
      </c>
      <c r="I238" s="14" t="inlineStr">
        <is>
          <t>Falta disciplinaria y eventualmente en delito</t>
        </is>
      </c>
      <c r="J238" s="14" t="inlineStr">
        <is>
          <t>Solo en un error administrativo</t>
        </is>
      </c>
      <c r="K238" s="14" t="inlineStr">
        <is>
          <t>En ninguna responsabilidad si no cobró por ello</t>
        </is>
      </c>
      <c r="L238" s="14" t="inlineStr">
        <is>
          <t>a</t>
        </is>
      </c>
      <c r="M238" s="14" t="inlineStr">
        <is>
          <t>La divulgación indebida compromete responsabilidad disciplinaria y puede constituir delito.</t>
        </is>
      </c>
      <c r="N238" s="14" t="inlineStr">
        <is>
          <t>b) y c) minimizan una conducta con consecuencias legales.</t>
        </is>
      </c>
      <c r="O238" s="14" t="inlineStr">
        <is>
          <t>Ley 1952 de 2019; Código Penal, art. 269F</t>
        </is>
      </c>
      <c r="P238" s="14" t="inlineStr">
        <is>
          <t>SI</t>
        </is>
      </c>
      <c r="Q238" s="11" t="inlineStr">
        <is>
          <t>Basica</t>
        </is>
      </c>
      <c r="R238" s="11" t="inlineStr">
        <is>
          <t>repaso</t>
        </is>
      </c>
    </row>
    <row r="239" ht="23.25" customHeight="1" s="12">
      <c r="A239" s="14" t="inlineStr">
        <is>
          <t>F0238</t>
        </is>
      </c>
      <c r="B239" s="14" t="inlineStr">
        <is>
          <t>PS 2782 de 2026 - ESE 2 - HUHMP Neiva</t>
        </is>
      </c>
      <c r="C239" s="14" t="inlineStr">
        <is>
          <t>Historia clinica y proteccion de datos (Ley 1581 de 2012)</t>
        </is>
      </c>
      <c r="D239" s="14" t="inlineStr">
        <is>
          <t>Tecnico</t>
        </is>
      </c>
      <c r="E239" s="14" t="inlineStr">
        <is>
          <t>C080</t>
        </is>
      </c>
      <c r="F239" s="14" t="inlineStr">
        <is>
          <t>Caso 080</t>
        </is>
      </c>
      <c r="G239" s="14" t="inlineStr">
        <is>
          <t>El área de sistemas define permisos de acceso al software asistencial.</t>
        </is>
      </c>
      <c r="H239" s="14" t="inlineStr">
        <is>
          <t>El criterio para otorgar permisos debe ser:</t>
        </is>
      </c>
      <c r="I239" s="14" t="inlineStr">
        <is>
          <t>El de mínimo privilegio, según las funciones del cargo</t>
        </is>
      </c>
      <c r="J239" s="14" t="inlineStr">
        <is>
          <t>El de mayor comodidad para el usuario</t>
        </is>
      </c>
      <c r="K239" s="14" t="inlineStr">
        <is>
          <t>El mismo perfil para todo el personal</t>
        </is>
      </c>
      <c r="L239" s="14" t="inlineStr">
        <is>
          <t>a</t>
        </is>
      </c>
      <c r="M239" s="14" t="inlineStr">
        <is>
          <t>El acceso se otorga según las funciones, bajo el principio de mínimo privilegio.</t>
        </is>
      </c>
      <c r="N239" s="14" t="inlineStr">
        <is>
          <t>b) y c) amplían el acceso más allá de lo necesario.</t>
        </is>
      </c>
      <c r="O239" s="14" t="inlineStr">
        <is>
          <t>Ley 1581 de 2012; Decreto 1377 de 2013</t>
        </is>
      </c>
      <c r="P239" s="14" t="inlineStr">
        <is>
          <t>SI</t>
        </is>
      </c>
      <c r="Q239" s="11" t="inlineStr">
        <is>
          <t>Basica</t>
        </is>
      </c>
      <c r="R239" s="11" t="inlineStr">
        <is>
          <t>repaso</t>
        </is>
      </c>
    </row>
    <row r="240" ht="23.25" customHeight="1" s="12">
      <c r="A240" s="14" t="inlineStr">
        <is>
          <t>F0239</t>
        </is>
      </c>
      <c r="B240" s="14" t="inlineStr">
        <is>
          <t>PS 2782 de 2026 - ESE 2 - HUHMP Neiva</t>
        </is>
      </c>
      <c r="C240" s="14" t="inlineStr">
        <is>
          <t>Historia clinica y proteccion de datos (Ley 1581 de 2012)</t>
        </is>
      </c>
      <c r="D240" s="14" t="inlineStr">
        <is>
          <t>Tecnico</t>
        </is>
      </c>
      <c r="E240" s="14" t="inlineStr">
        <is>
          <t>C080</t>
        </is>
      </c>
      <c r="F240" s="14" t="inlineStr">
        <is>
          <t>Caso 080</t>
        </is>
      </c>
      <c r="G240" s="14" t="inlineStr">
        <is>
          <t>El área de sistemas define permisos de acceso al software asistencial.</t>
        </is>
      </c>
      <c r="H240" s="14" t="inlineStr">
        <is>
          <t>Las contraseñas de acceso:</t>
        </is>
      </c>
      <c r="I240" s="14" t="inlineStr">
        <is>
          <t>Son personales e intransferibles</t>
        </is>
      </c>
      <c r="J240" s="14" t="inlineStr">
        <is>
          <t>Pueden compartirse dentro del servicio</t>
        </is>
      </c>
      <c r="K240" s="14" t="inlineStr">
        <is>
          <t>Pueden dejarse anotadas si el equipo es fijo</t>
        </is>
      </c>
      <c r="L240" s="14" t="inlineStr">
        <is>
          <t>a</t>
        </is>
      </c>
      <c r="M240" s="14" t="inlineStr">
        <is>
          <t>Las credenciales son personales e intransferibles y soportan la trazabilidad de los accesos.</t>
        </is>
      </c>
      <c r="N240" s="14" t="inlineStr">
        <is>
          <t>b) y c) destruyen la trazabilidad y comprometen la reserva.</t>
        </is>
      </c>
      <c r="O240" s="14" t="inlineStr">
        <is>
          <t>Política de seguridad de la información institucional</t>
        </is>
      </c>
      <c r="P240" s="14" t="inlineStr">
        <is>
          <t>SI</t>
        </is>
      </c>
      <c r="Q240" s="11" t="inlineStr">
        <is>
          <t>Basica</t>
        </is>
      </c>
      <c r="R240" s="11" t="inlineStr">
        <is>
          <t>repaso</t>
        </is>
      </c>
    </row>
    <row r="241" ht="23.25" customHeight="1" s="12">
      <c r="A241" s="14" t="inlineStr">
        <is>
          <t>F0240</t>
        </is>
      </c>
      <c r="B241" s="14" t="inlineStr">
        <is>
          <t>PS 2782 de 2026 - ESE 2 - HUHMP Neiva</t>
        </is>
      </c>
      <c r="C241" s="14" t="inlineStr">
        <is>
          <t>Historia clinica y proteccion de datos (Ley 1581 de 2012)</t>
        </is>
      </c>
      <c r="D241" s="14" t="inlineStr">
        <is>
          <t>Tecnico</t>
        </is>
      </c>
      <c r="E241" s="14" t="inlineStr">
        <is>
          <t>C080</t>
        </is>
      </c>
      <c r="F241" s="14" t="inlineStr">
        <is>
          <t>Caso 080</t>
        </is>
      </c>
      <c r="G241" s="14" t="inlineStr">
        <is>
          <t>El área de sistemas define permisos de acceso al software asistencial.</t>
        </is>
      </c>
      <c r="H241" s="14" t="inlineStr">
        <is>
          <t>Las copias de seguridad de la información clínica:</t>
        </is>
      </c>
      <c r="I241" s="14" t="inlineStr">
        <is>
          <t>Deben realizarse, custodiarse y probarse periódicamente</t>
        </is>
      </c>
      <c r="J241" s="14" t="inlineStr">
        <is>
          <t>Bastan si se hacen una vez al año</t>
        </is>
      </c>
      <c r="K241" s="14" t="inlineStr">
        <is>
          <t>Son responsabilidad del proveedor únicamente</t>
        </is>
      </c>
      <c r="L241" s="14" t="inlineStr">
        <is>
          <t>a</t>
        </is>
      </c>
      <c r="M241" s="14" t="inlineStr">
        <is>
          <t>Los respaldos deben realizarse, custodiarse y probarse con periodicidad definida.</t>
        </is>
      </c>
      <c r="N241" s="14" t="inlineStr">
        <is>
          <t>b) deja un período sin respaldo y c) traslada una responsabilidad institucional.</t>
        </is>
      </c>
      <c r="O241" s="14" t="inlineStr">
        <is>
          <t>Ley 1581 de 2012, art. 17</t>
        </is>
      </c>
      <c r="P241" s="14" t="inlineStr">
        <is>
          <t>SI</t>
        </is>
      </c>
      <c r="Q241" s="11" t="inlineStr">
        <is>
          <t>Basica</t>
        </is>
      </c>
      <c r="R241" s="11" t="inlineStr">
        <is>
          <t>repaso</t>
        </is>
      </c>
    </row>
    <row r="242" ht="23.25" customHeight="1" s="12">
      <c r="A242" s="14" t="inlineStr">
        <is>
          <t>F0241</t>
        </is>
      </c>
      <c r="B242" s="14" t="inlineStr">
        <is>
          <t>PS 2782 de 2026 - ESE 2 - HUHMP Neiva</t>
        </is>
      </c>
      <c r="C242" s="14" t="inlineStr">
        <is>
          <t>Humanizacion y derechos del paciente</t>
        </is>
      </c>
      <c r="D242" s="14" t="inlineStr">
        <is>
          <t>Profesional</t>
        </is>
      </c>
      <c r="E242" s="14" t="inlineStr">
        <is>
          <t>C081</t>
        </is>
      </c>
      <c r="F242" s="14" t="inlineStr">
        <is>
          <t>Caso 081</t>
        </is>
      </c>
      <c r="G242" s="14" t="inlineStr">
        <is>
          <t>El hospital diseña su política de humanización con participación de los usuarios.</t>
        </is>
      </c>
      <c r="H242" s="14" t="inlineStr">
        <is>
          <t>La política de humanización debe:</t>
        </is>
      </c>
      <c r="I242" s="14" t="inlineStr">
        <is>
          <t>Traducirse en prácticas concretas medibles, no solo en un documento</t>
        </is>
      </c>
      <c r="J242" s="14" t="inlineStr">
        <is>
          <t>Ser un documento de referencia</t>
        </is>
      </c>
      <c r="K242" s="14" t="inlineStr">
        <is>
          <t>Limitarse a la capacitación anual</t>
        </is>
      </c>
      <c r="L242" s="14" t="inlineStr">
        <is>
          <t>a</t>
        </is>
      </c>
      <c r="M242" s="14" t="inlineStr">
        <is>
          <t>La política se materializa en prácticas concretas, medibles y verificables en la atención.</t>
        </is>
      </c>
      <c r="N242" s="14" t="inlineStr">
        <is>
          <t>b) y c) la dejan en el plano declarativo o formativo.</t>
        </is>
      </c>
      <c r="O242" s="14" t="inlineStr">
        <is>
          <t>Sistema Único de Acreditación; Ley 1751 de 2015</t>
        </is>
      </c>
      <c r="P242" s="14" t="inlineStr">
        <is>
          <t>SI</t>
        </is>
      </c>
      <c r="Q242" s="11" t="inlineStr">
        <is>
          <t>Basica</t>
        </is>
      </c>
      <c r="R242" s="11" t="inlineStr">
        <is>
          <t>repaso</t>
        </is>
      </c>
    </row>
    <row r="243" ht="23.25" customHeight="1" s="12">
      <c r="A243" s="14" t="inlineStr">
        <is>
          <t>F0242</t>
        </is>
      </c>
      <c r="B243" s="14" t="inlineStr">
        <is>
          <t>PS 2782 de 2026 - ESE 2 - HUHMP Neiva</t>
        </is>
      </c>
      <c r="C243" s="14" t="inlineStr">
        <is>
          <t>Humanizacion y derechos del paciente</t>
        </is>
      </c>
      <c r="D243" s="14" t="inlineStr">
        <is>
          <t>Profesional</t>
        </is>
      </c>
      <c r="E243" s="14" t="inlineStr">
        <is>
          <t>C081</t>
        </is>
      </c>
      <c r="F243" s="14" t="inlineStr">
        <is>
          <t>Caso 081</t>
        </is>
      </c>
      <c r="G243" s="14" t="inlineStr">
        <is>
          <t>El hospital diseña su política de humanización con participación de los usuarios.</t>
        </is>
      </c>
      <c r="H243" s="14" t="inlineStr">
        <is>
          <t>El acompañamiento familiar en hospitalización:</t>
        </is>
      </c>
      <c r="I243" s="14" t="inlineStr">
        <is>
          <t>Debe facilitarse salvo contraindicación clínica justificada</t>
        </is>
      </c>
      <c r="J243" s="14" t="inlineStr">
        <is>
          <t>Debe restringirse por regla general</t>
        </is>
      </c>
      <c r="K243" s="14" t="inlineStr">
        <is>
          <t>Depende de la disponibilidad de sillas</t>
        </is>
      </c>
      <c r="L243" s="14" t="inlineStr">
        <is>
          <t>a</t>
        </is>
      </c>
      <c r="M243" s="14" t="inlineStr">
        <is>
          <t>El acompañamiento se facilita como parte del trato humanizado, salvo contraindicación clínica documentada.</t>
        </is>
      </c>
      <c r="N243" s="14" t="inlineStr">
        <is>
          <t>b) invierte la regla y c) sustituye el criterio clínico por uno logístico.</t>
        </is>
      </c>
      <c r="O243" s="14" t="inlineStr">
        <is>
          <t>Modelo de humanización, Minsalud</t>
        </is>
      </c>
      <c r="P243" s="14" t="inlineStr">
        <is>
          <t>SI</t>
        </is>
      </c>
      <c r="Q243" s="11" t="inlineStr">
        <is>
          <t>Basica</t>
        </is>
      </c>
      <c r="R243" s="11" t="inlineStr">
        <is>
          <t>repaso</t>
        </is>
      </c>
    </row>
    <row r="244" ht="23.25" customHeight="1" s="12">
      <c r="A244" s="14" t="inlineStr">
        <is>
          <t>F0243</t>
        </is>
      </c>
      <c r="B244" s="14" t="inlineStr">
        <is>
          <t>PS 2782 de 2026 - ESE 2 - HUHMP Neiva</t>
        </is>
      </c>
      <c r="C244" s="14" t="inlineStr">
        <is>
          <t>Humanizacion y derechos del paciente</t>
        </is>
      </c>
      <c r="D244" s="14" t="inlineStr">
        <is>
          <t>Profesional</t>
        </is>
      </c>
      <c r="E244" s="14" t="inlineStr">
        <is>
          <t>C081</t>
        </is>
      </c>
      <c r="F244" s="14" t="inlineStr">
        <is>
          <t>Caso 081</t>
        </is>
      </c>
      <c r="G244" s="14" t="inlineStr">
        <is>
          <t>El hospital diseña su política de humanización con participación de los usuarios.</t>
        </is>
      </c>
      <c r="H244" s="14" t="inlineStr">
        <is>
          <t>La atención al final de la vida exige:</t>
        </is>
      </c>
      <c r="I244" s="14" t="inlineStr">
        <is>
          <t>Cuidados paliativos, manejo del dolor y acompañamiento</t>
        </is>
      </c>
      <c r="J244" s="14" t="inlineStr">
        <is>
          <t>Solo tratamiento curativo</t>
        </is>
      </c>
      <c r="K244" s="14" t="inlineStr">
        <is>
          <t>Traslado a otra institución</t>
        </is>
      </c>
      <c r="L244" s="14" t="inlineStr">
        <is>
          <t>a</t>
        </is>
      </c>
      <c r="M244" s="14" t="inlineStr">
        <is>
          <t>La atención al final de la vida comprende cuidados paliativos, manejo del dolor y acompañamiento.</t>
        </is>
      </c>
      <c r="N244" s="14" t="inlineStr">
        <is>
          <t>b) configura obstinación terapéutica y c) fragmenta el cuidado.</t>
        </is>
      </c>
      <c r="O244" s="14" t="inlineStr">
        <is>
          <t>Ley 1733 de 2014</t>
        </is>
      </c>
      <c r="P244" s="14" t="inlineStr">
        <is>
          <t>SI</t>
        </is>
      </c>
      <c r="Q244" s="11" t="inlineStr">
        <is>
          <t>Basica</t>
        </is>
      </c>
      <c r="R244" s="11" t="inlineStr">
        <is>
          <t>repaso</t>
        </is>
      </c>
    </row>
    <row r="245" ht="23.25" customHeight="1" s="12">
      <c r="A245" s="14" t="inlineStr">
        <is>
          <t>F0244</t>
        </is>
      </c>
      <c r="B245" s="14" t="inlineStr">
        <is>
          <t>PS 2782 de 2026 - ESE 2 - HUHMP Neiva</t>
        </is>
      </c>
      <c r="C245" s="14" t="inlineStr">
        <is>
          <t>Humanizacion y derechos del paciente</t>
        </is>
      </c>
      <c r="D245" s="14" t="inlineStr">
        <is>
          <t>Tecnico</t>
        </is>
      </c>
      <c r="E245" s="14" t="inlineStr">
        <is>
          <t>C082</t>
        </is>
      </c>
      <c r="F245" s="14" t="inlineStr">
        <is>
          <t>Caso 082</t>
        </is>
      </c>
      <c r="G245" s="14" t="inlineStr">
        <is>
          <t>En la sala de espera un usuario graba video mientras reclama por la demora.</t>
        </is>
      </c>
      <c r="H245" s="14" t="inlineStr">
        <is>
          <t>La conducta del funcionario debe ser:</t>
        </is>
      </c>
      <c r="I245" s="14" t="inlineStr">
        <is>
          <t>Mantener el trato respetuoso, atender el reclamo y proteger la intimidad de otros pacientes</t>
        </is>
      </c>
      <c r="J245" s="14" t="inlineStr">
        <is>
          <t>Exigir que borre el video antes de atenderlo</t>
        </is>
      </c>
      <c r="K245" s="14" t="inlineStr">
        <is>
          <t>Retirarse del puesto</t>
        </is>
      </c>
      <c r="L245" s="14" t="inlineStr">
        <is>
          <t>a</t>
        </is>
      </c>
      <c r="M245" s="14" t="inlineStr">
        <is>
          <t>Se atiende el reclamo con respeto y se protege la intimidad de los demás pacientes presentes.</t>
        </is>
      </c>
      <c r="N245" s="14" t="inlineStr">
        <is>
          <t>b) condiciona la atención y c) abandona el servicio.</t>
        </is>
      </c>
      <c r="O245" s="14" t="inlineStr">
        <is>
          <t>Ley 1755 de 2015; C.P. art. 15</t>
        </is>
      </c>
      <c r="P245" s="14" t="inlineStr">
        <is>
          <t>SI</t>
        </is>
      </c>
      <c r="Q245" s="11" t="inlineStr">
        <is>
          <t>Basica</t>
        </is>
      </c>
      <c r="R245" s="11" t="inlineStr">
        <is>
          <t>repaso</t>
        </is>
      </c>
    </row>
    <row r="246" ht="23.25" customHeight="1" s="12">
      <c r="A246" s="14" t="inlineStr">
        <is>
          <t>F0245</t>
        </is>
      </c>
      <c r="B246" s="14" t="inlineStr">
        <is>
          <t>PS 2782 de 2026 - ESE 2 - HUHMP Neiva</t>
        </is>
      </c>
      <c r="C246" s="14" t="inlineStr">
        <is>
          <t>Humanizacion y derechos del paciente</t>
        </is>
      </c>
      <c r="D246" s="14" t="inlineStr">
        <is>
          <t>Tecnico</t>
        </is>
      </c>
      <c r="E246" s="14" t="inlineStr">
        <is>
          <t>C082</t>
        </is>
      </c>
      <c r="F246" s="14" t="inlineStr">
        <is>
          <t>Caso 082</t>
        </is>
      </c>
      <c r="G246" s="14" t="inlineStr">
        <is>
          <t>En la sala de espera un usuario graba video mientras reclama por la demora.</t>
        </is>
      </c>
      <c r="H246" s="14" t="inlineStr">
        <is>
          <t>Si la grabación expone a otros pacientes, corresponde:</t>
        </is>
      </c>
      <c r="I246" s="14" t="inlineStr">
        <is>
          <t>Advertir sobre la protección de datos de terceros y reubicar la atención si es posible</t>
        </is>
      </c>
      <c r="J246" s="14" t="inlineStr">
        <is>
          <t>Llamar a la policía de inmediato</t>
        </is>
      </c>
      <c r="K246" s="14" t="inlineStr">
        <is>
          <t>Permitirlo sin observación</t>
        </is>
      </c>
      <c r="L246" s="14" t="inlineStr">
        <is>
          <t>a</t>
        </is>
      </c>
      <c r="M246" s="14" t="inlineStr">
        <is>
          <t>Se advierte sobre la protección de datos de terceros y se busca un espacio que preserve la intimidad.</t>
        </is>
      </c>
      <c r="N246" s="14" t="inlineStr">
        <is>
          <t>b) escala innecesariamente y c) desatiende la protección de terceros.</t>
        </is>
      </c>
      <c r="O246" s="14" t="inlineStr">
        <is>
          <t>Ley 1581 de 2012</t>
        </is>
      </c>
      <c r="P246" s="14" t="inlineStr">
        <is>
          <t>SI</t>
        </is>
      </c>
      <c r="Q246" s="11" t="inlineStr">
        <is>
          <t>Basica</t>
        </is>
      </c>
      <c r="R246" s="11" t="inlineStr">
        <is>
          <t>repaso</t>
        </is>
      </c>
    </row>
    <row r="247" ht="23.25" customHeight="1" s="12">
      <c r="A247" s="14" t="inlineStr">
        <is>
          <t>F0246</t>
        </is>
      </c>
      <c r="B247" s="14" t="inlineStr">
        <is>
          <t>PS 2782 de 2026 - ESE 2 - HUHMP Neiva</t>
        </is>
      </c>
      <c r="C247" s="14" t="inlineStr">
        <is>
          <t>Humanizacion y derechos del paciente</t>
        </is>
      </c>
      <c r="D247" s="14" t="inlineStr">
        <is>
          <t>Tecnico</t>
        </is>
      </c>
      <c r="E247" s="14" t="inlineStr">
        <is>
          <t>C082</t>
        </is>
      </c>
      <c r="F247" s="14" t="inlineStr">
        <is>
          <t>Caso 082</t>
        </is>
      </c>
      <c r="G247" s="14" t="inlineStr">
        <is>
          <t>En la sala de espera un usuario graba video mientras reclama por la demora.</t>
        </is>
      </c>
      <c r="H247" s="14" t="inlineStr">
        <is>
          <t>El reclamo verbal del usuario:</t>
        </is>
      </c>
      <c r="I247" s="14" t="inlineStr">
        <is>
          <t>Debe registrarse y tramitarse como cualquier PQRSD</t>
        </is>
      </c>
      <c r="J247" s="14" t="inlineStr">
        <is>
          <t>Solo cuenta si es escrito</t>
        </is>
      </c>
      <c r="K247" s="14" t="inlineStr">
        <is>
          <t>Puede omitirse si se resolvió en el momento</t>
        </is>
      </c>
      <c r="L247" s="14" t="inlineStr">
        <is>
          <t>a</t>
        </is>
      </c>
      <c r="M247" s="14" t="inlineStr">
        <is>
          <t>Los reclamos, incluidos los verbales, se registran y tramitan por el sistema de PQRSD.</t>
        </is>
      </c>
      <c r="N247" s="14" t="inlineStr">
        <is>
          <t>b) y c) dejan sin registro información útil para el mejoramiento.</t>
        </is>
      </c>
      <c r="O247" s="14" t="inlineStr">
        <is>
          <t>Ley 1755 de 2015; Ley 1122 de 2007</t>
        </is>
      </c>
      <c r="P247" s="14" t="inlineStr">
        <is>
          <t>SI</t>
        </is>
      </c>
      <c r="Q247" s="11" t="inlineStr">
        <is>
          <t>Basica</t>
        </is>
      </c>
      <c r="R247" s="11" t="inlineStr">
        <is>
          <t>repaso</t>
        </is>
      </c>
    </row>
    <row r="248" ht="23.25" customHeight="1" s="12">
      <c r="A248" s="14" t="inlineStr">
        <is>
          <t>F0247</t>
        </is>
      </c>
      <c r="B248" s="14" t="inlineStr">
        <is>
          <t>PS 2782 de 2026 - ESE 2 - HUHMP Neiva</t>
        </is>
      </c>
      <c r="C248" s="14" t="inlineStr">
        <is>
          <t>Humanizacion y derechos del paciente</t>
        </is>
      </c>
      <c r="D248" s="14" t="inlineStr">
        <is>
          <t>Profesional</t>
        </is>
      </c>
      <c r="E248" s="14" t="inlineStr">
        <is>
          <t>C083</t>
        </is>
      </c>
      <c r="F248" s="14" t="inlineStr">
        <is>
          <t>Caso 083</t>
        </is>
      </c>
      <c r="G248" s="14" t="inlineStr">
        <is>
          <t>El comité de ética recibe el caso de una adolescente que solicita atención sin sus padres.</t>
        </is>
      </c>
      <c r="H248" s="14" t="inlineStr">
        <is>
          <t>Frente a la autonomía progresiva del adolescente:</t>
        </is>
      </c>
      <c r="I248" s="14" t="inlineStr">
        <is>
          <t>Debe valorarse su capacidad de comprensión y decidir conforme al interés superior</t>
        </is>
      </c>
      <c r="J248" s="14" t="inlineStr">
        <is>
          <t>Se requiere siempre autorización de los padres</t>
        </is>
      </c>
      <c r="K248" s="14" t="inlineStr">
        <is>
          <t>La decisión la toma el médico sin consultarla</t>
        </is>
      </c>
      <c r="L248" s="14" t="inlineStr">
        <is>
          <t>a</t>
        </is>
      </c>
      <c r="M248" s="14" t="inlineStr">
        <is>
          <t>La autonomía progresiva obliga a valorar la capacidad del adolescente y a decidir conforme a su interés superior.</t>
        </is>
      </c>
      <c r="N248" s="14" t="inlineStr">
        <is>
          <t>b) desconoce la autonomía progresiva y c) excluye a la titular de la decisión.</t>
        </is>
      </c>
      <c r="O248" s="14" t="inlineStr">
        <is>
          <t>Ley 1098 de 2006; jurisprudencia constitucional</t>
        </is>
      </c>
      <c r="P248" s="14" t="inlineStr">
        <is>
          <t>SI</t>
        </is>
      </c>
      <c r="Q248" s="11" t="inlineStr">
        <is>
          <t>Basica</t>
        </is>
      </c>
      <c r="R248" s="11" t="inlineStr">
        <is>
          <t>repaso</t>
        </is>
      </c>
    </row>
    <row r="249" ht="23.25" customHeight="1" s="12">
      <c r="A249" s="14" t="inlineStr">
        <is>
          <t>F0248</t>
        </is>
      </c>
      <c r="B249" s="14" t="inlineStr">
        <is>
          <t>PS 2782 de 2026 - ESE 2 - HUHMP Neiva</t>
        </is>
      </c>
      <c r="C249" s="14" t="inlineStr">
        <is>
          <t>Humanizacion y derechos del paciente</t>
        </is>
      </c>
      <c r="D249" s="14" t="inlineStr">
        <is>
          <t>Profesional</t>
        </is>
      </c>
      <c r="E249" s="14" t="inlineStr">
        <is>
          <t>C083</t>
        </is>
      </c>
      <c r="F249" s="14" t="inlineStr">
        <is>
          <t>Caso 083</t>
        </is>
      </c>
      <c r="G249" s="14" t="inlineStr">
        <is>
          <t>El comité de ética recibe el caso de una adolescente que solicita atención sin sus padres.</t>
        </is>
      </c>
      <c r="H249" s="14" t="inlineStr">
        <is>
          <t>La confidencialidad frente a los padres:</t>
        </is>
      </c>
      <c r="I249" s="14" t="inlineStr">
        <is>
          <t>Se pondera según la edad, la madurez y el riesgo para la adolescente</t>
        </is>
      </c>
      <c r="J249" s="14" t="inlineStr">
        <is>
          <t>Nunca aplica frente a los padres</t>
        </is>
      </c>
      <c r="K249" s="14" t="inlineStr">
        <is>
          <t>Aplica de manera absoluta</t>
        </is>
      </c>
      <c r="L249" s="14" t="inlineStr">
        <is>
          <t>a</t>
        </is>
      </c>
      <c r="M249" s="14" t="inlineStr">
        <is>
          <t>La confidencialidad se pondera con la edad, la madurez y el riesgo, sin reglas absolutas.</t>
        </is>
      </c>
      <c r="N249" s="14" t="inlineStr">
        <is>
          <t>b) y c) resuelven por regla fija un juicio que exige ponderación.</t>
        </is>
      </c>
      <c r="O249" s="14" t="inlineStr">
        <is>
          <t>Ley 1098 de 2006</t>
        </is>
      </c>
      <c r="P249" s="14" t="inlineStr">
        <is>
          <t>SI</t>
        </is>
      </c>
      <c r="Q249" s="11" t="inlineStr">
        <is>
          <t>Basica</t>
        </is>
      </c>
      <c r="R249" s="11" t="inlineStr">
        <is>
          <t>repaso</t>
        </is>
      </c>
    </row>
    <row r="250" ht="23.25" customHeight="1" s="12">
      <c r="A250" s="14" t="inlineStr">
        <is>
          <t>F0249</t>
        </is>
      </c>
      <c r="B250" s="14" t="inlineStr">
        <is>
          <t>PS 2782 de 2026 - ESE 2 - HUHMP Neiva</t>
        </is>
      </c>
      <c r="C250" s="14" t="inlineStr">
        <is>
          <t>Humanizacion y derechos del paciente</t>
        </is>
      </c>
      <c r="D250" s="14" t="inlineStr">
        <is>
          <t>Profesional</t>
        </is>
      </c>
      <c r="E250" s="14" t="inlineStr">
        <is>
          <t>C083</t>
        </is>
      </c>
      <c r="F250" s="14" t="inlineStr">
        <is>
          <t>Caso 083</t>
        </is>
      </c>
      <c r="G250" s="14" t="inlineStr">
        <is>
          <t>El comité de ética recibe el caso de una adolescente que solicita atención sin sus padres.</t>
        </is>
      </c>
      <c r="H250" s="14" t="inlineStr">
        <is>
          <t>Si se detecta un riesgo de vulneración de derechos del menor:</t>
        </is>
      </c>
      <c r="I250" s="14" t="inlineStr">
        <is>
          <t>Debe activarse la ruta de protección ante la autoridad competente</t>
        </is>
      </c>
      <c r="J250" s="14" t="inlineStr">
        <is>
          <t>Se registra solo en la historia clínica</t>
        </is>
      </c>
      <c r="K250" s="14" t="inlineStr">
        <is>
          <t>Se informa únicamente a la familia</t>
        </is>
      </c>
      <c r="L250" s="14" t="inlineStr">
        <is>
          <t>a</t>
        </is>
      </c>
      <c r="M250" s="14" t="inlineStr">
        <is>
          <t>Detectado un riesgo de vulneración, se activa la ruta de protección ante la autoridad competente.</t>
        </is>
      </c>
      <c r="N250" s="14" t="inlineStr">
        <is>
          <t>b) y c) dejan el riesgo sin intervención institucional.</t>
        </is>
      </c>
      <c r="O250" s="14" t="inlineStr">
        <is>
          <t>Ley 1098 de 2006</t>
        </is>
      </c>
      <c r="P250" s="14" t="inlineStr">
        <is>
          <t>SI</t>
        </is>
      </c>
      <c r="Q250" s="11" t="inlineStr">
        <is>
          <t>Basica</t>
        </is>
      </c>
      <c r="R250" s="11" t="inlineStr">
        <is>
          <t>repaso</t>
        </is>
      </c>
    </row>
    <row r="251" ht="23.25" customHeight="1" s="12">
      <c r="A251" s="14" t="inlineStr">
        <is>
          <t>F0250</t>
        </is>
      </c>
      <c r="B251" s="14" t="inlineStr">
        <is>
          <t>PS 2782 de 2026 - ESE 2 - HUHMP Neiva</t>
        </is>
      </c>
      <c r="C251" s="14" t="inlineStr">
        <is>
          <t>Humanizacion y derechos del paciente</t>
        </is>
      </c>
      <c r="D251" s="14" t="inlineStr">
        <is>
          <t>Profesional</t>
        </is>
      </c>
      <c r="E251" s="14" t="inlineStr">
        <is>
          <t>C084</t>
        </is>
      </c>
      <c r="F251" s="14" t="inlineStr">
        <is>
          <t>Caso 084</t>
        </is>
      </c>
      <c r="G251" s="14" t="inlineStr">
        <is>
          <t>El SIAU analiza las quejas del trimestre y su relación con la calidad.</t>
        </is>
      </c>
      <c r="H251" s="14" t="inlineStr">
        <is>
          <t>Las quejas deben analizarse:</t>
        </is>
      </c>
      <c r="I251" s="14" t="inlineStr">
        <is>
          <t>De forma agregada, para identificar causas y priorizar mejoras</t>
        </is>
      </c>
      <c r="J251" s="14" t="inlineStr">
        <is>
          <t>Caso por caso, sin consolidar</t>
        </is>
      </c>
      <c r="K251" s="14" t="inlineStr">
        <is>
          <t>Solo cuando llegan a la Superintendencia</t>
        </is>
      </c>
      <c r="L251" s="14" t="inlineStr">
        <is>
          <t>a</t>
        </is>
      </c>
      <c r="M251" s="14" t="inlineStr">
        <is>
          <t>El análisis agregado permite identificar causas comunes y priorizar acciones de mejora.</t>
        </is>
      </c>
      <c r="N251" s="14" t="inlineStr">
        <is>
          <t>b) pierde el patrón y c) espera a la escalada externa.</t>
        </is>
      </c>
      <c r="O251" s="14" t="inlineStr">
        <is>
          <t>PAMEC; Ley 1122 de 2007</t>
        </is>
      </c>
      <c r="P251" s="14" t="inlineStr">
        <is>
          <t>SI</t>
        </is>
      </c>
      <c r="Q251" s="11" t="inlineStr">
        <is>
          <t>Basica</t>
        </is>
      </c>
      <c r="R251" s="11" t="inlineStr">
        <is>
          <t>repaso</t>
        </is>
      </c>
    </row>
    <row r="252" ht="23.25" customHeight="1" s="12">
      <c r="A252" s="14" t="inlineStr">
        <is>
          <t>F0251</t>
        </is>
      </c>
      <c r="B252" s="14" t="inlineStr">
        <is>
          <t>PS 2782 de 2026 - ESE 2 - HUHMP Neiva</t>
        </is>
      </c>
      <c r="C252" s="14" t="inlineStr">
        <is>
          <t>Humanizacion y derechos del paciente</t>
        </is>
      </c>
      <c r="D252" s="14" t="inlineStr">
        <is>
          <t>Profesional</t>
        </is>
      </c>
      <c r="E252" s="14" t="inlineStr">
        <is>
          <t>C084</t>
        </is>
      </c>
      <c r="F252" s="14" t="inlineStr">
        <is>
          <t>Caso 084</t>
        </is>
      </c>
      <c r="G252" s="14" t="inlineStr">
        <is>
          <t>El SIAU analiza las quejas del trimestre y su relación con la calidad.</t>
        </is>
      </c>
      <c r="H252" s="14" t="inlineStr">
        <is>
          <t>La encuesta de satisfacción sirve para:</t>
        </is>
      </c>
      <c r="I252" s="14" t="inlineStr">
        <is>
          <t>Medir la percepción del usuario y alimentar el mejoramiento</t>
        </is>
      </c>
      <c r="J252" s="14" t="inlineStr">
        <is>
          <t>Calificar al personal individualmente</t>
        </is>
      </c>
      <c r="K252" s="14" t="inlineStr">
        <is>
          <t>Justificar tarifas</t>
        </is>
      </c>
      <c r="L252" s="14" t="inlineStr">
        <is>
          <t>a</t>
        </is>
      </c>
      <c r="M252" s="14" t="inlineStr">
        <is>
          <t>La medición de satisfacción alimenta el ciclo de mejoramiento institucional.</t>
        </is>
      </c>
      <c r="N252" s="14" t="inlineStr">
        <is>
          <t>b) la desvía a un uso sancionatorio y c) a uno económico.</t>
        </is>
      </c>
      <c r="O252" s="14" t="inlineStr">
        <is>
          <t>Resolución 256 de 2016</t>
        </is>
      </c>
      <c r="P252" s="14" t="inlineStr">
        <is>
          <t>SI</t>
        </is>
      </c>
      <c r="Q252" s="11" t="inlineStr">
        <is>
          <t>Basica</t>
        </is>
      </c>
      <c r="R252" s="11" t="inlineStr">
        <is>
          <t>repaso</t>
        </is>
      </c>
    </row>
    <row r="253" ht="23.25" customHeight="1" s="12">
      <c r="A253" s="14" t="inlineStr">
        <is>
          <t>F0252</t>
        </is>
      </c>
      <c r="B253" s="14" t="inlineStr">
        <is>
          <t>PS 2782 de 2026 - ESE 2 - HUHMP Neiva</t>
        </is>
      </c>
      <c r="C253" s="14" t="inlineStr">
        <is>
          <t>Humanizacion y derechos del paciente</t>
        </is>
      </c>
      <c r="D253" s="14" t="inlineStr">
        <is>
          <t>Profesional</t>
        </is>
      </c>
      <c r="E253" s="14" t="inlineStr">
        <is>
          <t>C084</t>
        </is>
      </c>
      <c r="F253" s="14" t="inlineStr">
        <is>
          <t>Caso 084</t>
        </is>
      </c>
      <c r="G253" s="14" t="inlineStr">
        <is>
          <t>El SIAU analiza las quejas del trimestre y su relación con la calidad.</t>
        </is>
      </c>
      <c r="H253" s="14" t="inlineStr">
        <is>
          <t>La respuesta a una queja debe:</t>
        </is>
      </c>
      <c r="I253" s="14" t="inlineStr">
        <is>
          <t>Resolver de fondo, en lenguaje claro y dentro del término legal</t>
        </is>
      </c>
      <c r="J253" s="14" t="inlineStr">
        <is>
          <t>Limitarse a acusar recibo</t>
        </is>
      </c>
      <c r="K253" s="14" t="inlineStr">
        <is>
          <t>Remitirse siempre a la EPS</t>
        </is>
      </c>
      <c r="L253" s="14" t="inlineStr">
        <is>
          <t>a</t>
        </is>
      </c>
      <c r="M253" s="14" t="inlineStr">
        <is>
          <t>La respuesta debe ser de fondo, clara y oportuna.</t>
        </is>
      </c>
      <c r="N253" s="14" t="inlineStr">
        <is>
          <t>b) no resuelve y c) traslada indebidamente la competencia.</t>
        </is>
      </c>
      <c r="O253" s="14" t="inlineStr">
        <is>
          <t>Ley 1755 de 2015</t>
        </is>
      </c>
      <c r="P253" s="14" t="inlineStr">
        <is>
          <t>SI</t>
        </is>
      </c>
      <c r="Q253" s="11" t="inlineStr">
        <is>
          <t>Basica</t>
        </is>
      </c>
      <c r="R253" s="11" t="inlineStr">
        <is>
          <t>repaso</t>
        </is>
      </c>
    </row>
    <row r="254" ht="23.25" customHeight="1" s="12">
      <c r="A254" s="14" t="inlineStr">
        <is>
          <t>F0253</t>
        </is>
      </c>
      <c r="B254" s="14" t="inlineStr">
        <is>
          <t>PS 2782 de 2026 - ESE 2 - HUHMP Neiva</t>
        </is>
      </c>
      <c r="C254" s="14" t="inlineStr">
        <is>
          <t>Humanizacion y derechos del paciente</t>
        </is>
      </c>
      <c r="D254" s="14" t="inlineStr">
        <is>
          <t>Tecnico</t>
        </is>
      </c>
      <c r="E254" s="14" t="inlineStr">
        <is>
          <t>C085</t>
        </is>
      </c>
      <c r="F254" s="14" t="inlineStr">
        <is>
          <t>Caso 085</t>
        </is>
      </c>
      <c r="G254" s="14" t="inlineStr">
        <is>
          <t>Una persona sorda acude sin intérprete a solicitar una cita.</t>
        </is>
      </c>
      <c r="H254" s="14" t="inlineStr">
        <is>
          <t>La institución debe:</t>
        </is>
      </c>
      <c r="I254" s="14" t="inlineStr">
        <is>
          <t>Garantizar un medio de comunicación accesible para prestar el servicio</t>
        </is>
      </c>
      <c r="J254" s="14" t="inlineStr">
        <is>
          <t>Pedirle que regrese con un acompañante</t>
        </is>
      </c>
      <c r="K254" s="14" t="inlineStr">
        <is>
          <t>Atenderla por escrito sin verificar comprensión</t>
        </is>
      </c>
      <c r="L254" s="14" t="inlineStr">
        <is>
          <t>a</t>
        </is>
      </c>
      <c r="M254" s="14" t="inlineStr">
        <is>
          <t>El deber de accesibilidad obliga a proveer un medio de comunicación que permita el acceso al servicio.</t>
        </is>
      </c>
      <c r="N254" s="14" t="inlineStr">
        <is>
          <t>b) traslada la barrera al usuario y c) presume una comprensión no verificada.</t>
        </is>
      </c>
      <c r="O254" s="14" t="inlineStr">
        <is>
          <t>Ley 1618 de 2013; Ley 982 de 2005</t>
        </is>
      </c>
      <c r="P254" s="14" t="inlineStr">
        <is>
          <t>SI</t>
        </is>
      </c>
      <c r="Q254" s="11" t="inlineStr">
        <is>
          <t>Basica</t>
        </is>
      </c>
      <c r="R254" s="11" t="inlineStr">
        <is>
          <t>repaso</t>
        </is>
      </c>
    </row>
    <row r="255" ht="23.25" customHeight="1" s="12">
      <c r="A255" s="14" t="inlineStr">
        <is>
          <t>F0254</t>
        </is>
      </c>
      <c r="B255" s="14" t="inlineStr">
        <is>
          <t>PS 2782 de 2026 - ESE 2 - HUHMP Neiva</t>
        </is>
      </c>
      <c r="C255" s="14" t="inlineStr">
        <is>
          <t>Humanizacion y derechos del paciente</t>
        </is>
      </c>
      <c r="D255" s="14" t="inlineStr">
        <is>
          <t>Tecnico</t>
        </is>
      </c>
      <c r="E255" s="14" t="inlineStr">
        <is>
          <t>C085</t>
        </is>
      </c>
      <c r="F255" s="14" t="inlineStr">
        <is>
          <t>Caso 085</t>
        </is>
      </c>
      <c r="G255" s="14" t="inlineStr">
        <is>
          <t>Una persona sorda acude sin intérprete a solicitar una cita.</t>
        </is>
      </c>
      <c r="H255" s="14" t="inlineStr">
        <is>
          <t>Los ajustes razonables son:</t>
        </is>
      </c>
      <c r="I255" s="14" t="inlineStr">
        <is>
          <t>Modificaciones necesarias y adecuadas que no impongan una carga desproporcionada</t>
        </is>
      </c>
      <c r="J255" s="14" t="inlineStr">
        <is>
          <t>Beneficios opcionales</t>
        </is>
      </c>
      <c r="K255" s="14" t="inlineStr">
        <is>
          <t>Solo obras físicas</t>
        </is>
      </c>
      <c r="L255" s="14" t="inlineStr">
        <is>
          <t>a</t>
        </is>
      </c>
      <c r="M255" s="14" t="inlineStr">
        <is>
          <t>Los ajustes razonables son modificaciones necesarias y adecuadas, sin carga desproporcionada.</t>
        </is>
      </c>
      <c r="N255" s="14" t="inlineStr">
        <is>
          <t>b) los vuelve discrecionales y c) los reduce a infraestructura.</t>
        </is>
      </c>
      <c r="O255" s="14" t="inlineStr">
        <is>
          <t>Ley 1346 de 2009; Ley 1618 de 2013</t>
        </is>
      </c>
      <c r="P255" s="14" t="inlineStr">
        <is>
          <t>SI</t>
        </is>
      </c>
      <c r="Q255" s="11" t="inlineStr">
        <is>
          <t>Basica</t>
        </is>
      </c>
      <c r="R255" s="11" t="inlineStr">
        <is>
          <t>repaso</t>
        </is>
      </c>
    </row>
    <row r="256" ht="23.25" customHeight="1" s="12">
      <c r="A256" s="14" t="inlineStr">
        <is>
          <t>F0255</t>
        </is>
      </c>
      <c r="B256" s="14" t="inlineStr">
        <is>
          <t>PS 2782 de 2026 - ESE 2 - HUHMP Neiva</t>
        </is>
      </c>
      <c r="C256" s="14" t="inlineStr">
        <is>
          <t>Humanizacion y derechos del paciente</t>
        </is>
      </c>
      <c r="D256" s="14" t="inlineStr">
        <is>
          <t>Tecnico</t>
        </is>
      </c>
      <c r="E256" s="14" t="inlineStr">
        <is>
          <t>C085</t>
        </is>
      </c>
      <c r="F256" s="14" t="inlineStr">
        <is>
          <t>Caso 085</t>
        </is>
      </c>
      <c r="G256" s="14" t="inlineStr">
        <is>
          <t>Una persona sorda acude sin intérprete a solicitar una cita.</t>
        </is>
      </c>
      <c r="H256" s="14" t="inlineStr">
        <is>
          <t>La señalización y la información institucional deben:</t>
        </is>
      </c>
      <c r="I256" s="14" t="inlineStr">
        <is>
          <t>Ser accesibles y comprensibles para personas con discapacidad</t>
        </is>
      </c>
      <c r="J256" s="14" t="inlineStr">
        <is>
          <t>Estar solo en texto</t>
        </is>
      </c>
      <c r="K256" s="14" t="inlineStr">
        <is>
          <t>Ubicarse solo en la entrada</t>
        </is>
      </c>
      <c r="L256" s="14" t="inlineStr">
        <is>
          <t>a</t>
        </is>
      </c>
      <c r="M256" s="14" t="inlineStr">
        <is>
          <t>La información institucional debe ser accesible y comprensible, en formatos alternativos cuando se requiera.</t>
        </is>
      </c>
      <c r="N256" s="14" t="inlineStr">
        <is>
          <t>b) y c) excluyen a parte de los usuarios.</t>
        </is>
      </c>
      <c r="O256" s="14" t="inlineStr">
        <is>
          <t>Resolución 1519 de 2020; Ley 1618 de 2013</t>
        </is>
      </c>
      <c r="P256" s="14" t="inlineStr">
        <is>
          <t>SI</t>
        </is>
      </c>
      <c r="Q256" s="11" t="inlineStr">
        <is>
          <t>Basica</t>
        </is>
      </c>
      <c r="R256" s="11" t="inlineStr">
        <is>
          <t>repaso</t>
        </is>
      </c>
    </row>
    <row r="257" ht="23.25" customHeight="1" s="12">
      <c r="A257" s="14" t="inlineStr">
        <is>
          <t>F0256</t>
        </is>
      </c>
      <c r="B257" s="14" t="inlineStr">
        <is>
          <t>PS 2782 de 2026 - ESE 2 - HUHMP Neiva</t>
        </is>
      </c>
      <c r="C257" s="14" t="inlineStr">
        <is>
          <t>Referencia y contrarreferencia</t>
        </is>
      </c>
      <c r="D257" s="14" t="inlineStr">
        <is>
          <t>Profesional</t>
        </is>
      </c>
      <c r="E257" s="14" t="inlineStr">
        <is>
          <t>C086</t>
        </is>
      </c>
      <c r="F257" s="14" t="inlineStr">
        <is>
          <t>Caso 086</t>
        </is>
      </c>
      <c r="G257" s="14" t="inlineStr">
        <is>
          <t>El CRUE asigna al hospital un paciente politraumatizado de otro municipio del Huila.</t>
        </is>
      </c>
      <c r="H257" s="14" t="inlineStr">
        <is>
          <t>El centro regulador de urgencias y emergencias cumple la función de:</t>
        </is>
      </c>
      <c r="I257" s="14" t="inlineStr">
        <is>
          <t>Coordinar la referencia y asignar la institución receptora según capacidad y complejidad</t>
        </is>
      </c>
      <c r="J257" s="14" t="inlineStr">
        <is>
          <t>Autorizar los servicios ante la EPS</t>
        </is>
      </c>
      <c r="K257" s="14" t="inlineStr">
        <is>
          <t>Facturar el traslado</t>
        </is>
      </c>
      <c r="L257" s="14" t="inlineStr">
        <is>
          <t>a</t>
        </is>
      </c>
      <c r="M257" s="14" t="inlineStr">
        <is>
          <t>El CRUE coordina la referencia y asigna la institución receptora según capacidad y complejidad.</t>
        </is>
      </c>
      <c r="N257" s="14" t="inlineStr">
        <is>
          <t>b) es función del asegurador y c) del área administrativa del prestador.</t>
        </is>
      </c>
      <c r="O257" s="14" t="inlineStr">
        <is>
          <t>Resolución 1220 de 2010</t>
        </is>
      </c>
      <c r="P257" s="14" t="inlineStr">
        <is>
          <t>SI</t>
        </is>
      </c>
      <c r="Q257" s="11" t="inlineStr">
        <is>
          <t>Basica</t>
        </is>
      </c>
      <c r="R257" s="11" t="inlineStr">
        <is>
          <t>repaso</t>
        </is>
      </c>
    </row>
    <row r="258" ht="23.25" customHeight="1" s="12">
      <c r="A258" s="14" t="inlineStr">
        <is>
          <t>F0257</t>
        </is>
      </c>
      <c r="B258" s="14" t="inlineStr">
        <is>
          <t>PS 2782 de 2026 - ESE 2 - HUHMP Neiva</t>
        </is>
      </c>
      <c r="C258" s="14" t="inlineStr">
        <is>
          <t>Referencia y contrarreferencia</t>
        </is>
      </c>
      <c r="D258" s="14" t="inlineStr">
        <is>
          <t>Profesional</t>
        </is>
      </c>
      <c r="E258" s="14" t="inlineStr">
        <is>
          <t>C086</t>
        </is>
      </c>
      <c r="F258" s="14" t="inlineStr">
        <is>
          <t>Caso 086</t>
        </is>
      </c>
      <c r="G258" s="14" t="inlineStr">
        <is>
          <t>El CRUE asigna al hospital un paciente politraumatizado de otro municipio del Huila.</t>
        </is>
      </c>
      <c r="H258" s="14" t="inlineStr">
        <is>
          <t>Si el hospital receptor no tiene camas disponibles:</t>
        </is>
      </c>
      <c r="I258" s="14" t="inlineStr">
        <is>
          <t>Debe informarlo de inmediato y el CRUE continúa la gestión de un destino asistencial</t>
        </is>
      </c>
      <c r="J258" s="14" t="inlineStr">
        <is>
          <t>Puede ignorar la solicitud</t>
        </is>
      </c>
      <c r="K258" s="14" t="inlineStr">
        <is>
          <t>Debe recibir igual y ubicar al paciente en pasillo</t>
        </is>
      </c>
      <c r="L258" s="14" t="inlineStr">
        <is>
          <t>a</t>
        </is>
      </c>
      <c r="M258" s="14" t="inlineStr">
        <is>
          <t>La institución informa su condición real y el centro regulador continúa la búsqueda del destino.</t>
        </is>
      </c>
      <c r="N258" s="14" t="inlineStr">
        <is>
          <t>b) desatiende al paciente y c) compromete su seguridad y la del servicio.</t>
        </is>
      </c>
      <c r="O258" s="14" t="inlineStr">
        <is>
          <t>Resolución 1220 de 2010</t>
        </is>
      </c>
      <c r="P258" s="14" t="inlineStr">
        <is>
          <t>SI</t>
        </is>
      </c>
      <c r="Q258" s="11" t="inlineStr">
        <is>
          <t>Basica</t>
        </is>
      </c>
      <c r="R258" s="11" t="inlineStr">
        <is>
          <t>repaso</t>
        </is>
      </c>
    </row>
    <row r="259" ht="23.25" customHeight="1" s="12">
      <c r="A259" s="14" t="inlineStr">
        <is>
          <t>F0258</t>
        </is>
      </c>
      <c r="B259" s="14" t="inlineStr">
        <is>
          <t>PS 2782 de 2026 - ESE 2 - HUHMP Neiva</t>
        </is>
      </c>
      <c r="C259" s="14" t="inlineStr">
        <is>
          <t>Referencia y contrarreferencia</t>
        </is>
      </c>
      <c r="D259" s="14" t="inlineStr">
        <is>
          <t>Profesional</t>
        </is>
      </c>
      <c r="E259" s="14" t="inlineStr">
        <is>
          <t>C086</t>
        </is>
      </c>
      <c r="F259" s="14" t="inlineStr">
        <is>
          <t>Caso 086</t>
        </is>
      </c>
      <c r="G259" s="14" t="inlineStr">
        <is>
          <t>El CRUE asigna al hospital un paciente politraumatizado de otro municipio del Huila.</t>
        </is>
      </c>
      <c r="H259" s="14" t="inlineStr">
        <is>
          <t>La responsabilidad sobre el paciente durante el traslado corresponde a:</t>
        </is>
      </c>
      <c r="I259" s="14" t="inlineStr">
        <is>
          <t>Quien realiza el traslado, hasta la entrega formal al receptor</t>
        </is>
      </c>
      <c r="J259" s="14" t="inlineStr">
        <is>
          <t>Al hospital de origen hasta el alta</t>
        </is>
      </c>
      <c r="K259" s="14" t="inlineStr">
        <is>
          <t>Al receptor desde la solicitud</t>
        </is>
      </c>
      <c r="L259" s="14" t="inlineStr">
        <is>
          <t>a</t>
        </is>
      </c>
      <c r="M259" s="14" t="inlineStr">
        <is>
          <t>La responsabilidad recae en quien ejecuta el traslado hasta la entrega formal del paciente.</t>
        </is>
      </c>
      <c r="N259" s="14" t="inlineStr">
        <is>
          <t>b) y c) desplazan la responsabilidad a momentos que no corresponden.</t>
        </is>
      </c>
      <c r="O259" s="14" t="inlineStr">
        <is>
          <t>Decreto 780 de 2016</t>
        </is>
      </c>
      <c r="P259" s="14" t="inlineStr">
        <is>
          <t>SI</t>
        </is>
      </c>
      <c r="Q259" s="11" t="inlineStr">
        <is>
          <t>Basica</t>
        </is>
      </c>
      <c r="R259" s="11" t="inlineStr">
        <is>
          <t>repaso</t>
        </is>
      </c>
    </row>
    <row r="260" ht="23.25" customHeight="1" s="12">
      <c r="A260" s="14" t="inlineStr">
        <is>
          <t>F0259</t>
        </is>
      </c>
      <c r="B260" s="14" t="inlineStr">
        <is>
          <t>PS 2782 de 2026 - ESE 2 - HUHMP Neiva</t>
        </is>
      </c>
      <c r="C260" s="14" t="inlineStr">
        <is>
          <t>Referencia y contrarreferencia</t>
        </is>
      </c>
      <c r="D260" s="14" t="inlineStr">
        <is>
          <t>Tecnico</t>
        </is>
      </c>
      <c r="E260" s="14" t="inlineStr">
        <is>
          <t>C087</t>
        </is>
      </c>
      <c r="F260" s="14" t="inlineStr">
        <is>
          <t>Caso 087</t>
        </is>
      </c>
      <c r="G260" s="14" t="inlineStr">
        <is>
          <t>Se documenta el egreso de un paciente remitido desde un municipio lejano.</t>
        </is>
      </c>
      <c r="H260" s="14" t="inlineStr">
        <is>
          <t>La epicrisis debe entregarse:</t>
        </is>
      </c>
      <c r="I260" s="14" t="inlineStr">
        <is>
          <t>Al paciente y al prestador remitente, como soporte de la contrarreferencia</t>
        </is>
      </c>
      <c r="J260" s="14" t="inlineStr">
        <is>
          <t>Solo a la EPS</t>
        </is>
      </c>
      <c r="K260" s="14" t="inlineStr">
        <is>
          <t>Solo si el paciente la solicita</t>
        </is>
      </c>
      <c r="L260" s="14" t="inlineStr">
        <is>
          <t>a</t>
        </is>
      </c>
      <c r="M260" s="14" t="inlineStr">
        <is>
          <t>La epicrisis soporta la continuidad del cuidado y se remite al prestador de origen además de entregarse al paciente.</t>
        </is>
      </c>
      <c r="N260" s="14" t="inlineStr">
        <is>
          <t>b) y c) rompen la continuidad del cuidado.</t>
        </is>
      </c>
      <c r="O260" s="14" t="inlineStr">
        <is>
          <t>Resolución 1995 de 1999; Resolución 3047 de 2008</t>
        </is>
      </c>
      <c r="P260" s="14" t="inlineStr">
        <is>
          <t>SI</t>
        </is>
      </c>
      <c r="Q260" s="11" t="inlineStr">
        <is>
          <t>Basica</t>
        </is>
      </c>
      <c r="R260" s="11" t="inlineStr">
        <is>
          <t>repaso</t>
        </is>
      </c>
    </row>
    <row r="261" ht="23.25" customHeight="1" s="12">
      <c r="A261" s="14" t="inlineStr">
        <is>
          <t>F0260</t>
        </is>
      </c>
      <c r="B261" s="14" t="inlineStr">
        <is>
          <t>PS 2782 de 2026 - ESE 2 - HUHMP Neiva</t>
        </is>
      </c>
      <c r="C261" s="14" t="inlineStr">
        <is>
          <t>Referencia y contrarreferencia</t>
        </is>
      </c>
      <c r="D261" s="14" t="inlineStr">
        <is>
          <t>Tecnico</t>
        </is>
      </c>
      <c r="E261" s="14" t="inlineStr">
        <is>
          <t>C087</t>
        </is>
      </c>
      <c r="F261" s="14" t="inlineStr">
        <is>
          <t>Caso 087</t>
        </is>
      </c>
      <c r="G261" s="14" t="inlineStr">
        <is>
          <t>Se documenta el egreso de un paciente remitido desde un municipio lejano.</t>
        </is>
      </c>
      <c r="H261" s="14" t="inlineStr">
        <is>
          <t>El plan de egreso debe incluir:</t>
        </is>
      </c>
      <c r="I261" s="14" t="inlineStr">
        <is>
          <t>Indicaciones, signos de alarma, controles y responsable del seguimiento</t>
        </is>
      </c>
      <c r="J261" s="14" t="inlineStr">
        <is>
          <t>Solo la fórmula médica</t>
        </is>
      </c>
      <c r="K261" s="14" t="inlineStr">
        <is>
          <t>Solo la fecha del próximo control</t>
        </is>
      </c>
      <c r="L261" s="14" t="inlineStr">
        <is>
          <t>a</t>
        </is>
      </c>
      <c r="M261" s="14" t="inlineStr">
        <is>
          <t>El plan de egreso comprende indicaciones, signos de alarma, controles y responsable del seguimiento.</t>
        </is>
      </c>
      <c r="N261" s="14" t="inlineStr">
        <is>
          <t>b) y c) entregan piezas sueltas sin plan de cuidado.</t>
        </is>
      </c>
      <c r="O261" s="14" t="inlineStr">
        <is>
          <t>Guías de práctica clínica; SOGCS</t>
        </is>
      </c>
      <c r="P261" s="14" t="inlineStr">
        <is>
          <t>SI</t>
        </is>
      </c>
      <c r="Q261" s="11" t="inlineStr">
        <is>
          <t>Basica</t>
        </is>
      </c>
      <c r="R261" s="11" t="inlineStr">
        <is>
          <t>repaso</t>
        </is>
      </c>
    </row>
    <row r="262" ht="23.25" customHeight="1" s="12">
      <c r="A262" s="14" t="inlineStr">
        <is>
          <t>F0261</t>
        </is>
      </c>
      <c r="B262" s="14" t="inlineStr">
        <is>
          <t>PS 2782 de 2026 - ESE 2 - HUHMP Neiva</t>
        </is>
      </c>
      <c r="C262" s="14" t="inlineStr">
        <is>
          <t>Referencia y contrarreferencia</t>
        </is>
      </c>
      <c r="D262" s="14" t="inlineStr">
        <is>
          <t>Tecnico</t>
        </is>
      </c>
      <c r="E262" s="14" t="inlineStr">
        <is>
          <t>C087</t>
        </is>
      </c>
      <c r="F262" s="14" t="inlineStr">
        <is>
          <t>Caso 087</t>
        </is>
      </c>
      <c r="G262" s="14" t="inlineStr">
        <is>
          <t>Se documenta el egreso de un paciente remitido desde un municipio lejano.</t>
        </is>
      </c>
      <c r="H262" s="14" t="inlineStr">
        <is>
          <t>Si el paciente vive en zona dispersa, el egreso debe:</t>
        </is>
      </c>
      <c r="I262" s="14" t="inlineStr">
        <is>
          <t>Coordinarse con la red y el asegurador para asegurar el seguimiento</t>
        </is>
      </c>
      <c r="J262" s="14" t="inlineStr">
        <is>
          <t>Realizarse igual, sin coordinación</t>
        </is>
      </c>
      <c r="K262" s="14" t="inlineStr">
        <is>
          <t>Aplazarse indefinidamente</t>
        </is>
      </c>
      <c r="L262" s="14" t="inlineStr">
        <is>
          <t>a</t>
        </is>
      </c>
      <c r="M262" s="14" t="inlineStr">
        <is>
          <t>El egreso seguro exige coordinación con la red y el asegurador para garantizar el seguimiento.</t>
        </is>
      </c>
      <c r="N262" s="14" t="inlineStr">
        <is>
          <t>b) traslada el riesgo al paciente y c) prolonga la estancia sin causa clínica.</t>
        </is>
      </c>
      <c r="O262" s="14" t="inlineStr">
        <is>
          <t>Ley 1438 de 2011; Decreto 780 de 2016</t>
        </is>
      </c>
      <c r="P262" s="14" t="inlineStr">
        <is>
          <t>SI</t>
        </is>
      </c>
      <c r="Q262" s="11" t="inlineStr">
        <is>
          <t>Basica</t>
        </is>
      </c>
      <c r="R262" s="11" t="inlineStr">
        <is>
          <t>repaso</t>
        </is>
      </c>
    </row>
    <row r="263" ht="23.25" customHeight="1" s="12">
      <c r="A263" s="14" t="inlineStr">
        <is>
          <t>F0262</t>
        </is>
      </c>
      <c r="B263" s="14" t="inlineStr">
        <is>
          <t>PS 2782 de 2026 - ESE 2 - HUHMP Neiva</t>
        </is>
      </c>
      <c r="C263" s="14" t="inlineStr">
        <is>
          <t>Referencia y contrarreferencia</t>
        </is>
      </c>
      <c r="D263" s="14" t="inlineStr">
        <is>
          <t>Profesional</t>
        </is>
      </c>
      <c r="E263" s="14" t="inlineStr">
        <is>
          <t>C088</t>
        </is>
      </c>
      <c r="F263" s="14" t="inlineStr">
        <is>
          <t>Caso 088</t>
        </is>
      </c>
      <c r="G263" s="14" t="inlineStr">
        <is>
          <t>El hospital documenta una negativa reiterada de una EPS a autorizar traslados.</t>
        </is>
      </c>
      <c r="H263" s="14" t="inlineStr">
        <is>
          <t>La conducta institucional correcta es:</t>
        </is>
      </c>
      <c r="I263" s="14" t="inlineStr">
        <is>
          <t>Documentar los hechos y reportarlos a la Superintendencia Nacional de Salud</t>
        </is>
      </c>
      <c r="J263" s="14" t="inlineStr">
        <is>
          <t>Suspender la atención de los afiliados de esa EPS</t>
        </is>
      </c>
      <c r="K263" s="14" t="inlineStr">
        <is>
          <t>Cobrar directamente al usuario</t>
        </is>
      </c>
      <c r="L263" s="14" t="inlineStr">
        <is>
          <t>a</t>
        </is>
      </c>
      <c r="M263" s="14" t="inlineStr">
        <is>
          <t>Los hechos se documentan y se reportan a la autoridad de inspección, vigilancia y control.</t>
        </is>
      </c>
      <c r="N263" s="14" t="inlineStr">
        <is>
          <t>b) sanciona al usuario por un conflicto entre entidades y c) traslada el costo al paciente.</t>
        </is>
      </c>
      <c r="O263" s="14" t="inlineStr">
        <is>
          <t>Ley 1122 de 2007; Ley 1751 de 2015</t>
        </is>
      </c>
      <c r="P263" s="14" t="inlineStr">
        <is>
          <t>SI</t>
        </is>
      </c>
      <c r="Q263" s="11" t="inlineStr">
        <is>
          <t>Basica</t>
        </is>
      </c>
      <c r="R263" s="11" t="inlineStr">
        <is>
          <t>repaso</t>
        </is>
      </c>
    </row>
    <row r="264" ht="23.25" customHeight="1" s="12">
      <c r="A264" s="14" t="inlineStr">
        <is>
          <t>F0263</t>
        </is>
      </c>
      <c r="B264" s="14" t="inlineStr">
        <is>
          <t>PS 2782 de 2026 - ESE 2 - HUHMP Neiva</t>
        </is>
      </c>
      <c r="C264" s="14" t="inlineStr">
        <is>
          <t>Referencia y contrarreferencia</t>
        </is>
      </c>
      <c r="D264" s="14" t="inlineStr">
        <is>
          <t>Profesional</t>
        </is>
      </c>
      <c r="E264" s="14" t="inlineStr">
        <is>
          <t>C088</t>
        </is>
      </c>
      <c r="F264" s="14" t="inlineStr">
        <is>
          <t>Caso 088</t>
        </is>
      </c>
      <c r="G264" s="14" t="inlineStr">
        <is>
          <t>El hospital documenta una negativa reiterada de una EPS a autorizar traslados.</t>
        </is>
      </c>
      <c r="H264" s="14" t="inlineStr">
        <is>
          <t>Mientras se resuelve el conflicto entre entidades:</t>
        </is>
      </c>
      <c r="I264" s="14" t="inlineStr">
        <is>
          <t>La atención del paciente no puede interrumpirse</t>
        </is>
      </c>
      <c r="J264" s="14" t="inlineStr">
        <is>
          <t>Puede suspenderse el tratamiento</t>
        </is>
      </c>
      <c r="K264" s="14" t="inlineStr">
        <is>
          <t>El paciente debe firmar un pagaré</t>
        </is>
      </c>
      <c r="L264" s="14" t="inlineStr">
        <is>
          <t>a</t>
        </is>
      </c>
      <c r="M264" s="14" t="inlineStr">
        <is>
          <t>Los conflictos entre entidades no pueden afectar la continuidad de la atención.</t>
        </is>
      </c>
      <c r="N264" s="14" t="inlineStr">
        <is>
          <t>b) y c) trasladan al paciente las consecuencias de un desacuerdo ajeno.</t>
        </is>
      </c>
      <c r="O264" s="14" t="inlineStr">
        <is>
          <t>Ley 1751 de 2015, art. 6</t>
        </is>
      </c>
      <c r="P264" s="14" t="inlineStr">
        <is>
          <t>SI</t>
        </is>
      </c>
      <c r="Q264" s="11" t="inlineStr">
        <is>
          <t>Basica</t>
        </is>
      </c>
      <c r="R264" s="11" t="inlineStr">
        <is>
          <t>repaso</t>
        </is>
      </c>
    </row>
    <row r="265" ht="23.25" customHeight="1" s="12">
      <c r="A265" s="14" t="inlineStr">
        <is>
          <t>F0264</t>
        </is>
      </c>
      <c r="B265" s="14" t="inlineStr">
        <is>
          <t>PS 2782 de 2026 - ESE 2 - HUHMP Neiva</t>
        </is>
      </c>
      <c r="C265" s="14" t="inlineStr">
        <is>
          <t>Referencia y contrarreferencia</t>
        </is>
      </c>
      <c r="D265" s="14" t="inlineStr">
        <is>
          <t>Profesional</t>
        </is>
      </c>
      <c r="E265" s="14" t="inlineStr">
        <is>
          <t>C088</t>
        </is>
      </c>
      <c r="F265" s="14" t="inlineStr">
        <is>
          <t>Caso 088</t>
        </is>
      </c>
      <c r="G265" s="14" t="inlineStr">
        <is>
          <t>El hospital documenta una negativa reiterada de una EPS a autorizar traslados.</t>
        </is>
      </c>
      <c r="H265" s="14" t="inlineStr">
        <is>
          <t>El cobro de un pagaré o depósito como condición de la atención de urgencias:</t>
        </is>
      </c>
      <c r="I265" s="14" t="inlineStr">
        <is>
          <t>Está prohibido</t>
        </is>
      </c>
      <c r="J265" s="14" t="inlineStr">
        <is>
          <t>Procede si el usuario no está afiliado</t>
        </is>
      </c>
      <c r="K265" s="14" t="inlineStr">
        <is>
          <t>Procede con autorización del gerente</t>
        </is>
      </c>
      <c r="L265" s="14" t="inlineStr">
        <is>
          <t>a</t>
        </is>
      </c>
      <c r="M265" s="14" t="inlineStr">
        <is>
          <t>Condicionar la atención de urgencias a un pago o garantía está prohibido.</t>
        </is>
      </c>
      <c r="N265" s="14" t="inlineStr">
        <is>
          <t>b) y c) reintroducen una barrera económica proscrita.</t>
        </is>
      </c>
      <c r="O265" s="14" t="inlineStr">
        <is>
          <t>Ley 1751 de 2015, art. 14</t>
        </is>
      </c>
      <c r="P265" s="14" t="inlineStr">
        <is>
          <t>SI</t>
        </is>
      </c>
      <c r="Q265" s="11" t="inlineStr">
        <is>
          <t>Basica</t>
        </is>
      </c>
      <c r="R265" s="11" t="inlineStr">
        <is>
          <t>repaso</t>
        </is>
      </c>
    </row>
    <row r="266" ht="23.25" customHeight="1" s="12">
      <c r="A266" s="14" t="inlineStr">
        <is>
          <t>F0265</t>
        </is>
      </c>
      <c r="B266" s="14" t="inlineStr">
        <is>
          <t>PS 2782 de 2026 - ESE 2 - HUHMP Neiva</t>
        </is>
      </c>
      <c r="C266" s="14" t="inlineStr">
        <is>
          <t>Referencia y contrarreferencia</t>
        </is>
      </c>
      <c r="D266" s="14" t="inlineStr">
        <is>
          <t>Tecnico</t>
        </is>
      </c>
      <c r="E266" s="14" t="inlineStr">
        <is>
          <t>C089</t>
        </is>
      </c>
      <c r="F266" s="14" t="inlineStr">
        <is>
          <t>Caso 089</t>
        </is>
      </c>
      <c r="G266" s="14" t="inlineStr">
        <is>
          <t>En la oficina de referencia se llevan indicadores del proceso.</t>
        </is>
      </c>
      <c r="H266" s="14" t="inlineStr">
        <is>
          <t>El porcentaje de contrarreferencias efectivas mide:</t>
        </is>
      </c>
      <c r="I266" s="14" t="inlineStr">
        <is>
          <t>Cuántas remisiones recibidas se respondieron con información al prestador de origen</t>
        </is>
      </c>
      <c r="J266" s="14" t="inlineStr">
        <is>
          <t>Cuántos pacientes egresaron</t>
        </is>
      </c>
      <c r="K266" s="14" t="inlineStr">
        <is>
          <t>Cuántas camas se ocuparon</t>
        </is>
      </c>
      <c r="L266" s="14" t="inlineStr">
        <is>
          <t>a</t>
        </is>
      </c>
      <c r="M266" s="14" t="inlineStr">
        <is>
          <t>El indicador mide la proporción de casos con respuesta efectiva al remitente.</t>
        </is>
      </c>
      <c r="N266" s="14" t="inlineStr">
        <is>
          <t>b) y c) miden egreso y ocupación, no continuidad.</t>
        </is>
      </c>
      <c r="O266" s="14" t="inlineStr">
        <is>
          <t>Resolución 3047 de 2008</t>
        </is>
      </c>
      <c r="P266" s="14" t="inlineStr">
        <is>
          <t>SI</t>
        </is>
      </c>
      <c r="Q266" s="11" t="inlineStr">
        <is>
          <t>Basica</t>
        </is>
      </c>
      <c r="R266" s="11" t="inlineStr">
        <is>
          <t>repaso</t>
        </is>
      </c>
    </row>
    <row r="267" ht="23.25" customHeight="1" s="12">
      <c r="A267" s="14" t="inlineStr">
        <is>
          <t>F0266</t>
        </is>
      </c>
      <c r="B267" s="14" t="inlineStr">
        <is>
          <t>PS 2782 de 2026 - ESE 2 - HUHMP Neiva</t>
        </is>
      </c>
      <c r="C267" s="14" t="inlineStr">
        <is>
          <t>Referencia y contrarreferencia</t>
        </is>
      </c>
      <c r="D267" s="14" t="inlineStr">
        <is>
          <t>Tecnico</t>
        </is>
      </c>
      <c r="E267" s="14" t="inlineStr">
        <is>
          <t>C089</t>
        </is>
      </c>
      <c r="F267" s="14" t="inlineStr">
        <is>
          <t>Caso 089</t>
        </is>
      </c>
      <c r="G267" s="14" t="inlineStr">
        <is>
          <t>En la oficina de referencia se llevan indicadores del proceso.</t>
        </is>
      </c>
      <c r="H267" s="14" t="inlineStr">
        <is>
          <t>Un alto porcentaje de remisiones no pertinentes sugiere:</t>
        </is>
      </c>
      <c r="I267" s="14" t="inlineStr">
        <is>
          <t>Necesidad de fortalecer la capacidad resolutiva de la red remitente</t>
        </is>
      </c>
      <c r="J267" s="14" t="inlineStr">
        <is>
          <t>Exceso de camas en el receptor</t>
        </is>
      </c>
      <c r="K267" s="14" t="inlineStr">
        <is>
          <t>Buena articulación de la red</t>
        </is>
      </c>
      <c r="L267" s="14" t="inlineStr">
        <is>
          <t>a</t>
        </is>
      </c>
      <c r="M267" s="14" t="inlineStr">
        <is>
          <t>La falta de pertinencia apunta a debilidad resolutiva en el nivel que remite.</t>
        </is>
      </c>
      <c r="N267" s="14" t="inlineStr">
        <is>
          <t>b) y c) leen mal el indicador.</t>
        </is>
      </c>
      <c r="O267" s="14" t="inlineStr">
        <is>
          <t>Ley 1438 de 2011</t>
        </is>
      </c>
      <c r="P267" s="14" t="inlineStr">
        <is>
          <t>SI</t>
        </is>
      </c>
      <c r="Q267" s="11" t="inlineStr">
        <is>
          <t>Basica</t>
        </is>
      </c>
      <c r="R267" s="11" t="inlineStr">
        <is>
          <t>repaso</t>
        </is>
      </c>
    </row>
    <row r="268" ht="23.25" customHeight="1" s="12">
      <c r="A268" s="14" t="inlineStr">
        <is>
          <t>F0267</t>
        </is>
      </c>
      <c r="B268" s="14" t="inlineStr">
        <is>
          <t>PS 2782 de 2026 - ESE 2 - HUHMP Neiva</t>
        </is>
      </c>
      <c r="C268" s="14" t="inlineStr">
        <is>
          <t>Referencia y contrarreferencia</t>
        </is>
      </c>
      <c r="D268" s="14" t="inlineStr">
        <is>
          <t>Tecnico</t>
        </is>
      </c>
      <c r="E268" s="14" t="inlineStr">
        <is>
          <t>C089</t>
        </is>
      </c>
      <c r="F268" s="14" t="inlineStr">
        <is>
          <t>Caso 089</t>
        </is>
      </c>
      <c r="G268" s="14" t="inlineStr">
        <is>
          <t>En la oficina de referencia se llevan indicadores del proceso.</t>
        </is>
      </c>
      <c r="H268" s="14" t="inlineStr">
        <is>
          <t>La trazabilidad del proceso de referencia exige:</t>
        </is>
      </c>
      <c r="I268" s="14" t="inlineStr">
        <is>
          <t>Registrar solicitud, respuesta, tiempos y responsable de cada actuación</t>
        </is>
      </c>
      <c r="J268" s="14" t="inlineStr">
        <is>
          <t>Registrar solo la aceptación</t>
        </is>
      </c>
      <c r="K268" s="14" t="inlineStr">
        <is>
          <t>Archivar solo la epicrisis</t>
        </is>
      </c>
      <c r="L268" s="14" t="inlineStr">
        <is>
          <t>a</t>
        </is>
      </c>
      <c r="M268" s="14" t="inlineStr">
        <is>
          <t>La trazabilidad requiere el registro de cada actuación con sus tiempos y responsables.</t>
        </is>
      </c>
      <c r="N268" s="14" t="inlineStr">
        <is>
          <t>b) y c) dejan el proceso sin auditoría posible.</t>
        </is>
      </c>
      <c r="O268" s="14" t="inlineStr">
        <is>
          <t>Resolución 3047 de 2008</t>
        </is>
      </c>
      <c r="P268" s="14" t="inlineStr">
        <is>
          <t>SI</t>
        </is>
      </c>
      <c r="Q268" s="11" t="inlineStr">
        <is>
          <t>Basica</t>
        </is>
      </c>
      <c r="R268" s="11" t="inlineStr">
        <is>
          <t>repaso</t>
        </is>
      </c>
    </row>
    <row r="269" ht="23.25" customHeight="1" s="12">
      <c r="A269" s="14" t="inlineStr">
        <is>
          <t>F0268</t>
        </is>
      </c>
      <c r="B269" s="14" t="inlineStr">
        <is>
          <t>PS 2782 de 2026 - ESE 2 - HUHMP Neiva</t>
        </is>
      </c>
      <c r="C269" s="14" t="inlineStr">
        <is>
          <t>Referencia y contrarreferencia</t>
        </is>
      </c>
      <c r="D269" s="14" t="inlineStr">
        <is>
          <t>Profesional</t>
        </is>
      </c>
      <c r="E269" s="14" t="inlineStr">
        <is>
          <t>C090</t>
        </is>
      </c>
      <c r="F269" s="14" t="inlineStr">
        <is>
          <t>Caso 090</t>
        </is>
      </c>
      <c r="G269" s="14" t="inlineStr">
        <is>
          <t>Se revisa la contrarreferencia de pacientes crónicos que consultan repetidamente a urgencias.</t>
        </is>
      </c>
      <c r="H269" s="14" t="inlineStr">
        <is>
          <t>La alta frecuentación de urgencias por crónicos sugiere:</t>
        </is>
      </c>
      <c r="I269" s="14" t="inlineStr">
        <is>
          <t>Fallas en la continuidad del cuidado ambulatorio</t>
        </is>
      </c>
      <c r="J269" s="14" t="inlineStr">
        <is>
          <t>Buena accesibilidad del servicio</t>
        </is>
      </c>
      <c r="K269" s="14" t="inlineStr">
        <is>
          <t>Exceso de oferta hospitalaria</t>
        </is>
      </c>
      <c r="L269" s="14" t="inlineStr">
        <is>
          <t>a</t>
        </is>
      </c>
      <c r="M269" s="14" t="inlineStr">
        <is>
          <t>La frecuentación de crónicos en urgencias señala fallas de continuidad en el manejo ambulatorio.</t>
        </is>
      </c>
      <c r="N269" s="14" t="inlineStr">
        <is>
          <t>b) y c) interpretan como fortaleza un indicador de alerta.</t>
        </is>
      </c>
      <c r="O269" s="14" t="inlineStr">
        <is>
          <t>Ley 1438 de 2011; RIAS</t>
        </is>
      </c>
      <c r="P269" s="14" t="inlineStr">
        <is>
          <t>SI</t>
        </is>
      </c>
      <c r="Q269" s="11" t="inlineStr">
        <is>
          <t>Basica</t>
        </is>
      </c>
      <c r="R269" s="11" t="inlineStr">
        <is>
          <t>repaso</t>
        </is>
      </c>
    </row>
    <row r="270" ht="23.25" customHeight="1" s="12">
      <c r="A270" s="14" t="inlineStr">
        <is>
          <t>F0269</t>
        </is>
      </c>
      <c r="B270" s="14" t="inlineStr">
        <is>
          <t>PS 2782 de 2026 - ESE 2 - HUHMP Neiva</t>
        </is>
      </c>
      <c r="C270" s="14" t="inlineStr">
        <is>
          <t>Referencia y contrarreferencia</t>
        </is>
      </c>
      <c r="D270" s="14" t="inlineStr">
        <is>
          <t>Profesional</t>
        </is>
      </c>
      <c r="E270" s="14" t="inlineStr">
        <is>
          <t>C090</t>
        </is>
      </c>
      <c r="F270" s="14" t="inlineStr">
        <is>
          <t>Caso 090</t>
        </is>
      </c>
      <c r="G270" s="14" t="inlineStr">
        <is>
          <t>Se revisa la contrarreferencia de pacientes crónicos que consultan repetidamente a urgencias.</t>
        </is>
      </c>
      <c r="H270" s="14" t="inlineStr">
        <is>
          <t>Las rutas integrales de atención en salud buscan:</t>
        </is>
      </c>
      <c r="I270" s="14" t="inlineStr">
        <is>
          <t>Ordenar las intervenciones a lo largo del curso de vida y del proceso de atención</t>
        </is>
      </c>
      <c r="J270" s="14" t="inlineStr">
        <is>
          <t>Reemplazar las guías clínicas</t>
        </is>
      </c>
      <c r="K270" s="14" t="inlineStr">
        <is>
          <t>Definir tarifas</t>
        </is>
      </c>
      <c r="L270" s="14" t="inlineStr">
        <is>
          <t>a</t>
        </is>
      </c>
      <c r="M270" s="14" t="inlineStr">
        <is>
          <t>Las RIAS ordenan las intervenciones a lo largo del curso de vida y del proceso de atención.</t>
        </is>
      </c>
      <c r="N270" s="14" t="inlineStr">
        <is>
          <t>b) y c) confunden las rutas con guías o con acuerdos económicos.</t>
        </is>
      </c>
      <c r="O270" s="14" t="inlineStr">
        <is>
          <t>Resolución 3280 de 2018</t>
        </is>
      </c>
      <c r="P270" s="14" t="inlineStr">
        <is>
          <t>SI</t>
        </is>
      </c>
      <c r="Q270" s="11" t="inlineStr">
        <is>
          <t>Basica</t>
        </is>
      </c>
      <c r="R270" s="11" t="inlineStr">
        <is>
          <t>repaso</t>
        </is>
      </c>
    </row>
    <row r="271" ht="23.25" customHeight="1" s="12">
      <c r="A271" s="14" t="inlineStr">
        <is>
          <t>F0270</t>
        </is>
      </c>
      <c r="B271" s="14" t="inlineStr">
        <is>
          <t>PS 2782 de 2026 - ESE 2 - HUHMP Neiva</t>
        </is>
      </c>
      <c r="C271" s="14" t="inlineStr">
        <is>
          <t>Referencia y contrarreferencia</t>
        </is>
      </c>
      <c r="D271" s="14" t="inlineStr">
        <is>
          <t>Profesional</t>
        </is>
      </c>
      <c r="E271" s="14" t="inlineStr">
        <is>
          <t>C090</t>
        </is>
      </c>
      <c r="F271" s="14" t="inlineStr">
        <is>
          <t>Caso 090</t>
        </is>
      </c>
      <c r="G271" s="14" t="inlineStr">
        <is>
          <t>Se revisa la contrarreferencia de pacientes crónicos que consultan repetidamente a urgencias.</t>
        </is>
      </c>
      <c r="H271" s="14" t="inlineStr">
        <is>
          <t>El hospital de alta complejidad aporta a esa ruta cuando:</t>
        </is>
      </c>
      <c r="I271" s="14" t="inlineStr">
        <is>
          <t>Contrarrefiere con plan de manejo claro al prestador primario</t>
        </is>
      </c>
      <c r="J271" s="14" t="inlineStr">
        <is>
          <t>Retiene al paciente en su consulta externa</t>
        </is>
      </c>
      <c r="K271" s="14" t="inlineStr">
        <is>
          <t>Da de alta sin informar</t>
        </is>
      </c>
      <c r="L271" s="14" t="inlineStr">
        <is>
          <t>a</t>
        </is>
      </c>
      <c r="M271" s="14" t="inlineStr">
        <is>
          <t>El aporte se concreta en una contrarreferencia con plan de manejo claro para el prestador primario.</t>
        </is>
      </c>
      <c r="N271" s="14" t="inlineStr">
        <is>
          <t>b) desordena la ruta y c) rompe la continuidad.</t>
        </is>
      </c>
      <c r="O271" s="14" t="inlineStr">
        <is>
          <t>Resolución 3280 de 2018</t>
        </is>
      </c>
      <c r="P271" s="14" t="inlineStr">
        <is>
          <t>SI</t>
        </is>
      </c>
      <c r="Q271" s="11" t="inlineStr">
        <is>
          <t>Basica</t>
        </is>
      </c>
      <c r="R271" s="11" t="inlineStr">
        <is>
          <t>repaso</t>
        </is>
      </c>
    </row>
    <row r="272" ht="23.25" customHeight="1" s="12">
      <c r="A272" s="14" t="inlineStr">
        <is>
          <t>F0271</t>
        </is>
      </c>
      <c r="B272" s="14" t="inlineStr">
        <is>
          <t>PS 2782 de 2026 - ESE 2 - HUHMP Neiva</t>
        </is>
      </c>
      <c r="C272" s="14" t="inlineStr">
        <is>
          <t>Urgencias</t>
        </is>
      </c>
      <c r="D272" s="14" t="inlineStr">
        <is>
          <t>Profesional</t>
        </is>
      </c>
      <c r="E272" s="14" t="inlineStr">
        <is>
          <t>C091</t>
        </is>
      </c>
      <c r="F272" s="14" t="inlineStr">
        <is>
          <t>Caso 091</t>
        </is>
      </c>
      <c r="G272" s="14" t="inlineStr">
        <is>
          <t>Una gestante en trabajo de parto llega remitida sin control prenatal.</t>
        </is>
      </c>
      <c r="H272" s="14" t="inlineStr">
        <is>
          <t>La atención del parto en urgencias:</t>
        </is>
      </c>
      <c r="I272" s="14" t="inlineStr">
        <is>
          <t>Debe prestarse de inmediato, con activación de la ruta materno perinatal</t>
        </is>
      </c>
      <c r="J272" s="14" t="inlineStr">
        <is>
          <t>Requiere autorización previa</t>
        </is>
      </c>
      <c r="K272" s="14" t="inlineStr">
        <is>
          <t>Debe remitirse a otra institución</t>
        </is>
      </c>
      <c r="L272" s="14" t="inlineStr">
        <is>
          <t>a</t>
        </is>
      </c>
      <c r="M272" s="14" t="inlineStr">
        <is>
          <t>La atención obstétrica urgente se presta de inmediato y activa la ruta materno perinatal.</t>
        </is>
      </c>
      <c r="N272" s="14" t="inlineStr">
        <is>
          <t>b) condiciona la atención y c) demora el manejo de una urgencia.</t>
        </is>
      </c>
      <c r="O272" s="14" t="inlineStr">
        <is>
          <t>Resolución 3280 de 2018; Ley 1751 de 2015</t>
        </is>
      </c>
      <c r="P272" s="14" t="inlineStr">
        <is>
          <t>SI</t>
        </is>
      </c>
      <c r="Q272" s="11" t="inlineStr">
        <is>
          <t>Basica</t>
        </is>
      </c>
      <c r="R272" s="11" t="inlineStr">
        <is>
          <t>repaso</t>
        </is>
      </c>
    </row>
    <row r="273" ht="23.25" customHeight="1" s="12">
      <c r="A273" s="14" t="inlineStr">
        <is>
          <t>F0272</t>
        </is>
      </c>
      <c r="B273" s="14" t="inlineStr">
        <is>
          <t>PS 2782 de 2026 - ESE 2 - HUHMP Neiva</t>
        </is>
      </c>
      <c r="C273" s="14" t="inlineStr">
        <is>
          <t>Urgencias</t>
        </is>
      </c>
      <c r="D273" s="14" t="inlineStr">
        <is>
          <t>Profesional</t>
        </is>
      </c>
      <c r="E273" s="14" t="inlineStr">
        <is>
          <t>C091</t>
        </is>
      </c>
      <c r="F273" s="14" t="inlineStr">
        <is>
          <t>Caso 091</t>
        </is>
      </c>
      <c r="G273" s="14" t="inlineStr">
        <is>
          <t>Una gestante en trabajo de parto llega remitida sin control prenatal.</t>
        </is>
      </c>
      <c r="H273" s="14" t="inlineStr">
        <is>
          <t>La morbilidad materna extrema es:</t>
        </is>
      </c>
      <c r="I273" s="14" t="inlineStr">
        <is>
          <t>Un evento de notificación obligatoria al sistema de vigilancia</t>
        </is>
      </c>
      <c r="J273" s="14" t="inlineStr">
        <is>
          <t>Un indicador interno</t>
        </is>
      </c>
      <c r="K273" s="14" t="inlineStr">
        <is>
          <t>Un evento que se reporta solo si hay muerte</t>
        </is>
      </c>
      <c r="L273" s="14" t="inlineStr">
        <is>
          <t>a</t>
        </is>
      </c>
      <c r="M273" s="14" t="inlineStr">
        <is>
          <t>La morbilidad materna extrema es evento de interés en salud pública y se notifica.</t>
        </is>
      </c>
      <c r="N273" s="14" t="inlineStr">
        <is>
          <t>b) y c) mantienen el evento fuera de la vigilancia obligatoria.</t>
        </is>
      </c>
      <c r="O273" s="14" t="inlineStr">
        <is>
          <t>Protocolos INS; Decreto 3518 de 2006</t>
        </is>
      </c>
      <c r="P273" s="14" t="inlineStr">
        <is>
          <t>SI</t>
        </is>
      </c>
      <c r="Q273" s="11" t="inlineStr">
        <is>
          <t>Basica</t>
        </is>
      </c>
      <c r="R273" s="11" t="inlineStr">
        <is>
          <t>repaso</t>
        </is>
      </c>
    </row>
    <row r="274" ht="23.25" customHeight="1" s="12">
      <c r="A274" s="14" t="inlineStr">
        <is>
          <t>F0273</t>
        </is>
      </c>
      <c r="B274" s="14" t="inlineStr">
        <is>
          <t>PS 2782 de 2026 - ESE 2 - HUHMP Neiva</t>
        </is>
      </c>
      <c r="C274" s="14" t="inlineStr">
        <is>
          <t>Urgencias</t>
        </is>
      </c>
      <c r="D274" s="14" t="inlineStr">
        <is>
          <t>Profesional</t>
        </is>
      </c>
      <c r="E274" s="14" t="inlineStr">
        <is>
          <t>C091</t>
        </is>
      </c>
      <c r="F274" s="14" t="inlineStr">
        <is>
          <t>Caso 091</t>
        </is>
      </c>
      <c r="G274" s="14" t="inlineStr">
        <is>
          <t>Una gestante en trabajo de parto llega remitida sin control prenatal.</t>
        </is>
      </c>
      <c r="H274" s="14" t="inlineStr">
        <is>
          <t>El recién nacido debe recibir:</t>
        </is>
      </c>
      <c r="I274" s="14" t="inlineStr">
        <is>
          <t>Atención inmediata, identificación y registro, con vinculación al sistema</t>
        </is>
      </c>
      <c r="J274" s="14" t="inlineStr">
        <is>
          <t>Solo atención si la madre está afiliada</t>
        </is>
      </c>
      <c r="K274" s="14" t="inlineStr">
        <is>
          <t>Atención diferida hasta el alta materna</t>
        </is>
      </c>
      <c r="L274" s="14" t="inlineStr">
        <is>
          <t>a</t>
        </is>
      </c>
      <c r="M274" s="14" t="inlineStr">
        <is>
          <t>El recién nacido recibe atención inmediata e identificación, con la vinculación que corresponda.</t>
        </is>
      </c>
      <c r="N274" s="14" t="inlineStr">
        <is>
          <t>b) y c) condicionan o difieren una atención obligatoria.</t>
        </is>
      </c>
      <c r="O274" s="14" t="inlineStr">
        <is>
          <t>Ley 1098 de 2006; Decreto 780 de 2016</t>
        </is>
      </c>
      <c r="P274" s="14" t="inlineStr">
        <is>
          <t>SI</t>
        </is>
      </c>
      <c r="Q274" s="11" t="inlineStr">
        <is>
          <t>Basica</t>
        </is>
      </c>
      <c r="R274" s="11" t="inlineStr">
        <is>
          <t>repaso</t>
        </is>
      </c>
    </row>
    <row r="275" ht="23.25" customHeight="1" s="12">
      <c r="A275" s="14" t="inlineStr">
        <is>
          <t>F0274</t>
        </is>
      </c>
      <c r="B275" s="14" t="inlineStr">
        <is>
          <t>PS 2782 de 2026 - ESE 2 - HUHMP Neiva</t>
        </is>
      </c>
      <c r="C275" s="14" t="inlineStr">
        <is>
          <t>Urgencias</t>
        </is>
      </c>
      <c r="D275" s="14" t="inlineStr">
        <is>
          <t>Tecnico</t>
        </is>
      </c>
      <c r="E275" s="14" t="inlineStr">
        <is>
          <t>C092</t>
        </is>
      </c>
      <c r="F275" s="14" t="inlineStr">
        <is>
          <t>Caso 092</t>
        </is>
      </c>
      <c r="G275" s="14" t="inlineStr">
        <is>
          <t>El servicio de urgencias organiza la respuesta ante un evento con múltiples víctimas.</t>
        </is>
      </c>
      <c r="H275" s="14" t="inlineStr">
        <is>
          <t>En una emergencia con múltiples víctimas el triage:</t>
        </is>
      </c>
      <c r="I275" s="14" t="inlineStr">
        <is>
          <t>Prioriza según gravedad y probabilidad de supervivencia con los recursos disponibles</t>
        </is>
      </c>
      <c r="J275" s="14" t="inlineStr">
        <is>
          <t>Atiende por orden de llegada</t>
        </is>
      </c>
      <c r="K275" s="14" t="inlineStr">
        <is>
          <t>Atiende primero a los menos graves</t>
        </is>
      </c>
      <c r="L275" s="14" t="inlineStr">
        <is>
          <t>a</t>
        </is>
      </c>
      <c r="M275" s="14" t="inlineStr">
        <is>
          <t>En situaciones de múltiples víctimas la clasificación prioriza gravedad y posibilidad de beneficio con los recursos disponibles.</t>
        </is>
      </c>
      <c r="N275" s="14" t="inlineStr">
        <is>
          <t>b) ignora la gravedad y c) invierte la prioridad.</t>
        </is>
      </c>
      <c r="O275" s="14" t="inlineStr">
        <is>
          <t>Guías de atención prehospitalaria; Resolución 5596 de 2015</t>
        </is>
      </c>
      <c r="P275" s="14" t="inlineStr">
        <is>
          <t>SI</t>
        </is>
      </c>
      <c r="Q275" s="11" t="inlineStr">
        <is>
          <t>Basica</t>
        </is>
      </c>
      <c r="R275" s="11" t="inlineStr">
        <is>
          <t>repaso</t>
        </is>
      </c>
    </row>
    <row r="276" ht="23.25" customHeight="1" s="12">
      <c r="A276" s="14" t="inlineStr">
        <is>
          <t>F0275</t>
        </is>
      </c>
      <c r="B276" s="14" t="inlineStr">
        <is>
          <t>PS 2782 de 2026 - ESE 2 - HUHMP Neiva</t>
        </is>
      </c>
      <c r="C276" s="14" t="inlineStr">
        <is>
          <t>Urgencias</t>
        </is>
      </c>
      <c r="D276" s="14" t="inlineStr">
        <is>
          <t>Tecnico</t>
        </is>
      </c>
      <c r="E276" s="14" t="inlineStr">
        <is>
          <t>C092</t>
        </is>
      </c>
      <c r="F276" s="14" t="inlineStr">
        <is>
          <t>Caso 092</t>
        </is>
      </c>
      <c r="G276" s="14" t="inlineStr">
        <is>
          <t>El servicio de urgencias organiza la respuesta ante un evento con múltiples víctimas.</t>
        </is>
      </c>
      <c r="H276" s="14" t="inlineStr">
        <is>
          <t>El plan hospitalario de emergencias debe:</t>
        </is>
      </c>
      <c r="I276" s="14" t="inlineStr">
        <is>
          <t>Estar documentado, socializado y probado mediante simulacros</t>
        </is>
      </c>
      <c r="J276" s="14" t="inlineStr">
        <is>
          <t>Existir solo en papel</t>
        </is>
      </c>
      <c r="K276" s="14" t="inlineStr">
        <is>
          <t>Activarse solo por orden del alcalde</t>
        </is>
      </c>
      <c r="L276" s="14" t="inlineStr">
        <is>
          <t>a</t>
        </is>
      </c>
      <c r="M276" s="14" t="inlineStr">
        <is>
          <t>El plan debe estar documentado, socializado y probado con simulacros periódicos.</t>
        </is>
      </c>
      <c r="N276" s="14" t="inlineStr">
        <is>
          <t>b) lo deja inoperante y c) retrasa su activación institucional.</t>
        </is>
      </c>
      <c r="O276" s="14" t="inlineStr">
        <is>
          <t>Resolución 3100 de 2019; Ley 1523 de 2012</t>
        </is>
      </c>
      <c r="P276" s="14" t="inlineStr">
        <is>
          <t>SI</t>
        </is>
      </c>
      <c r="Q276" s="11" t="inlineStr">
        <is>
          <t>Basica</t>
        </is>
      </c>
      <c r="R276" s="11" t="inlineStr">
        <is>
          <t>repaso</t>
        </is>
      </c>
    </row>
    <row r="277" ht="23.25" customHeight="1" s="12">
      <c r="A277" s="14" t="inlineStr">
        <is>
          <t>F0276</t>
        </is>
      </c>
      <c r="B277" s="14" t="inlineStr">
        <is>
          <t>PS 2782 de 2026 - ESE 2 - HUHMP Neiva</t>
        </is>
      </c>
      <c r="C277" s="14" t="inlineStr">
        <is>
          <t>Urgencias</t>
        </is>
      </c>
      <c r="D277" s="14" t="inlineStr">
        <is>
          <t>Tecnico</t>
        </is>
      </c>
      <c r="E277" s="14" t="inlineStr">
        <is>
          <t>C092</t>
        </is>
      </c>
      <c r="F277" s="14" t="inlineStr">
        <is>
          <t>Caso 092</t>
        </is>
      </c>
      <c r="G277" s="14" t="inlineStr">
        <is>
          <t>El servicio de urgencias organiza la respuesta ante un evento con múltiples víctimas.</t>
        </is>
      </c>
      <c r="H277" s="14" t="inlineStr">
        <is>
          <t>La activación del plan corresponde a:</t>
        </is>
      </c>
      <c r="I277" s="14" t="inlineStr">
        <is>
          <t>La instancia definida en el propio plan institucional</t>
        </is>
      </c>
      <c r="J277" s="14" t="inlineStr">
        <is>
          <t>Cualquier funcionario</t>
        </is>
      </c>
      <c r="K277" s="14" t="inlineStr">
        <is>
          <t>Solo al gerente, aunque no esté presente</t>
        </is>
      </c>
      <c r="L277" s="14" t="inlineStr">
        <is>
          <t>a</t>
        </is>
      </c>
      <c r="M277" s="14" t="inlineStr">
        <is>
          <t>La activación corresponde a la instancia definida en el plan, con cadena de mando prevista.</t>
        </is>
      </c>
      <c r="N277" s="14" t="inlineStr">
        <is>
          <t>b) genera descoordinación y c) inmoviliza la respuesta.</t>
        </is>
      </c>
      <c r="O277" s="14" t="inlineStr">
        <is>
          <t>Ley 1523 de 2012</t>
        </is>
      </c>
      <c r="P277" s="14" t="inlineStr">
        <is>
          <t>SI</t>
        </is>
      </c>
      <c r="Q277" s="11" t="inlineStr">
        <is>
          <t>Basica</t>
        </is>
      </c>
      <c r="R277" s="11" t="inlineStr">
        <is>
          <t>repaso</t>
        </is>
      </c>
    </row>
    <row r="278" ht="23.25" customHeight="1" s="12">
      <c r="A278" s="14" t="inlineStr">
        <is>
          <t>F0277</t>
        </is>
      </c>
      <c r="B278" s="14" t="inlineStr">
        <is>
          <t>PS 2782 de 2026 - ESE 2 - HUHMP Neiva</t>
        </is>
      </c>
      <c r="C278" s="14" t="inlineStr">
        <is>
          <t>Urgencias</t>
        </is>
      </c>
      <c r="D278" s="14" t="inlineStr">
        <is>
          <t>Profesional</t>
        </is>
      </c>
      <c r="E278" s="14" t="inlineStr">
        <is>
          <t>C093</t>
        </is>
      </c>
      <c r="F278" s="14" t="inlineStr">
        <is>
          <t>Caso 093</t>
        </is>
      </c>
      <c r="G278" s="14" t="inlineStr">
        <is>
          <t>Un paciente con trastorno mental agudo llega agitado a urgencias.</t>
        </is>
      </c>
      <c r="H278" s="14" t="inlineStr">
        <is>
          <t>La atención en salud mental en urgencias:</t>
        </is>
      </c>
      <c r="I278" s="14" t="inlineStr">
        <is>
          <t>Es parte de la atención de urgencias y no puede negarse</t>
        </is>
      </c>
      <c r="J278" s="14" t="inlineStr">
        <is>
          <t>Requiere remisión a psiquiatría antes de valorar</t>
        </is>
      </c>
      <c r="K278" s="14" t="inlineStr">
        <is>
          <t>Solo procede con acompañante</t>
        </is>
      </c>
      <c r="L278" s="14" t="inlineStr">
        <is>
          <t>a</t>
        </is>
      </c>
      <c r="M278" s="14" t="inlineStr">
        <is>
          <t>La urgencia en salud mental integra la atención de urgencias y no puede negarse.</t>
        </is>
      </c>
      <c r="N278" s="14" t="inlineStr">
        <is>
          <t>b) y c) condicionan una atención inmediata.</t>
        </is>
      </c>
      <c r="O278" s="14" t="inlineStr">
        <is>
          <t>Ley 1616 de 2013; Ley 1751 de 2015</t>
        </is>
      </c>
      <c r="P278" s="14" t="inlineStr">
        <is>
          <t>SI</t>
        </is>
      </c>
      <c r="Q278" s="11" t="inlineStr">
        <is>
          <t>Basica</t>
        </is>
      </c>
      <c r="R278" s="11" t="inlineStr">
        <is>
          <t>repaso</t>
        </is>
      </c>
    </row>
    <row r="279" ht="23.25" customHeight="1" s="12">
      <c r="A279" s="14" t="inlineStr">
        <is>
          <t>F0278</t>
        </is>
      </c>
      <c r="B279" s="14" t="inlineStr">
        <is>
          <t>PS 2782 de 2026 - ESE 2 - HUHMP Neiva</t>
        </is>
      </c>
      <c r="C279" s="14" t="inlineStr">
        <is>
          <t>Urgencias</t>
        </is>
      </c>
      <c r="D279" s="14" t="inlineStr">
        <is>
          <t>Profesional</t>
        </is>
      </c>
      <c r="E279" s="14" t="inlineStr">
        <is>
          <t>C093</t>
        </is>
      </c>
      <c r="F279" s="14" t="inlineStr">
        <is>
          <t>Caso 093</t>
        </is>
      </c>
      <c r="G279" s="14" t="inlineStr">
        <is>
          <t>Un paciente con trastorno mental agudo llega agitado a urgencias.</t>
        </is>
      </c>
      <c r="H279" s="14" t="inlineStr">
        <is>
          <t>La hospitalización involuntaria:</t>
        </is>
      </c>
      <c r="I279" s="14" t="inlineStr">
        <is>
          <t>Es excepcional y procede con indicación clínica y garantías legales</t>
        </is>
      </c>
      <c r="J279" s="14" t="inlineStr">
        <is>
          <t>Depende de la solicitud de la familia</t>
        </is>
      </c>
      <c r="K279" s="14" t="inlineStr">
        <is>
          <t>Procede por decisión administrativa</t>
        </is>
      </c>
      <c r="L279" s="14" t="inlineStr">
        <is>
          <t>a</t>
        </is>
      </c>
      <c r="M279" s="14" t="inlineStr">
        <is>
          <t>La hospitalización involuntaria es excepcional y exige indicación clínica y garantías legales.</t>
        </is>
      </c>
      <c r="N279" s="14" t="inlineStr">
        <is>
          <t>b) y c) desplazan el criterio clínico y las garantías del paciente.</t>
        </is>
      </c>
      <c r="O279" s="14" t="inlineStr">
        <is>
          <t>Ley 1616 de 2013</t>
        </is>
      </c>
      <c r="P279" s="14" t="inlineStr">
        <is>
          <t>SI</t>
        </is>
      </c>
      <c r="Q279" s="11" t="inlineStr">
        <is>
          <t>Basica</t>
        </is>
      </c>
      <c r="R279" s="11" t="inlineStr">
        <is>
          <t>repaso</t>
        </is>
      </c>
    </row>
    <row r="280" ht="23.25" customHeight="1" s="12">
      <c r="A280" s="14" t="inlineStr">
        <is>
          <t>F0279</t>
        </is>
      </c>
      <c r="B280" s="14" t="inlineStr">
        <is>
          <t>PS 2782 de 2026 - ESE 2 - HUHMP Neiva</t>
        </is>
      </c>
      <c r="C280" s="14" t="inlineStr">
        <is>
          <t>Urgencias</t>
        </is>
      </c>
      <c r="D280" s="14" t="inlineStr">
        <is>
          <t>Profesional</t>
        </is>
      </c>
      <c r="E280" s="14" t="inlineStr">
        <is>
          <t>C093</t>
        </is>
      </c>
      <c r="F280" s="14" t="inlineStr">
        <is>
          <t>Caso 093</t>
        </is>
      </c>
      <c r="G280" s="14" t="inlineStr">
        <is>
          <t>Un paciente con trastorno mental agudo llega agitado a urgencias.</t>
        </is>
      </c>
      <c r="H280" s="14" t="inlineStr">
        <is>
          <t>El paciente con trastorno mental conserva:</t>
        </is>
      </c>
      <c r="I280" s="14" t="inlineStr">
        <is>
          <t>Su derecho a la información y a decidir en lo que su condición lo permita</t>
        </is>
      </c>
      <c r="J280" s="14" t="inlineStr">
        <is>
          <t>Ningún derecho durante la crisis</t>
        </is>
      </c>
      <c r="K280" s="14" t="inlineStr">
        <is>
          <t>Solo derechos patrimoniales</t>
        </is>
      </c>
      <c r="L280" s="14" t="inlineStr">
        <is>
          <t>a</t>
        </is>
      </c>
      <c r="M280" s="14" t="inlineStr">
        <is>
          <t>La persona conserva sus derechos, con los apoyos que su condición requiera.</t>
        </is>
      </c>
      <c r="N280" s="14" t="inlineStr">
        <is>
          <t>b) y c) suprimen derechos que la ley garantiza.</t>
        </is>
      </c>
      <c r="O280" s="14" t="inlineStr">
        <is>
          <t>Ley 1616 de 2013; Ley 1996 de 2019</t>
        </is>
      </c>
      <c r="P280" s="14" t="inlineStr">
        <is>
          <t>SI</t>
        </is>
      </c>
      <c r="Q280" s="11" t="inlineStr">
        <is>
          <t>Basica</t>
        </is>
      </c>
      <c r="R280" s="11" t="inlineStr">
        <is>
          <t>repaso</t>
        </is>
      </c>
    </row>
    <row r="281" ht="23.25" customHeight="1" s="12">
      <c r="A281" s="14" t="inlineStr">
        <is>
          <t>F0280</t>
        </is>
      </c>
      <c r="B281" s="14" t="inlineStr">
        <is>
          <t>PS 2782 de 2026 - ESE 2 - HUHMP Neiva</t>
        </is>
      </c>
      <c r="C281" s="14" t="inlineStr">
        <is>
          <t>Urgencias</t>
        </is>
      </c>
      <c r="D281" s="14" t="inlineStr">
        <is>
          <t>Tecnico</t>
        </is>
      </c>
      <c r="E281" s="14" t="inlineStr">
        <is>
          <t>C094</t>
        </is>
      </c>
      <c r="F281" s="14" t="inlineStr">
        <is>
          <t>Caso 094</t>
        </is>
      </c>
      <c r="G281" s="14" t="inlineStr">
        <is>
          <t>Se revisa el manejo de la sala de observación de urgencias.</t>
        </is>
      </c>
      <c r="H281" s="14" t="inlineStr">
        <is>
          <t>La estancia en observación debe:</t>
        </is>
      </c>
      <c r="I281" s="14" t="inlineStr">
        <is>
          <t>Tener criterios definidos y reevaluación periódica del paciente</t>
        </is>
      </c>
      <c r="J281" s="14" t="inlineStr">
        <is>
          <t>Extenderse hasta que haya cama</t>
        </is>
      </c>
      <c r="K281" s="14" t="inlineStr">
        <is>
          <t>No superar nunca una hora</t>
        </is>
      </c>
      <c r="L281" s="14" t="inlineStr">
        <is>
          <t>a</t>
        </is>
      </c>
      <c r="M281" s="14" t="inlineStr">
        <is>
          <t>La observación exige criterios de ingreso y reevaluación periódica documentada.</t>
        </is>
      </c>
      <c r="N281" s="14" t="inlineStr">
        <is>
          <t>b) convierte la observación en hospitalización encubierta y c) fija un límite rígido sin sustento.</t>
        </is>
      </c>
      <c r="O281" s="14" t="inlineStr">
        <is>
          <t>Guías institucionales; Resolución 5596 de 2015</t>
        </is>
      </c>
      <c r="P281" s="14" t="inlineStr">
        <is>
          <t>SI</t>
        </is>
      </c>
      <c r="Q281" s="11" t="inlineStr">
        <is>
          <t>Basica</t>
        </is>
      </c>
      <c r="R281" s="11" t="inlineStr">
        <is>
          <t>repaso</t>
        </is>
      </c>
    </row>
    <row r="282" ht="23.25" customHeight="1" s="12">
      <c r="A282" s="14" t="inlineStr">
        <is>
          <t>F0281</t>
        </is>
      </c>
      <c r="B282" s="14" t="inlineStr">
        <is>
          <t>PS 2782 de 2026 - ESE 2 - HUHMP Neiva</t>
        </is>
      </c>
      <c r="C282" s="14" t="inlineStr">
        <is>
          <t>Urgencias</t>
        </is>
      </c>
      <c r="D282" s="14" t="inlineStr">
        <is>
          <t>Tecnico</t>
        </is>
      </c>
      <c r="E282" s="14" t="inlineStr">
        <is>
          <t>C094</t>
        </is>
      </c>
      <c r="F282" s="14" t="inlineStr">
        <is>
          <t>Caso 094</t>
        </is>
      </c>
      <c r="G282" s="14" t="inlineStr">
        <is>
          <t>Se revisa el manejo de la sala de observación de urgencias.</t>
        </is>
      </c>
      <c r="H282" s="14" t="inlineStr">
        <is>
          <t>El registro en observación debe incluir:</t>
        </is>
      </c>
      <c r="I282" s="14" t="inlineStr">
        <is>
          <t>Evolución, signos vitales y decisiones con hora y responsable</t>
        </is>
      </c>
      <c r="J282" s="14" t="inlineStr">
        <is>
          <t>Solo el diagnóstico de ingreso</t>
        </is>
      </c>
      <c r="K282" s="14" t="inlineStr">
        <is>
          <t>Solo la orden de salida</t>
        </is>
      </c>
      <c r="L282" s="14" t="inlineStr">
        <is>
          <t>a</t>
        </is>
      </c>
      <c r="M282" s="14" t="inlineStr">
        <is>
          <t>El registro debe dar cuenta de la evolución, los signos y las decisiones, con hora y responsable.</t>
        </is>
      </c>
      <c r="N282" s="14" t="inlineStr">
        <is>
          <t>b) y c) dejan sin trazabilidad el período de observación.</t>
        </is>
      </c>
      <c r="O282" s="14" t="inlineStr">
        <is>
          <t>Resolución 1995 de 1999</t>
        </is>
      </c>
      <c r="P282" s="14" t="inlineStr">
        <is>
          <t>SI</t>
        </is>
      </c>
      <c r="Q282" s="11" t="inlineStr">
        <is>
          <t>Basica</t>
        </is>
      </c>
      <c r="R282" s="11" t="inlineStr">
        <is>
          <t>repaso</t>
        </is>
      </c>
    </row>
    <row r="283" ht="23.25" customHeight="1" s="12">
      <c r="A283" s="14" t="inlineStr">
        <is>
          <t>F0282</t>
        </is>
      </c>
      <c r="B283" s="14" t="inlineStr">
        <is>
          <t>PS 2782 de 2026 - ESE 2 - HUHMP Neiva</t>
        </is>
      </c>
      <c r="C283" s="14" t="inlineStr">
        <is>
          <t>Urgencias</t>
        </is>
      </c>
      <c r="D283" s="14" t="inlineStr">
        <is>
          <t>Tecnico</t>
        </is>
      </c>
      <c r="E283" s="14" t="inlineStr">
        <is>
          <t>C094</t>
        </is>
      </c>
      <c r="F283" s="14" t="inlineStr">
        <is>
          <t>Caso 094</t>
        </is>
      </c>
      <c r="G283" s="14" t="inlineStr">
        <is>
          <t>Se revisa el manejo de la sala de observación de urgencias.</t>
        </is>
      </c>
      <c r="H283" s="14" t="inlineStr">
        <is>
          <t>Si el paciente decide retirarse contra opinión médica:</t>
        </is>
      </c>
      <c r="I283" s="14" t="inlineStr">
        <is>
          <t>Se informa el riesgo, se documenta la decisión y se registra en la historia clínica</t>
        </is>
      </c>
      <c r="J283" s="14" t="inlineStr">
        <is>
          <t>Se impide su salida</t>
        </is>
      </c>
      <c r="K283" s="14" t="inlineStr">
        <is>
          <t>Se deja salir sin registro</t>
        </is>
      </c>
      <c r="L283" s="14" t="inlineStr">
        <is>
          <t>a</t>
        </is>
      </c>
      <c r="M283" s="14" t="inlineStr">
        <is>
          <t>Se informa el riesgo, se documenta la decisión del paciente y se deja constancia.</t>
        </is>
      </c>
      <c r="N283" s="14" t="inlineStr">
        <is>
          <t>b) vulnera su libertad y c) deja a la institución sin soporte.</t>
        </is>
      </c>
      <c r="O283" s="14" t="inlineStr">
        <is>
          <t>Ley 23 de 1981; Resolución 1995 de 1999</t>
        </is>
      </c>
      <c r="P283" s="14" t="inlineStr">
        <is>
          <t>SI</t>
        </is>
      </c>
      <c r="Q283" s="11" t="inlineStr">
        <is>
          <t>Basica</t>
        </is>
      </c>
      <c r="R283" s="11" t="inlineStr">
        <is>
          <t>repaso</t>
        </is>
      </c>
    </row>
    <row r="284" ht="23.25" customHeight="1" s="12">
      <c r="A284" s="14" t="inlineStr">
        <is>
          <t>F0283</t>
        </is>
      </c>
      <c r="B284" s="14" t="inlineStr">
        <is>
          <t>PS 2782 de 2026 - ESE 2 - HUHMP Neiva</t>
        </is>
      </c>
      <c r="C284" s="14" t="inlineStr">
        <is>
          <t>Urgencias</t>
        </is>
      </c>
      <c r="D284" s="14" t="inlineStr">
        <is>
          <t>Profesional</t>
        </is>
      </c>
      <c r="E284" s="14" t="inlineStr">
        <is>
          <t>C095</t>
        </is>
      </c>
      <c r="F284" s="14" t="inlineStr">
        <is>
          <t>Caso 095</t>
        </is>
      </c>
      <c r="G284" s="14" t="inlineStr">
        <is>
          <t>El comité revisa los tiempos de espera en urgencias y su impacto legal.</t>
        </is>
      </c>
      <c r="H284" s="14" t="inlineStr">
        <is>
          <t>La demora injustificada en urgencias puede generar:</t>
        </is>
      </c>
      <c r="I284" s="14" t="inlineStr">
        <is>
          <t>Responsabilidad institucional y sanciones por parte de la autoridad de vigilancia</t>
        </is>
      </c>
      <c r="J284" s="14" t="inlineStr">
        <is>
          <t>Ninguna consecuencia si no hubo daño</t>
        </is>
      </c>
      <c r="K284" s="14" t="inlineStr">
        <is>
          <t>Solo una queja administrativa</t>
        </is>
      </c>
      <c r="L284" s="14" t="inlineStr">
        <is>
          <t>a</t>
        </is>
      </c>
      <c r="M284" s="14" t="inlineStr">
        <is>
          <t>La demora injustificada compromete responsabilidad institucional y es objeto de vigilancia y sanción.</t>
        </is>
      </c>
      <c r="N284" s="14" t="inlineStr">
        <is>
          <t>b) y c) minimizan una conducta con consecuencias jurídicas.</t>
        </is>
      </c>
      <c r="O284" s="14" t="inlineStr">
        <is>
          <t>Ley 1122 de 2007; Ley 1751 de 2015</t>
        </is>
      </c>
      <c r="P284" s="14" t="inlineStr">
        <is>
          <t>SI</t>
        </is>
      </c>
      <c r="Q284" s="11" t="inlineStr">
        <is>
          <t>Basica</t>
        </is>
      </c>
      <c r="R284" s="11" t="inlineStr">
        <is>
          <t>repaso</t>
        </is>
      </c>
    </row>
    <row r="285" ht="23.25" customHeight="1" s="12">
      <c r="A285" s="14" t="inlineStr">
        <is>
          <t>F0284</t>
        </is>
      </c>
      <c r="B285" s="14" t="inlineStr">
        <is>
          <t>PS 2782 de 2026 - ESE 2 - HUHMP Neiva</t>
        </is>
      </c>
      <c r="C285" s="14" t="inlineStr">
        <is>
          <t>Urgencias</t>
        </is>
      </c>
      <c r="D285" s="14" t="inlineStr">
        <is>
          <t>Profesional</t>
        </is>
      </c>
      <c r="E285" s="14" t="inlineStr">
        <is>
          <t>C095</t>
        </is>
      </c>
      <c r="F285" s="14" t="inlineStr">
        <is>
          <t>Caso 095</t>
        </is>
      </c>
      <c r="G285" s="14" t="inlineStr">
        <is>
          <t>El comité revisa los tiempos de espera en urgencias y su impacto legal.</t>
        </is>
      </c>
      <c r="H285" s="14" t="inlineStr">
        <is>
          <t>El indicador de oportunidad en la atención de urgencias mide:</t>
        </is>
      </c>
      <c r="I285" s="14" t="inlineStr">
        <is>
          <t>El tiempo entre la clasificación y la atención médica</t>
        </is>
      </c>
      <c r="J285" s="14" t="inlineStr">
        <is>
          <t>El total de consultas atendidas</t>
        </is>
      </c>
      <c r="K285" s="14" t="inlineStr">
        <is>
          <t>La ocupación de camas</t>
        </is>
      </c>
      <c r="L285" s="14" t="inlineStr">
        <is>
          <t>a</t>
        </is>
      </c>
      <c r="M285" s="14" t="inlineStr">
        <is>
          <t>El indicador mide el tiempo entre la clasificación del triage y la atención médica efectiva.</t>
        </is>
      </c>
      <c r="N285" s="14" t="inlineStr">
        <is>
          <t>b) y c) miden producción y ocupación.</t>
        </is>
      </c>
      <c r="O285" s="14" t="inlineStr">
        <is>
          <t>Resolución 256 de 2016</t>
        </is>
      </c>
      <c r="P285" s="14" t="inlineStr">
        <is>
          <t>SI</t>
        </is>
      </c>
      <c r="Q285" s="11" t="inlineStr">
        <is>
          <t>Basica</t>
        </is>
      </c>
      <c r="R285" s="11" t="inlineStr">
        <is>
          <t>repaso</t>
        </is>
      </c>
    </row>
    <row r="286" ht="23.25" customHeight="1" s="12">
      <c r="A286" s="14" t="inlineStr">
        <is>
          <t>F0285</t>
        </is>
      </c>
      <c r="B286" s="14" t="inlineStr">
        <is>
          <t>PS 2782 de 2026 - ESE 2 - HUHMP Neiva</t>
        </is>
      </c>
      <c r="C286" s="14" t="inlineStr">
        <is>
          <t>Urgencias</t>
        </is>
      </c>
      <c r="D286" s="14" t="inlineStr">
        <is>
          <t>Profesional</t>
        </is>
      </c>
      <c r="E286" s="14" t="inlineStr">
        <is>
          <t>C095</t>
        </is>
      </c>
      <c r="F286" s="14" t="inlineStr">
        <is>
          <t>Caso 095</t>
        </is>
      </c>
      <c r="G286" s="14" t="inlineStr">
        <is>
          <t>El comité revisa los tiempos de espera en urgencias y su impacto legal.</t>
        </is>
      </c>
      <c r="H286" s="14" t="inlineStr">
        <is>
          <t>La sobreocupación del servicio obliga a:</t>
        </is>
      </c>
      <c r="I286" s="14" t="inlineStr">
        <is>
          <t>Activar medidas institucionales de descongestión y reportarlo a la red</t>
        </is>
      </c>
      <c r="J286" s="14" t="inlineStr">
        <is>
          <t>Cerrar el servicio sin aviso</t>
        </is>
      </c>
      <c r="K286" s="14" t="inlineStr">
        <is>
          <t>Suspender el triage</t>
        </is>
      </c>
      <c r="L286" s="14" t="inlineStr">
        <is>
          <t>a</t>
        </is>
      </c>
      <c r="M286" s="14" t="inlineStr">
        <is>
          <t>Se activan las medidas de descongestión previstas y se informa a la red y al centro regulador.</t>
        </is>
      </c>
      <c r="N286" s="14" t="inlineStr">
        <is>
          <t>b) y c) desatienden la demanda y eliminan la priorización clínica.</t>
        </is>
      </c>
      <c r="O286" s="14" t="inlineStr">
        <is>
          <t>Resolución 1220 de 2010</t>
        </is>
      </c>
      <c r="P286" s="14" t="inlineStr">
        <is>
          <t>SI</t>
        </is>
      </c>
      <c r="Q286" s="11" t="inlineStr">
        <is>
          <t>Basica</t>
        </is>
      </c>
      <c r="R286" s="11" t="inlineStr">
        <is>
          <t>repaso</t>
        </is>
      </c>
    </row>
    <row r="287" ht="23.25" customHeight="1" s="12">
      <c r="A287" s="14" t="inlineStr">
        <is>
          <t>F0286</t>
        </is>
      </c>
      <c r="B287" s="14" t="inlineStr">
        <is>
          <t>PS 2782 de 2026 - ESE 2 - HUHMP Neiva</t>
        </is>
      </c>
      <c r="C287" s="14" t="inlineStr">
        <is>
          <t>Gestion hospitalaria y organizacion de la E.S.E.</t>
        </is>
      </c>
      <c r="D287" s="14" t="inlineStr">
        <is>
          <t>Profesional</t>
        </is>
      </c>
      <c r="E287" s="14" t="inlineStr">
        <is>
          <t>C096</t>
        </is>
      </c>
      <c r="F287" s="14" t="inlineStr">
        <is>
          <t>Caso 096</t>
        </is>
      </c>
      <c r="G287" s="14" t="inlineStr">
        <is>
          <t>La junta directiva estudia la planta de personal y las formas de vinculación.</t>
        </is>
      </c>
      <c r="H287" s="14" t="inlineStr">
        <is>
          <t>Los empleos de la planta de personal de la E.S.E. son:</t>
        </is>
      </c>
      <c r="I287" s="14" t="inlineStr">
        <is>
          <t>De carrera administrativa, salvo los de libre nombramiento y remoción y los de período</t>
        </is>
      </c>
      <c r="J287" s="14" t="inlineStr">
        <is>
          <t>Todos de libre nombramiento</t>
        </is>
      </c>
      <c r="K287" s="14" t="inlineStr">
        <is>
          <t>Todos de contrato de prestación de servicios</t>
        </is>
      </c>
      <c r="L287" s="14" t="inlineStr">
        <is>
          <t>a</t>
        </is>
      </c>
      <c r="M287" s="14" t="inlineStr">
        <is>
          <t>Los empleos son de carrera administrativa, con las excepciones constitucionales y legales.</t>
        </is>
      </c>
      <c r="N287" s="14" t="inlineStr">
        <is>
          <t>b) y c) desconocen la regla general del artículo 125 de la Constitución.</t>
        </is>
      </c>
      <c r="O287" s="14" t="inlineStr">
        <is>
          <t>C.P. art. 125; Ley 909 de 2004</t>
        </is>
      </c>
      <c r="P287" s="14" t="inlineStr">
        <is>
          <t>SI</t>
        </is>
      </c>
      <c r="Q287" s="11" t="inlineStr">
        <is>
          <t>Basica</t>
        </is>
      </c>
      <c r="R287" s="11" t="inlineStr">
        <is>
          <t>repaso</t>
        </is>
      </c>
    </row>
    <row r="288" ht="23.25" customHeight="1" s="12">
      <c r="A288" s="14" t="inlineStr">
        <is>
          <t>F0287</t>
        </is>
      </c>
      <c r="B288" s="14" t="inlineStr">
        <is>
          <t>PS 2782 de 2026 - ESE 2 - HUHMP Neiva</t>
        </is>
      </c>
      <c r="C288" s="14" t="inlineStr">
        <is>
          <t>Gestion hospitalaria y organizacion de la E.S.E.</t>
        </is>
      </c>
      <c r="D288" s="14" t="inlineStr">
        <is>
          <t>Profesional</t>
        </is>
      </c>
      <c r="E288" s="14" t="inlineStr">
        <is>
          <t>C096</t>
        </is>
      </c>
      <c r="F288" s="14" t="inlineStr">
        <is>
          <t>Caso 096</t>
        </is>
      </c>
      <c r="G288" s="14" t="inlineStr">
        <is>
          <t>La junta directiva estudia la planta de personal y las formas de vinculación.</t>
        </is>
      </c>
      <c r="H288" s="14" t="inlineStr">
        <is>
          <t>El contrato de prestación de servicios:</t>
        </is>
      </c>
      <c r="I288" s="14" t="inlineStr">
        <is>
          <t>Es excepcional, no genera relación laboral y no puede usarse para funciones permanentes</t>
        </is>
      </c>
      <c r="J288" s="14" t="inlineStr">
        <is>
          <t>Es la forma ordinaria de vinculación</t>
        </is>
      </c>
      <c r="K288" s="14" t="inlineStr">
        <is>
          <t>Genera derechos de carrera</t>
        </is>
      </c>
      <c r="L288" s="14" t="inlineStr">
        <is>
          <t>a</t>
        </is>
      </c>
      <c r="M288" s="14" t="inlineStr">
        <is>
          <t>El contrato de prestación de servicios es excepcional y no puede encubrir funciones permanentes.</t>
        </is>
      </c>
      <c r="N288" s="14" t="inlineStr">
        <is>
          <t>b) y c) desconocen su naturaleza y sus límites.</t>
        </is>
      </c>
      <c r="O288" s="14" t="inlineStr">
        <is>
          <t>Ley 80 de 1993, art. 32; Ley 909 de 2004</t>
        </is>
      </c>
      <c r="P288" s="14" t="inlineStr">
        <is>
          <t>SI</t>
        </is>
      </c>
      <c r="Q288" s="11" t="inlineStr">
        <is>
          <t>Basica</t>
        </is>
      </c>
      <c r="R288" s="11" t="inlineStr">
        <is>
          <t>repaso</t>
        </is>
      </c>
    </row>
    <row r="289" ht="23.25" customHeight="1" s="12">
      <c r="A289" s="14" t="inlineStr">
        <is>
          <t>F0288</t>
        </is>
      </c>
      <c r="B289" s="14" t="inlineStr">
        <is>
          <t>PS 2782 de 2026 - ESE 2 - HUHMP Neiva</t>
        </is>
      </c>
      <c r="C289" s="14" t="inlineStr">
        <is>
          <t>Gestion hospitalaria y organizacion de la E.S.E.</t>
        </is>
      </c>
      <c r="D289" s="14" t="inlineStr">
        <is>
          <t>Profesional</t>
        </is>
      </c>
      <c r="E289" s="14" t="inlineStr">
        <is>
          <t>C096</t>
        </is>
      </c>
      <c r="F289" s="14" t="inlineStr">
        <is>
          <t>Caso 096</t>
        </is>
      </c>
      <c r="G289" s="14" t="inlineStr">
        <is>
          <t>La junta directiva estudia la planta de personal y las formas de vinculación.</t>
        </is>
      </c>
      <c r="H289" s="14" t="inlineStr">
        <is>
          <t>El encargo procede:</t>
        </is>
      </c>
      <c r="I289" s="14" t="inlineStr">
        <is>
          <t>Para proveer transitoriamente un empleo con un servidor de carrera que cumpla requisitos</t>
        </is>
      </c>
      <c r="J289" s="14" t="inlineStr">
        <is>
          <t>Para cualquier persona externa</t>
        </is>
      </c>
      <c r="K289" s="14" t="inlineStr">
        <is>
          <t>Como forma de provisión definitiva</t>
        </is>
      </c>
      <c r="L289" s="14" t="inlineStr">
        <is>
          <t>a</t>
        </is>
      </c>
      <c r="M289" s="14" t="inlineStr">
        <is>
          <t>El encargo provee transitoriamente el empleo con servidores de carrera que cumplan requisitos.</t>
        </is>
      </c>
      <c r="N289" s="14" t="inlineStr">
        <is>
          <t>b) y c) desconocen su titularidad y su transitoriedad.</t>
        </is>
      </c>
      <c r="O289" s="14" t="inlineStr">
        <is>
          <t>Ley 909 de 2004, art. 24</t>
        </is>
      </c>
      <c r="P289" s="14" t="inlineStr">
        <is>
          <t>SI</t>
        </is>
      </c>
      <c r="Q289" s="11" t="inlineStr">
        <is>
          <t>Basica</t>
        </is>
      </c>
      <c r="R289" s="11" t="inlineStr">
        <is>
          <t>repaso</t>
        </is>
      </c>
    </row>
    <row r="290" ht="23.25" customHeight="1" s="12">
      <c r="A290" s="14" t="inlineStr">
        <is>
          <t>F0289</t>
        </is>
      </c>
      <c r="B290" s="14" t="inlineStr">
        <is>
          <t>PS 2782 de 2026 - ESE 2 - HUHMP Neiva</t>
        </is>
      </c>
      <c r="C290" s="14" t="inlineStr">
        <is>
          <t>Gestion hospitalaria y organizacion de la E.S.E.</t>
        </is>
      </c>
      <c r="D290" s="14" t="inlineStr">
        <is>
          <t>Profesional</t>
        </is>
      </c>
      <c r="E290" s="14" t="inlineStr">
        <is>
          <t>C097</t>
        </is>
      </c>
      <c r="F290" s="14" t="inlineStr">
        <is>
          <t>Caso 097</t>
        </is>
      </c>
      <c r="G290" s="14" t="inlineStr">
        <is>
          <t>El hospital formula su plan estratégico y los instrumentos de gestión.</t>
        </is>
      </c>
      <c r="H290" s="14" t="inlineStr">
        <is>
          <t>El MIPG articula:</t>
        </is>
      </c>
      <c r="I290" s="14" t="inlineStr">
        <is>
          <t>Las políticas de gestión y desempeño institucional en dimensiones y políticas</t>
        </is>
      </c>
      <c r="J290" s="14" t="inlineStr">
        <is>
          <t>Solo el control interno</t>
        </is>
      </c>
      <c r="K290" s="14" t="inlineStr">
        <is>
          <t>Solo la gestión documental</t>
        </is>
      </c>
      <c r="L290" s="14" t="inlineStr">
        <is>
          <t>a</t>
        </is>
      </c>
      <c r="M290" s="14" t="inlineStr">
        <is>
          <t>El Modelo Integrado de Planeación y Gestión articula dimensiones y políticas de gestión y desempeño.</t>
        </is>
      </c>
      <c r="N290" s="14" t="inlineStr">
        <is>
          <t>b) y c) son componentes dentro del modelo, no el modelo.</t>
        </is>
      </c>
      <c r="O290" s="14" t="inlineStr">
        <is>
          <t>Decreto 1499 de 2017</t>
        </is>
      </c>
      <c r="P290" s="14" t="inlineStr">
        <is>
          <t>SI</t>
        </is>
      </c>
      <c r="Q290" s="11" t="inlineStr">
        <is>
          <t>Basica</t>
        </is>
      </c>
      <c r="R290" s="11" t="inlineStr">
        <is>
          <t>repaso</t>
        </is>
      </c>
    </row>
    <row r="291" ht="23.25" customHeight="1" s="12">
      <c r="A291" s="14" t="inlineStr">
        <is>
          <t>F0290</t>
        </is>
      </c>
      <c r="B291" s="14" t="inlineStr">
        <is>
          <t>PS 2782 de 2026 - ESE 2 - HUHMP Neiva</t>
        </is>
      </c>
      <c r="C291" s="14" t="inlineStr">
        <is>
          <t>Gestion hospitalaria y organizacion de la E.S.E.</t>
        </is>
      </c>
      <c r="D291" s="14" t="inlineStr">
        <is>
          <t>Profesional</t>
        </is>
      </c>
      <c r="E291" s="14" t="inlineStr">
        <is>
          <t>C097</t>
        </is>
      </c>
      <c r="F291" s="14" t="inlineStr">
        <is>
          <t>Caso 097</t>
        </is>
      </c>
      <c r="G291" s="14" t="inlineStr">
        <is>
          <t>El hospital formula su plan estratégico y los instrumentos de gestión.</t>
        </is>
      </c>
      <c r="H291" s="14" t="inlineStr">
        <is>
          <t>El plan de acción institucional debe:</t>
        </is>
      </c>
      <c r="I291" s="14" t="inlineStr">
        <is>
          <t>Derivarse del plan de desarrollo y del plan de gestión, con metas e indicadores</t>
        </is>
      </c>
      <c r="J291" s="14" t="inlineStr">
        <is>
          <t>Ser independiente de cualquier plan superior</t>
        </is>
      </c>
      <c r="K291" s="14" t="inlineStr">
        <is>
          <t>Elaborarse al cierre de la vigencia</t>
        </is>
      </c>
      <c r="L291" s="14" t="inlineStr">
        <is>
          <t>a</t>
        </is>
      </c>
      <c r="M291" s="14" t="inlineStr">
        <is>
          <t>El plan de acción se deriva de los instrumentos superiores y fija metas e indicadores.</t>
        </is>
      </c>
      <c r="N291" s="14" t="inlineStr">
        <is>
          <t>b) lo desarticula y c) lo vacía de utilidad.</t>
        </is>
      </c>
      <c r="O291" s="14" t="inlineStr">
        <is>
          <t>Ley 152 de 1994; Decreto 1499 de 2017</t>
        </is>
      </c>
      <c r="P291" s="14" t="inlineStr">
        <is>
          <t>SI</t>
        </is>
      </c>
      <c r="Q291" s="11" t="inlineStr">
        <is>
          <t>Basica</t>
        </is>
      </c>
      <c r="R291" s="11" t="inlineStr">
        <is>
          <t>repaso</t>
        </is>
      </c>
    </row>
    <row r="292" ht="23.25" customHeight="1" s="12">
      <c r="A292" s="14" t="inlineStr">
        <is>
          <t>F0291</t>
        </is>
      </c>
      <c r="B292" s="14" t="inlineStr">
        <is>
          <t>PS 2782 de 2026 - ESE 2 - HUHMP Neiva</t>
        </is>
      </c>
      <c r="C292" s="14" t="inlineStr">
        <is>
          <t>Gestion hospitalaria y organizacion de la E.S.E.</t>
        </is>
      </c>
      <c r="D292" s="14" t="inlineStr">
        <is>
          <t>Profesional</t>
        </is>
      </c>
      <c r="E292" s="14" t="inlineStr">
        <is>
          <t>C097</t>
        </is>
      </c>
      <c r="F292" s="14" t="inlineStr">
        <is>
          <t>Caso 097</t>
        </is>
      </c>
      <c r="G292" s="14" t="inlineStr">
        <is>
          <t>El hospital formula su plan estratégico y los instrumentos de gestión.</t>
        </is>
      </c>
      <c r="H292" s="14" t="inlineStr">
        <is>
          <t>El comité institucional de gestión y desempeño:</t>
        </is>
      </c>
      <c r="I292" s="14" t="inlineStr">
        <is>
          <t>Orienta la implementación del MIPG en la entidad</t>
        </is>
      </c>
      <c r="J292" s="14" t="inlineStr">
        <is>
          <t>Aprueba los contratos</t>
        </is>
      </c>
      <c r="K292" s="14" t="inlineStr">
        <is>
          <t>Ejerce control disciplinario</t>
        </is>
      </c>
      <c r="L292" s="14" t="inlineStr">
        <is>
          <t>a</t>
        </is>
      </c>
      <c r="M292" s="14" t="inlineStr">
        <is>
          <t>El comité orienta la implementación del modelo de gestión en la entidad.</t>
        </is>
      </c>
      <c r="N292" s="14" t="inlineStr">
        <is>
          <t>b) y c) corresponden a otras instancias.</t>
        </is>
      </c>
      <c r="O292" s="14" t="inlineStr">
        <is>
          <t>Decreto 1499 de 2017</t>
        </is>
      </c>
      <c r="P292" s="14" t="inlineStr">
        <is>
          <t>SI</t>
        </is>
      </c>
      <c r="Q292" s="11" t="inlineStr">
        <is>
          <t>Basica</t>
        </is>
      </c>
      <c r="R292" s="11" t="inlineStr">
        <is>
          <t>repaso</t>
        </is>
      </c>
    </row>
    <row r="293" ht="23.25" customHeight="1" s="12">
      <c r="A293" s="14" t="inlineStr">
        <is>
          <t>F0292</t>
        </is>
      </c>
      <c r="B293" s="14" t="inlineStr">
        <is>
          <t>PS 2782 de 2026 - ESE 2 - HUHMP Neiva</t>
        </is>
      </c>
      <c r="C293" s="14" t="inlineStr">
        <is>
          <t>Gestion hospitalaria y organizacion de la E.S.E.</t>
        </is>
      </c>
      <c r="D293" s="14" t="inlineStr">
        <is>
          <t>Tecnico</t>
        </is>
      </c>
      <c r="E293" s="14" t="inlineStr">
        <is>
          <t>C098</t>
        </is>
      </c>
      <c r="F293" s="14" t="inlineStr">
        <is>
          <t>Caso 098</t>
        </is>
      </c>
      <c r="G293" s="14" t="inlineStr">
        <is>
          <t>El área de talento humano organiza la historia laboral y la seguridad y salud en el trabajo.</t>
        </is>
      </c>
      <c r="H293" s="14" t="inlineStr">
        <is>
          <t>El sistema de gestión de seguridad y salud en el trabajo exige:</t>
        </is>
      </c>
      <c r="I293" s="14" t="inlineStr">
        <is>
          <t>Identificación de peligros, evaluación de riesgos y plan anual de trabajo</t>
        </is>
      </c>
      <c r="J293" s="14" t="inlineStr">
        <is>
          <t>Solo la afiliación a la ARL</t>
        </is>
      </c>
      <c r="K293" s="14" t="inlineStr">
        <is>
          <t>Solo el examen de ingreso</t>
        </is>
      </c>
      <c r="L293" s="14" t="inlineStr">
        <is>
          <t>a</t>
        </is>
      </c>
      <c r="M293" s="14" t="inlineStr">
        <is>
          <t>El SG-SST exige identificar peligros, evaluar riesgos y ejecutar un plan anual de trabajo.</t>
        </is>
      </c>
      <c r="N293" s="14" t="inlineStr">
        <is>
          <t>b) y c) son requisitos puntuales dentro de un sistema más amplio.</t>
        </is>
      </c>
      <c r="O293" s="14" t="inlineStr">
        <is>
          <t>Decreto 1072 de 2015</t>
        </is>
      </c>
      <c r="P293" s="14" t="inlineStr">
        <is>
          <t>SI</t>
        </is>
      </c>
      <c r="Q293" s="11" t="inlineStr">
        <is>
          <t>Basica</t>
        </is>
      </c>
      <c r="R293" s="11" t="inlineStr">
        <is>
          <t>repaso</t>
        </is>
      </c>
    </row>
    <row r="294" ht="23.25" customHeight="1" s="12">
      <c r="A294" s="14" t="inlineStr">
        <is>
          <t>F0293</t>
        </is>
      </c>
      <c r="B294" s="14" t="inlineStr">
        <is>
          <t>PS 2782 de 2026 - ESE 2 - HUHMP Neiva</t>
        </is>
      </c>
      <c r="C294" s="14" t="inlineStr">
        <is>
          <t>Gestion hospitalaria y organizacion de la E.S.E.</t>
        </is>
      </c>
      <c r="D294" s="14" t="inlineStr">
        <is>
          <t>Tecnico</t>
        </is>
      </c>
      <c r="E294" s="14" t="inlineStr">
        <is>
          <t>C098</t>
        </is>
      </c>
      <c r="F294" s="14" t="inlineStr">
        <is>
          <t>Caso 098</t>
        </is>
      </c>
      <c r="G294" s="14" t="inlineStr">
        <is>
          <t>El área de talento humano organiza la historia laboral y la seguridad y salud en el trabajo.</t>
        </is>
      </c>
      <c r="H294" s="14" t="inlineStr">
        <is>
          <t>El reporte de un accidente de trabajo a la ARL debe hacerse:</t>
        </is>
      </c>
      <c r="I294" s="14" t="inlineStr">
        <is>
          <t>Dentro de los dos días hábiles siguientes al evento</t>
        </is>
      </c>
      <c r="J294" s="14" t="inlineStr">
        <is>
          <t>Dentro del mes siguiente</t>
        </is>
      </c>
      <c r="K294" s="14" t="inlineStr">
        <is>
          <t>Solo si hay incapacidad</t>
        </is>
      </c>
      <c r="L294" s="14" t="inlineStr">
        <is>
          <t>a</t>
        </is>
      </c>
      <c r="M294" s="14" t="inlineStr">
        <is>
          <t>El empleador reporta el accidente a la ARL y a la EPS dentro de los dos días hábiles siguientes.</t>
        </is>
      </c>
      <c r="N294" s="14" t="inlineStr">
        <is>
          <t>b) y c) incumplen el término y la obligación de reporte.</t>
        </is>
      </c>
      <c r="O294" s="14" t="inlineStr">
        <is>
          <t>Decreto 1072 de 2015</t>
        </is>
      </c>
      <c r="P294" s="14" t="inlineStr">
        <is>
          <t>SI</t>
        </is>
      </c>
      <c r="Q294" s="11" t="inlineStr">
        <is>
          <t>Basica</t>
        </is>
      </c>
      <c r="R294" s="11" t="inlineStr">
        <is>
          <t>repaso</t>
        </is>
      </c>
    </row>
    <row r="295" ht="23.25" customHeight="1" s="12">
      <c r="A295" s="14" t="inlineStr">
        <is>
          <t>F0294</t>
        </is>
      </c>
      <c r="B295" s="14" t="inlineStr">
        <is>
          <t>PS 2782 de 2026 - ESE 2 - HUHMP Neiva</t>
        </is>
      </c>
      <c r="C295" s="14" t="inlineStr">
        <is>
          <t>Gestion hospitalaria y organizacion de la E.S.E.</t>
        </is>
      </c>
      <c r="D295" s="14" t="inlineStr">
        <is>
          <t>Tecnico</t>
        </is>
      </c>
      <c r="E295" s="14" t="inlineStr">
        <is>
          <t>C098</t>
        </is>
      </c>
      <c r="F295" s="14" t="inlineStr">
        <is>
          <t>Caso 098</t>
        </is>
      </c>
      <c r="G295" s="14" t="inlineStr">
        <is>
          <t>El área de talento humano organiza la historia laboral y la seguridad y salud en el trabajo.</t>
        </is>
      </c>
      <c r="H295" s="14" t="inlineStr">
        <is>
          <t>La historia laboral del servidor público:</t>
        </is>
      </c>
      <c r="I295" s="14" t="inlineStr">
        <is>
          <t>Es un expediente con reserva parcial que debe conservarse conforme a las tablas de retención</t>
        </is>
      </c>
      <c r="J295" s="14" t="inlineStr">
        <is>
          <t>Es información pública total</t>
        </is>
      </c>
      <c r="K295" s="14" t="inlineStr">
        <is>
          <t>Puede destruirse al retiro</t>
        </is>
      </c>
      <c r="L295" s="14" t="inlineStr">
        <is>
          <t>a</t>
        </is>
      </c>
      <c r="M295" s="14" t="inlineStr">
        <is>
          <t>La historia laboral se conserva conforme a la normativa archivística y tiene reserva sobre datos personales.</t>
        </is>
      </c>
      <c r="N295" s="14" t="inlineStr">
        <is>
          <t>b) desconoce la reserva y c) la conservación documental.</t>
        </is>
      </c>
      <c r="O295" s="14" t="inlineStr">
        <is>
          <t>Ley 594 de 2000; Ley 1581 de 2012</t>
        </is>
      </c>
      <c r="P295" s="14" t="inlineStr">
        <is>
          <t>SI</t>
        </is>
      </c>
      <c r="Q295" s="11" t="inlineStr">
        <is>
          <t>Basica</t>
        </is>
      </c>
      <c r="R295" s="11" t="inlineStr">
        <is>
          <t>repaso</t>
        </is>
      </c>
    </row>
    <row r="296" ht="23.25" customHeight="1" s="12">
      <c r="A296" s="14" t="inlineStr">
        <is>
          <t>F0295</t>
        </is>
      </c>
      <c r="B296" s="14" t="inlineStr">
        <is>
          <t>PS 2782 de 2026 - ESE 2 - HUHMP Neiva</t>
        </is>
      </c>
      <c r="C296" s="14" t="inlineStr">
        <is>
          <t>Gestion hospitalaria y organizacion de la E.S.E.</t>
        </is>
      </c>
      <c r="D296" s="14" t="inlineStr">
        <is>
          <t>Profesional</t>
        </is>
      </c>
      <c r="E296" s="14" t="inlineStr">
        <is>
          <t>C099</t>
        </is>
      </c>
      <c r="F296" s="14" t="inlineStr">
        <is>
          <t>Caso 099</t>
        </is>
      </c>
      <c r="G296" s="14" t="inlineStr">
        <is>
          <t>La oficina de control interno programa sus auditorías.</t>
        </is>
      </c>
      <c r="H296" s="14" t="inlineStr">
        <is>
          <t>El control interno en la entidad es:</t>
        </is>
      </c>
      <c r="I296" s="14" t="inlineStr">
        <is>
          <t>Responsabilidad de todos los servidores, con evaluación independiente de la oficina</t>
        </is>
      </c>
      <c r="J296" s="14" t="inlineStr">
        <is>
          <t>Exclusivo de la oficina de control interno</t>
        </is>
      </c>
      <c r="K296" s="14" t="inlineStr">
        <is>
          <t>Función de la Contraloría</t>
        </is>
      </c>
      <c r="L296" s="14" t="inlineStr">
        <is>
          <t>a</t>
        </is>
      </c>
      <c r="M296" s="14" t="inlineStr">
        <is>
          <t>El control interno es responsabilidad de todos; la oficina ejerce la evaluación independiente.</t>
        </is>
      </c>
      <c r="N296" s="14" t="inlineStr">
        <is>
          <t>b) y c) concentran en un actor lo que es responsabilidad institucional o confunden con el control fiscal.</t>
        </is>
      </c>
      <c r="O296" s="14" t="inlineStr">
        <is>
          <t>Ley 87 de 1993; Decreto 1499 de 2017</t>
        </is>
      </c>
      <c r="P296" s="14" t="inlineStr">
        <is>
          <t>SI</t>
        </is>
      </c>
      <c r="Q296" s="11" t="inlineStr">
        <is>
          <t>Basica</t>
        </is>
      </c>
      <c r="R296" s="11" t="inlineStr">
        <is>
          <t>repaso</t>
        </is>
      </c>
    </row>
    <row r="297" ht="23.25" customHeight="1" s="12">
      <c r="A297" s="14" t="inlineStr">
        <is>
          <t>F0296</t>
        </is>
      </c>
      <c r="B297" s="14" t="inlineStr">
        <is>
          <t>PS 2782 de 2026 - ESE 2 - HUHMP Neiva</t>
        </is>
      </c>
      <c r="C297" s="14" t="inlineStr">
        <is>
          <t>Gestion hospitalaria y organizacion de la E.S.E.</t>
        </is>
      </c>
      <c r="D297" s="14" t="inlineStr">
        <is>
          <t>Profesional</t>
        </is>
      </c>
      <c r="E297" s="14" t="inlineStr">
        <is>
          <t>C099</t>
        </is>
      </c>
      <c r="F297" s="14" t="inlineStr">
        <is>
          <t>Caso 099</t>
        </is>
      </c>
      <c r="G297" s="14" t="inlineStr">
        <is>
          <t>La oficina de control interno programa sus auditorías.</t>
        </is>
      </c>
      <c r="H297" s="14" t="inlineStr">
        <is>
          <t>El informe de auditoría interna debe:</t>
        </is>
      </c>
      <c r="I297" s="14" t="inlineStr">
        <is>
          <t>Comunicarse al responsable del proceso y a la alta dirección con plan de mejoramiento</t>
        </is>
      </c>
      <c r="J297" s="14" t="inlineStr">
        <is>
          <t>Enviarse solo a la Contraloría</t>
        </is>
      </c>
      <c r="K297" s="14" t="inlineStr">
        <is>
          <t>Publicarse sin conocimiento del auditado</t>
        </is>
      </c>
      <c r="L297" s="14" t="inlineStr">
        <is>
          <t>a</t>
        </is>
      </c>
      <c r="M297" s="14" t="inlineStr">
        <is>
          <t>Los hallazgos se comunican al responsable y a la alta dirección, con plan de mejoramiento.</t>
        </is>
      </c>
      <c r="N297" s="14" t="inlineStr">
        <is>
          <t>b) y c) omiten el debido proceso interno del auditado.</t>
        </is>
      </c>
      <c r="O297" s="14" t="inlineStr">
        <is>
          <t>Ley 87 de 1993</t>
        </is>
      </c>
      <c r="P297" s="14" t="inlineStr">
        <is>
          <t>SI</t>
        </is>
      </c>
      <c r="Q297" s="11" t="inlineStr">
        <is>
          <t>Basica</t>
        </is>
      </c>
      <c r="R297" s="11" t="inlineStr">
        <is>
          <t>repaso</t>
        </is>
      </c>
    </row>
    <row r="298" ht="23.25" customHeight="1" s="12">
      <c r="A298" s="14" t="inlineStr">
        <is>
          <t>F0297</t>
        </is>
      </c>
      <c r="B298" s="14" t="inlineStr">
        <is>
          <t>PS 2782 de 2026 - ESE 2 - HUHMP Neiva</t>
        </is>
      </c>
      <c r="C298" s="14" t="inlineStr">
        <is>
          <t>Gestion hospitalaria y organizacion de la E.S.E.</t>
        </is>
      </c>
      <c r="D298" s="14" t="inlineStr">
        <is>
          <t>Profesional</t>
        </is>
      </c>
      <c r="E298" s="14" t="inlineStr">
        <is>
          <t>C099</t>
        </is>
      </c>
      <c r="F298" s="14" t="inlineStr">
        <is>
          <t>Caso 099</t>
        </is>
      </c>
      <c r="G298" s="14" t="inlineStr">
        <is>
          <t>La oficina de control interno programa sus auditorías.</t>
        </is>
      </c>
      <c r="H298" s="14" t="inlineStr">
        <is>
          <t>El plan de mejoramiento derivado de una auditoría:</t>
        </is>
      </c>
      <c r="I298" s="14" t="inlineStr">
        <is>
          <t>Tiene acciones, responsables, plazos y seguimiento verificable</t>
        </is>
      </c>
      <c r="J298" s="14" t="inlineStr">
        <is>
          <t>Se cumple con socializar los hallazgos</t>
        </is>
      </c>
      <c r="K298" s="14" t="inlineStr">
        <is>
          <t>Es opcional si el hallazgo es menor</t>
        </is>
      </c>
      <c r="L298" s="14" t="inlineStr">
        <is>
          <t>a</t>
        </is>
      </c>
      <c r="M298" s="14" t="inlineStr">
        <is>
          <t>El plan exige acciones, responsables, plazos y seguimiento verificable.</t>
        </is>
      </c>
      <c r="N298" s="14" t="inlineStr">
        <is>
          <t>b) y c) dejan el hallazgo sin corrección.</t>
        </is>
      </c>
      <c r="O298" s="14" t="inlineStr">
        <is>
          <t>Ley 87 de 1993</t>
        </is>
      </c>
      <c r="P298" s="14" t="inlineStr">
        <is>
          <t>SI</t>
        </is>
      </c>
      <c r="Q298" s="11" t="inlineStr">
        <is>
          <t>Basica</t>
        </is>
      </c>
      <c r="R298" s="11" t="inlineStr">
        <is>
          <t>repaso</t>
        </is>
      </c>
    </row>
    <row r="299" ht="23.25" customHeight="1" s="12">
      <c r="A299" s="14" t="inlineStr">
        <is>
          <t>F0298</t>
        </is>
      </c>
      <c r="B299" s="14" t="inlineStr">
        <is>
          <t>PS 2782 de 2026 - ESE 2 - HUHMP Neiva</t>
        </is>
      </c>
      <c r="C299" s="14" t="inlineStr">
        <is>
          <t>Gestion hospitalaria y organizacion de la E.S.E.</t>
        </is>
      </c>
      <c r="D299" s="14" t="inlineStr">
        <is>
          <t>Profesional</t>
        </is>
      </c>
      <c r="E299" s="14" t="inlineStr">
        <is>
          <t>C100</t>
        </is>
      </c>
      <c r="F299" s="14" t="inlineStr">
        <is>
          <t>Caso 100</t>
        </is>
      </c>
      <c r="G299" s="14" t="inlineStr">
        <is>
          <t>Se analiza la política de austeridad y el manejo presupuestal del hospital.</t>
        </is>
      </c>
      <c r="H299" s="14" t="inlineStr">
        <is>
          <t>El presupuesto de una E.S.E. se rige por:</t>
        </is>
      </c>
      <c r="I299" s="14" t="inlineStr">
        <is>
          <t>Su régimen presupuestal propio y las normas orgánicas aplicables</t>
        </is>
      </c>
      <c r="J299" s="14" t="inlineStr">
        <is>
          <t>La Ley 80 de 1993</t>
        </is>
      </c>
      <c r="K299" s="14" t="inlineStr">
        <is>
          <t>El Código de Comercio</t>
        </is>
      </c>
      <c r="L299" s="14" t="inlineStr">
        <is>
          <t>a</t>
        </is>
      </c>
      <c r="M299" s="14" t="inlineStr">
        <is>
          <t>Las E.S.E. cuentan con régimen presupuestal propio, en el marco de las normas orgánicas aplicables.</t>
        </is>
      </c>
      <c r="N299" s="14" t="inlineStr">
        <is>
          <t>b) regula contratación estatal y c) la actividad mercantil.</t>
        </is>
      </c>
      <c r="O299" s="14" t="inlineStr">
        <is>
          <t>Decreto 115 de 1996; Ley 100 de 1993</t>
        </is>
      </c>
      <c r="P299" s="14" t="inlineStr">
        <is>
          <t>SI</t>
        </is>
      </c>
      <c r="Q299" s="11" t="inlineStr">
        <is>
          <t>Basica</t>
        </is>
      </c>
      <c r="R299" s="11" t="inlineStr">
        <is>
          <t>repaso</t>
        </is>
      </c>
    </row>
    <row r="300" ht="23.25" customHeight="1" s="12">
      <c r="A300" s="14" t="inlineStr">
        <is>
          <t>F0299</t>
        </is>
      </c>
      <c r="B300" s="14" t="inlineStr">
        <is>
          <t>PS 2782 de 2026 - ESE 2 - HUHMP Neiva</t>
        </is>
      </c>
      <c r="C300" s="14" t="inlineStr">
        <is>
          <t>Gestion hospitalaria y organizacion de la E.S.E.</t>
        </is>
      </c>
      <c r="D300" s="14" t="inlineStr">
        <is>
          <t>Profesional</t>
        </is>
      </c>
      <c r="E300" s="14" t="inlineStr">
        <is>
          <t>C100</t>
        </is>
      </c>
      <c r="F300" s="14" t="inlineStr">
        <is>
          <t>Caso 100</t>
        </is>
      </c>
      <c r="G300" s="14" t="inlineStr">
        <is>
          <t>Se analiza la política de austeridad y el manejo presupuestal del hospital.</t>
        </is>
      </c>
      <c r="H300" s="14" t="inlineStr">
        <is>
          <t>El compromiso de recursos sin disponibilidad presupuestal:</t>
        </is>
      </c>
      <c r="I300" s="14" t="inlineStr">
        <is>
          <t>Está prohibido y compromete responsabilidad fiscal y disciplinaria</t>
        </is>
      </c>
      <c r="J300" s="14" t="inlineStr">
        <is>
          <t>Es admisible si el servicio es urgente</t>
        </is>
      </c>
      <c r="K300" s="14" t="inlineStr">
        <is>
          <t>Se subsana con adición posterior</t>
        </is>
      </c>
      <c r="L300" s="14" t="inlineStr">
        <is>
          <t>a</t>
        </is>
      </c>
      <c r="M300" s="14" t="inlineStr">
        <is>
          <t>Comprometer recursos sin disponibilidad está prohibido y genera responsabilidad.</t>
        </is>
      </c>
      <c r="N300" s="14" t="inlineStr">
        <is>
          <t>b) y c) legitiman una práctica proscrita.</t>
        </is>
      </c>
      <c r="O300" s="14" t="inlineStr">
        <is>
          <t>Decreto 111 de 1996; Ley 610 de 2000</t>
        </is>
      </c>
      <c r="P300" s="14" t="inlineStr">
        <is>
          <t>SI</t>
        </is>
      </c>
      <c r="Q300" s="11" t="inlineStr">
        <is>
          <t>Basica</t>
        </is>
      </c>
      <c r="R300" s="11" t="inlineStr">
        <is>
          <t>repaso</t>
        </is>
      </c>
    </row>
    <row r="301" ht="23.25" customHeight="1" s="12">
      <c r="A301" s="14" t="inlineStr">
        <is>
          <t>F0300</t>
        </is>
      </c>
      <c r="B301" s="14" t="inlineStr">
        <is>
          <t>PS 2782 de 2026 - ESE 2 - HUHMP Neiva</t>
        </is>
      </c>
      <c r="C301" s="14" t="inlineStr">
        <is>
          <t>Gestion hospitalaria y organizacion de la E.S.E.</t>
        </is>
      </c>
      <c r="D301" s="14" t="inlineStr">
        <is>
          <t>Profesional</t>
        </is>
      </c>
      <c r="E301" s="14" t="inlineStr">
        <is>
          <t>C100</t>
        </is>
      </c>
      <c r="F301" s="14" t="inlineStr">
        <is>
          <t>Caso 100</t>
        </is>
      </c>
      <c r="G301" s="14" t="inlineStr">
        <is>
          <t>Se analiza la política de austeridad y el manejo presupuestal del hospital.</t>
        </is>
      </c>
      <c r="H301" s="14" t="inlineStr">
        <is>
          <t>La responsabilidad fiscal se declara por:</t>
        </is>
      </c>
      <c r="I301" s="14" t="inlineStr">
        <is>
          <t>Un daño patrimonial al Estado causado con dolo o culpa grave</t>
        </is>
      </c>
      <c r="J301" s="14" t="inlineStr">
        <is>
          <t>Cualquier error administrativo</t>
        </is>
      </c>
      <c r="K301" s="14" t="inlineStr">
        <is>
          <t>La sola inconformidad de un ciudadano</t>
        </is>
      </c>
      <c r="L301" s="14" t="inlineStr">
        <is>
          <t>a</t>
        </is>
      </c>
      <c r="M301" s="14" t="inlineStr">
        <is>
          <t>La responsabilidad fiscal exige daño patrimonial y conducta dolosa o gravemente culposa.</t>
        </is>
      </c>
      <c r="N301" s="14" t="inlineStr">
        <is>
          <t>b) y c) desconocen los elementos del juicio fiscal.</t>
        </is>
      </c>
      <c r="O301" s="14" t="inlineStr">
        <is>
          <t>Ley 610 de 2000</t>
        </is>
      </c>
      <c r="P301" s="14" t="inlineStr">
        <is>
          <t>SI</t>
        </is>
      </c>
      <c r="Q301" s="11" t="inlineStr">
        <is>
          <t>Basica</t>
        </is>
      </c>
      <c r="R301" s="11" t="inlineStr">
        <is>
          <t>repaso</t>
        </is>
      </c>
    </row>
    <row r="302" ht="23.25" customHeight="1" s="12">
      <c r="A302" s="14" t="inlineStr">
        <is>
          <t>F0301</t>
        </is>
      </c>
      <c r="B302" s="14" t="inlineStr">
        <is>
          <t>PS 2782 de 2026 - ESE 2 - HUHMP Neiva</t>
        </is>
      </c>
      <c r="C302" s="14" t="inlineStr">
        <is>
          <t>Gestion hospitalaria y organizacion de la E.S.E.</t>
        </is>
      </c>
      <c r="D302" s="14" t="inlineStr">
        <is>
          <t>Tecnico</t>
        </is>
      </c>
      <c r="E302" s="14" t="inlineStr">
        <is>
          <t>C101</t>
        </is>
      </c>
      <c r="F302" s="14" t="inlineStr">
        <is>
          <t>Caso 101</t>
        </is>
      </c>
      <c r="G302" s="14" t="inlineStr">
        <is>
          <t>Se revisa la gestión documental del hospital.</t>
        </is>
      </c>
      <c r="H302" s="14" t="inlineStr">
        <is>
          <t>Las tablas de retención documental definen:</t>
        </is>
      </c>
      <c r="I302" s="14" t="inlineStr">
        <is>
          <t>Los tiempos de permanencia de cada serie y su disposición final</t>
        </is>
      </c>
      <c r="J302" s="14" t="inlineStr">
        <is>
          <t>El presupuesto del archivo</t>
        </is>
      </c>
      <c r="K302" s="14" t="inlineStr">
        <is>
          <t>El organigrama</t>
        </is>
      </c>
      <c r="L302" s="14" t="inlineStr">
        <is>
          <t>a</t>
        </is>
      </c>
      <c r="M302" s="14" t="inlineStr">
        <is>
          <t>Las TRD fijan tiempos de retención por serie documental y su disposición final.</t>
        </is>
      </c>
      <c r="N302" s="14" t="inlineStr">
        <is>
          <t>b) y c) no corresponden al instrumento archivístico.</t>
        </is>
      </c>
      <c r="O302" s="14" t="inlineStr">
        <is>
          <t>Ley 594 de 2000</t>
        </is>
      </c>
      <c r="P302" s="14" t="inlineStr">
        <is>
          <t>SI</t>
        </is>
      </c>
      <c r="Q302" s="11" t="inlineStr">
        <is>
          <t>Basica</t>
        </is>
      </c>
      <c r="R302" s="11" t="inlineStr">
        <is>
          <t>repaso</t>
        </is>
      </c>
    </row>
    <row r="303" ht="23.25" customHeight="1" s="12">
      <c r="A303" s="14" t="inlineStr">
        <is>
          <t>F0302</t>
        </is>
      </c>
      <c r="B303" s="14" t="inlineStr">
        <is>
          <t>PS 2782 de 2026 - ESE 2 - HUHMP Neiva</t>
        </is>
      </c>
      <c r="C303" s="14" t="inlineStr">
        <is>
          <t>Gestion hospitalaria y organizacion de la E.S.E.</t>
        </is>
      </c>
      <c r="D303" s="14" t="inlineStr">
        <is>
          <t>Tecnico</t>
        </is>
      </c>
      <c r="E303" s="14" t="inlineStr">
        <is>
          <t>C101</t>
        </is>
      </c>
      <c r="F303" s="14" t="inlineStr">
        <is>
          <t>Caso 101</t>
        </is>
      </c>
      <c r="G303" s="14" t="inlineStr">
        <is>
          <t>Se revisa la gestión documental del hospital.</t>
        </is>
      </c>
      <c r="H303" s="14" t="inlineStr">
        <is>
          <t>El expediente electrónico debe garantizar:</t>
        </is>
      </c>
      <c r="I303" s="14" t="inlineStr">
        <is>
          <t>Autenticidad, integridad, fiabilidad y disponibilidad</t>
        </is>
      </c>
      <c r="J303" s="14" t="inlineStr">
        <is>
          <t>Solo respaldo en la nube</t>
        </is>
      </c>
      <c r="K303" s="14" t="inlineStr">
        <is>
          <t>Solo acceso rápido</t>
        </is>
      </c>
      <c r="L303" s="14" t="inlineStr">
        <is>
          <t>a</t>
        </is>
      </c>
      <c r="M303" s="14" t="inlineStr">
        <is>
          <t>El expediente electrónico debe asegurar autenticidad, integridad, fiabilidad y disponibilidad.</t>
        </is>
      </c>
      <c r="N303" s="14" t="inlineStr">
        <is>
          <t>b) y c) son medios, no garantías documentales.</t>
        </is>
      </c>
      <c r="O303" s="14" t="inlineStr">
        <is>
          <t>Ley 594 de 2000; Decreto 1080 de 2015</t>
        </is>
      </c>
      <c r="P303" s="14" t="inlineStr">
        <is>
          <t>SI</t>
        </is>
      </c>
      <c r="Q303" s="11" t="inlineStr">
        <is>
          <t>Basica</t>
        </is>
      </c>
      <c r="R303" s="11" t="inlineStr">
        <is>
          <t>repaso</t>
        </is>
      </c>
    </row>
    <row r="304" ht="23.25" customHeight="1" s="12">
      <c r="A304" s="14" t="inlineStr">
        <is>
          <t>F0303</t>
        </is>
      </c>
      <c r="B304" s="14" t="inlineStr">
        <is>
          <t>PS 2782 de 2026 - ESE 2 - HUHMP Neiva</t>
        </is>
      </c>
      <c r="C304" s="14" t="inlineStr">
        <is>
          <t>Gestion hospitalaria y organizacion de la E.S.E.</t>
        </is>
      </c>
      <c r="D304" s="14" t="inlineStr">
        <is>
          <t>Tecnico</t>
        </is>
      </c>
      <c r="E304" s="14" t="inlineStr">
        <is>
          <t>C101</t>
        </is>
      </c>
      <c r="F304" s="14" t="inlineStr">
        <is>
          <t>Caso 101</t>
        </is>
      </c>
      <c r="G304" s="14" t="inlineStr">
        <is>
          <t>Se revisa la gestión documental del hospital.</t>
        </is>
      </c>
      <c r="H304" s="14" t="inlineStr">
        <is>
          <t>La eliminación documental requiere:</t>
        </is>
      </c>
      <c r="I304" s="14" t="inlineStr">
        <is>
          <t>Acta del comité de archivo y publicación previa del inventario</t>
        </is>
      </c>
      <c r="J304" s="14" t="inlineStr">
        <is>
          <t>Autorización verbal</t>
        </is>
      </c>
      <c r="K304" s="14" t="inlineStr">
        <is>
          <t>Solicitud del área productora</t>
        </is>
      </c>
      <c r="L304" s="14" t="inlineStr">
        <is>
          <t>a</t>
        </is>
      </c>
      <c r="M304" s="14" t="inlineStr">
        <is>
          <t>La eliminación exige decisión del comité, acta y publicidad del inventario.</t>
        </is>
      </c>
      <c r="N304" s="14" t="inlineStr">
        <is>
          <t>b) y c) omiten el procedimiento archivístico.</t>
        </is>
      </c>
      <c r="O304" s="14" t="inlineStr">
        <is>
          <t>Acuerdo 004 de 2019, AGN</t>
        </is>
      </c>
      <c r="P304" s="14" t="inlineStr">
        <is>
          <t>SI</t>
        </is>
      </c>
      <c r="Q304" s="11" t="inlineStr">
        <is>
          <t>Basica</t>
        </is>
      </c>
      <c r="R304" s="11" t="inlineStr">
        <is>
          <t>repaso</t>
        </is>
      </c>
    </row>
    <row r="305" ht="23.25" customHeight="1" s="12">
      <c r="A305" s="14" t="inlineStr">
        <is>
          <t>F0304</t>
        </is>
      </c>
      <c r="B305" s="14" t="inlineStr">
        <is>
          <t>PS 2782 de 2026 - ESE 2 - HUHMP Neiva</t>
        </is>
      </c>
      <c r="C305" s="14" t="inlineStr">
        <is>
          <t>Contratacion en la E.S.E. y transparencia</t>
        </is>
      </c>
      <c r="D305" s="14" t="inlineStr">
        <is>
          <t>Profesional</t>
        </is>
      </c>
      <c r="E305" s="14" t="inlineStr">
        <is>
          <t>C102</t>
        </is>
      </c>
      <c r="F305" s="14" t="inlineStr">
        <is>
          <t>Caso 102</t>
        </is>
      </c>
      <c r="G305" s="14" t="inlineStr">
        <is>
          <t>El hospital estructura la compra de medicamentos para la vigencia.</t>
        </is>
      </c>
      <c r="H305" s="14" t="inlineStr">
        <is>
          <t>El estudio previo en el régimen especial de la E.S.E.:</t>
        </is>
      </c>
      <c r="I305" s="14" t="inlineStr">
        <is>
          <t>Es necesario para justificar la necesidad, el objeto y el valor, por el principio de planeación</t>
        </is>
      </c>
      <c r="J305" s="14" t="inlineStr">
        <is>
          <t>No se requiere por ser derecho privado</t>
        </is>
      </c>
      <c r="K305" s="14" t="inlineStr">
        <is>
          <t>Se elabora después de firmar</t>
        </is>
      </c>
      <c r="L305" s="14" t="inlineStr">
        <is>
          <t>a</t>
        </is>
      </c>
      <c r="M305" s="14" t="inlineStr">
        <is>
          <t>El principio de planeación exige estudios previos aun en regímenes contractuales especiales.</t>
        </is>
      </c>
      <c r="N305" s="14" t="inlineStr">
        <is>
          <t>b) confunde régimen sustantivo con ausencia de principios y c) invierte el orden lógico.</t>
        </is>
      </c>
      <c r="O305" s="14" t="inlineStr">
        <is>
          <t>Ley 1150 de 2007, art. 13; Resolución 5185 de 2013</t>
        </is>
      </c>
      <c r="P305" s="14" t="inlineStr">
        <is>
          <t>SI</t>
        </is>
      </c>
      <c r="Q305" s="11" t="inlineStr">
        <is>
          <t>Basica</t>
        </is>
      </c>
      <c r="R305" s="11" t="inlineStr">
        <is>
          <t>repaso</t>
        </is>
      </c>
    </row>
    <row r="306" ht="23.25" customHeight="1" s="12">
      <c r="A306" s="14" t="inlineStr">
        <is>
          <t>F0305</t>
        </is>
      </c>
      <c r="B306" s="14" t="inlineStr">
        <is>
          <t>PS 2782 de 2026 - ESE 2 - HUHMP Neiva</t>
        </is>
      </c>
      <c r="C306" s="14" t="inlineStr">
        <is>
          <t>Contratacion en la E.S.E. y transparencia</t>
        </is>
      </c>
      <c r="D306" s="14" t="inlineStr">
        <is>
          <t>Profesional</t>
        </is>
      </c>
      <c r="E306" s="14" t="inlineStr">
        <is>
          <t>C102</t>
        </is>
      </c>
      <c r="F306" s="14" t="inlineStr">
        <is>
          <t>Caso 102</t>
        </is>
      </c>
      <c r="G306" s="14" t="inlineStr">
        <is>
          <t>El hospital estructura la compra de medicamentos para la vigencia.</t>
        </is>
      </c>
      <c r="H306" s="14" t="inlineStr">
        <is>
          <t>La selección del contratista debe:</t>
        </is>
      </c>
      <c r="I306" s="14" t="inlineStr">
        <is>
          <t>Fundarse en criterios objetivos previamente definidos</t>
        </is>
      </c>
      <c r="J306" s="14" t="inlineStr">
        <is>
          <t>Basarse en la confianza del ordenador</t>
        </is>
      </c>
      <c r="K306" s="14" t="inlineStr">
        <is>
          <t>Ser discrecional sin motivación</t>
        </is>
      </c>
      <c r="L306" s="14" t="inlineStr">
        <is>
          <t>a</t>
        </is>
      </c>
      <c r="M306" s="14" t="inlineStr">
        <is>
          <t>La selección se funda en criterios objetivos definidos previamente.</t>
        </is>
      </c>
      <c r="N306" s="14" t="inlineStr">
        <is>
          <t>b) y c) desconocen la objetividad y la motivación exigidas.</t>
        </is>
      </c>
      <c r="O306" s="14" t="inlineStr">
        <is>
          <t>Resolución 5185 de 2013; C.P. art. 209</t>
        </is>
      </c>
      <c r="P306" s="14" t="inlineStr">
        <is>
          <t>SI</t>
        </is>
      </c>
      <c r="Q306" s="11" t="inlineStr">
        <is>
          <t>Basica</t>
        </is>
      </c>
      <c r="R306" s="11" t="inlineStr">
        <is>
          <t>repaso</t>
        </is>
      </c>
    </row>
    <row r="307" ht="23.25" customHeight="1" s="12">
      <c r="A307" s="14" t="inlineStr">
        <is>
          <t>F0306</t>
        </is>
      </c>
      <c r="B307" s="14" t="inlineStr">
        <is>
          <t>PS 2782 de 2026 - ESE 2 - HUHMP Neiva</t>
        </is>
      </c>
      <c r="C307" s="14" t="inlineStr">
        <is>
          <t>Contratacion en la E.S.E. y transparencia</t>
        </is>
      </c>
      <c r="D307" s="14" t="inlineStr">
        <is>
          <t>Profesional</t>
        </is>
      </c>
      <c r="E307" s="14" t="inlineStr">
        <is>
          <t>C102</t>
        </is>
      </c>
      <c r="F307" s="14" t="inlineStr">
        <is>
          <t>Caso 102</t>
        </is>
      </c>
      <c r="G307" s="14" t="inlineStr">
        <is>
          <t>El hospital estructura la compra de medicamentos para la vigencia.</t>
        </is>
      </c>
      <c r="H307" s="14" t="inlineStr">
        <is>
          <t>La urgencia manifiesta o la contratación directa en la E.S.E.:</t>
        </is>
      </c>
      <c r="I307" s="14" t="inlineStr">
        <is>
          <t>Debe estar prevista y motivada en su estatuto de contratación</t>
        </is>
      </c>
      <c r="J307" s="14" t="inlineStr">
        <is>
          <t>Puede usarse libremente</t>
        </is>
      </c>
      <c r="K307" s="14" t="inlineStr">
        <is>
          <t>Está prohibida siempre</t>
        </is>
      </c>
      <c r="L307" s="14" t="inlineStr">
        <is>
          <t>a</t>
        </is>
      </c>
      <c r="M307" s="14" t="inlineStr">
        <is>
          <t>Las causales y su motivación deben estar previstas en el estatuto adoptado por la junta directiva.</t>
        </is>
      </c>
      <c r="N307" s="14" t="inlineStr">
        <is>
          <t>b) elimina el control y c) niega una figura legítima si está reglada.</t>
        </is>
      </c>
      <c r="O307" s="14" t="inlineStr">
        <is>
          <t>Ley 1438 de 2011, art. 76</t>
        </is>
      </c>
      <c r="P307" s="14" t="inlineStr">
        <is>
          <t>SI</t>
        </is>
      </c>
      <c r="Q307" s="11" t="inlineStr">
        <is>
          <t>Basica</t>
        </is>
      </c>
      <c r="R307" s="11" t="inlineStr">
        <is>
          <t>repaso</t>
        </is>
      </c>
    </row>
    <row r="308" ht="23.25" customHeight="1" s="12">
      <c r="A308" s="14" t="inlineStr">
        <is>
          <t>F0307</t>
        </is>
      </c>
      <c r="B308" s="14" t="inlineStr">
        <is>
          <t>PS 2782 de 2026 - ESE 2 - HUHMP Neiva</t>
        </is>
      </c>
      <c r="C308" s="14" t="inlineStr">
        <is>
          <t>Contratacion en la E.S.E. y transparencia</t>
        </is>
      </c>
      <c r="D308" s="14" t="inlineStr">
        <is>
          <t>Profesional</t>
        </is>
      </c>
      <c r="E308" s="14" t="inlineStr">
        <is>
          <t>C103</t>
        </is>
      </c>
      <c r="F308" s="14" t="inlineStr">
        <is>
          <t>Caso 103</t>
        </is>
      </c>
      <c r="G308" s="14" t="inlineStr">
        <is>
          <t>La oficina jurídica revisa la ejecución de un contrato de servicios asistenciales.</t>
        </is>
      </c>
      <c r="H308" s="14" t="inlineStr">
        <is>
          <t>El contrato puede modificarse:</t>
        </is>
      </c>
      <c r="I308" s="14" t="inlineStr">
        <is>
          <t>Mediante acuerdo escrito, motivado y previo a la ejecución de lo modificado</t>
        </is>
      </c>
      <c r="J308" s="14" t="inlineStr">
        <is>
          <t>Verbalmente si hay confianza</t>
        </is>
      </c>
      <c r="K308" s="14" t="inlineStr">
        <is>
          <t>Después de ejecutado lo nuevo</t>
        </is>
      </c>
      <c r="L308" s="14" t="inlineStr">
        <is>
          <t>a</t>
        </is>
      </c>
      <c r="M308" s="14" t="inlineStr">
        <is>
          <t>Las modificaciones deben constar por escrito, motivadas y antes de ejecutar lo modificado.</t>
        </is>
      </c>
      <c r="N308" s="14" t="inlineStr">
        <is>
          <t>b) y c) dejan sin soporte una variación del objeto o del valor.</t>
        </is>
      </c>
      <c r="O308" s="14" t="inlineStr">
        <is>
          <t>Resolución 5185 de 2013</t>
        </is>
      </c>
      <c r="P308" s="14" t="inlineStr">
        <is>
          <t>SI</t>
        </is>
      </c>
      <c r="Q308" s="11" t="inlineStr">
        <is>
          <t>Basica</t>
        </is>
      </c>
      <c r="R308" s="11" t="inlineStr">
        <is>
          <t>repaso</t>
        </is>
      </c>
    </row>
    <row r="309" ht="23.25" customHeight="1" s="12">
      <c r="A309" s="14" t="inlineStr">
        <is>
          <t>F0308</t>
        </is>
      </c>
      <c r="B309" s="14" t="inlineStr">
        <is>
          <t>PS 2782 de 2026 - ESE 2 - HUHMP Neiva</t>
        </is>
      </c>
      <c r="C309" s="14" t="inlineStr">
        <is>
          <t>Contratacion en la E.S.E. y transparencia</t>
        </is>
      </c>
      <c r="D309" s="14" t="inlineStr">
        <is>
          <t>Profesional</t>
        </is>
      </c>
      <c r="E309" s="14" t="inlineStr">
        <is>
          <t>C103</t>
        </is>
      </c>
      <c r="F309" s="14" t="inlineStr">
        <is>
          <t>Caso 103</t>
        </is>
      </c>
      <c r="G309" s="14" t="inlineStr">
        <is>
          <t>La oficina jurídica revisa la ejecución de un contrato de servicios asistenciales.</t>
        </is>
      </c>
      <c r="H309" s="14" t="inlineStr">
        <is>
          <t>El pago al contratista procede:</t>
        </is>
      </c>
      <c r="I309" s="14" t="inlineStr">
        <is>
          <t>Contra el cumplimiento acreditado de las obligaciones y los soportes exigidos</t>
        </is>
      </c>
      <c r="J309" s="14" t="inlineStr">
        <is>
          <t>Por el solo paso del tiempo</t>
        </is>
      </c>
      <c r="K309" s="14" t="inlineStr">
        <is>
          <t>Anticipado en todos los casos</t>
        </is>
      </c>
      <c r="L309" s="14" t="inlineStr">
        <is>
          <t>a</t>
        </is>
      </c>
      <c r="M309" s="14" t="inlineStr">
        <is>
          <t>El pago procede contra el cumplimiento acreditado y los soportes pactados.</t>
        </is>
      </c>
      <c r="N309" s="14" t="inlineStr">
        <is>
          <t>b) y c) desligan el pago de la ejecución.</t>
        </is>
      </c>
      <c r="O309" s="14" t="inlineStr">
        <is>
          <t>Resolución 5185 de 2013</t>
        </is>
      </c>
      <c r="P309" s="14" t="inlineStr">
        <is>
          <t>SI</t>
        </is>
      </c>
      <c r="Q309" s="11" t="inlineStr">
        <is>
          <t>Basica</t>
        </is>
      </c>
      <c r="R309" s="11" t="inlineStr">
        <is>
          <t>repaso</t>
        </is>
      </c>
    </row>
    <row r="310" ht="23.25" customHeight="1" s="12">
      <c r="A310" s="14" t="inlineStr">
        <is>
          <t>F0309</t>
        </is>
      </c>
      <c r="B310" s="14" t="inlineStr">
        <is>
          <t>PS 2782 de 2026 - ESE 2 - HUHMP Neiva</t>
        </is>
      </c>
      <c r="C310" s="14" t="inlineStr">
        <is>
          <t>Contratacion en la E.S.E. y transparencia</t>
        </is>
      </c>
      <c r="D310" s="14" t="inlineStr">
        <is>
          <t>Profesional</t>
        </is>
      </c>
      <c r="E310" s="14" t="inlineStr">
        <is>
          <t>C103</t>
        </is>
      </c>
      <c r="F310" s="14" t="inlineStr">
        <is>
          <t>Caso 103</t>
        </is>
      </c>
      <c r="G310" s="14" t="inlineStr">
        <is>
          <t>La oficina jurídica revisa la ejecución de un contrato de servicios asistenciales.</t>
        </is>
      </c>
      <c r="H310" s="14" t="inlineStr">
        <is>
          <t>La liquidación del contrato tiene por objeto:</t>
        </is>
      </c>
      <c r="I310" s="14" t="inlineStr">
        <is>
          <t>Hacer el balance final de la ejecución y definir acuerdos o salvedades</t>
        </is>
      </c>
      <c r="J310" s="14" t="inlineStr">
        <is>
          <t>Renovar el contrato</t>
        </is>
      </c>
      <c r="K310" s="14" t="inlineStr">
        <is>
          <t>Ampliar el plazo</t>
        </is>
      </c>
      <c r="L310" s="14" t="inlineStr">
        <is>
          <t>a</t>
        </is>
      </c>
      <c r="M310" s="14" t="inlineStr">
        <is>
          <t>La liquidación establece el balance final y las salvedades de las partes.</t>
        </is>
      </c>
      <c r="N310" s="14" t="inlineStr">
        <is>
          <t>b) y c) confunden la liquidación con figuras distintas.</t>
        </is>
      </c>
      <c r="O310" s="14" t="inlineStr">
        <is>
          <t>Ley 1150 de 2007</t>
        </is>
      </c>
      <c r="P310" s="14" t="inlineStr">
        <is>
          <t>SI</t>
        </is>
      </c>
      <c r="Q310" s="11" t="inlineStr">
        <is>
          <t>Basica</t>
        </is>
      </c>
      <c r="R310" s="11" t="inlineStr">
        <is>
          <t>repaso</t>
        </is>
      </c>
    </row>
    <row r="311" ht="23.25" customHeight="1" s="12">
      <c r="A311" s="14" t="inlineStr">
        <is>
          <t>F0310</t>
        </is>
      </c>
      <c r="B311" s="14" t="inlineStr">
        <is>
          <t>PS 2782 de 2026 - ESE 2 - HUHMP Neiva</t>
        </is>
      </c>
      <c r="C311" s="14" t="inlineStr">
        <is>
          <t>Contratacion en la E.S.E. y transparencia</t>
        </is>
      </c>
      <c r="D311" s="14" t="inlineStr">
        <is>
          <t>Tecnico</t>
        </is>
      </c>
      <c r="E311" s="14" t="inlineStr">
        <is>
          <t>C104</t>
        </is>
      </c>
      <c r="F311" s="14" t="inlineStr">
        <is>
          <t>Caso 104</t>
        </is>
      </c>
      <c r="G311" s="14" t="inlineStr">
        <is>
          <t>El área de contratación publica los documentos del proceso.</t>
        </is>
      </c>
      <c r="H311" s="14" t="inlineStr">
        <is>
          <t>La publicación en el SECOP debe hacerse:</t>
        </is>
      </c>
      <c r="I311" s="14" t="inlineStr">
        <is>
          <t>Dentro de los términos previstos, incluyendo los documentos del proceso y su ejecución</t>
        </is>
      </c>
      <c r="J311" s="14" t="inlineStr">
        <is>
          <t>Solo al final del contrato</t>
        </is>
      </c>
      <c r="K311" s="14" t="inlineStr">
        <is>
          <t>Solo si el contrato supera 1000 SMLMV</t>
        </is>
      </c>
      <c r="L311" s="14" t="inlineStr">
        <is>
          <t>a</t>
        </is>
      </c>
      <c r="M311" s="14" t="inlineStr">
        <is>
          <t>La publicidad comprende los documentos del proceso y de su ejecución, en los términos previstos.</t>
        </is>
      </c>
      <c r="N311" s="14" t="inlineStr">
        <is>
          <t>b) y c) reducen la publicidad a un momento o a una cuantía.</t>
        </is>
      </c>
      <c r="O311" s="14" t="inlineStr">
        <is>
          <t>Ley 1712 de 2014; Ley 2195 de 2022, art. 53</t>
        </is>
      </c>
      <c r="P311" s="14" t="inlineStr">
        <is>
          <t>SI</t>
        </is>
      </c>
      <c r="Q311" s="11" t="inlineStr">
        <is>
          <t>Basica</t>
        </is>
      </c>
      <c r="R311" s="11" t="inlineStr">
        <is>
          <t>repaso</t>
        </is>
      </c>
    </row>
    <row r="312" ht="23.25" customHeight="1" s="12">
      <c r="A312" s="14" t="inlineStr">
        <is>
          <t>F0311</t>
        </is>
      </c>
      <c r="B312" s="14" t="inlineStr">
        <is>
          <t>PS 2782 de 2026 - ESE 2 - HUHMP Neiva</t>
        </is>
      </c>
      <c r="C312" s="14" t="inlineStr">
        <is>
          <t>Contratacion en la E.S.E. y transparencia</t>
        </is>
      </c>
      <c r="D312" s="14" t="inlineStr">
        <is>
          <t>Tecnico</t>
        </is>
      </c>
      <c r="E312" s="14" t="inlineStr">
        <is>
          <t>C104</t>
        </is>
      </c>
      <c r="F312" s="14" t="inlineStr">
        <is>
          <t>Caso 104</t>
        </is>
      </c>
      <c r="G312" s="14" t="inlineStr">
        <is>
          <t>El área de contratación publica los documentos del proceso.</t>
        </is>
      </c>
      <c r="H312" s="14" t="inlineStr">
        <is>
          <t>El registro de proveedores de la E.S.E.:</t>
        </is>
      </c>
      <c r="I312" s="14" t="inlineStr">
        <is>
          <t>Puede establecerse en su estatuto como instrumento de selección objetiva</t>
        </is>
      </c>
      <c r="J312" s="14" t="inlineStr">
        <is>
          <t>Es obligatorio por la Ley 80</t>
        </is>
      </c>
      <c r="K312" s="14" t="inlineStr">
        <is>
          <t>Está prohibido</t>
        </is>
      </c>
      <c r="L312" s="14" t="inlineStr">
        <is>
          <t>a</t>
        </is>
      </c>
      <c r="M312" s="14" t="inlineStr">
        <is>
          <t>El estatuto propio puede prever un registro de proveedores como instrumento de selección objetiva.</t>
        </is>
      </c>
      <c r="N312" s="14" t="inlineStr">
        <is>
          <t>b) aplica una norma de la que está exceptuada y c) niega una facultad estatutaria.</t>
        </is>
      </c>
      <c r="O312" s="14" t="inlineStr">
        <is>
          <t>Ley 1438 de 2011, art. 76</t>
        </is>
      </c>
      <c r="P312" s="14" t="inlineStr">
        <is>
          <t>SI</t>
        </is>
      </c>
      <c r="Q312" s="11" t="inlineStr">
        <is>
          <t>Basica</t>
        </is>
      </c>
      <c r="R312" s="11" t="inlineStr">
        <is>
          <t>repaso</t>
        </is>
      </c>
    </row>
    <row r="313" ht="23.25" customHeight="1" s="12">
      <c r="A313" s="14" t="inlineStr">
        <is>
          <t>F0312</t>
        </is>
      </c>
      <c r="B313" s="14" t="inlineStr">
        <is>
          <t>PS 2782 de 2026 - ESE 2 - HUHMP Neiva</t>
        </is>
      </c>
      <c r="C313" s="14" t="inlineStr">
        <is>
          <t>Contratacion en la E.S.E. y transparencia</t>
        </is>
      </c>
      <c r="D313" s="14" t="inlineStr">
        <is>
          <t>Tecnico</t>
        </is>
      </c>
      <c r="E313" s="14" t="inlineStr">
        <is>
          <t>C104</t>
        </is>
      </c>
      <c r="F313" s="14" t="inlineStr">
        <is>
          <t>Caso 104</t>
        </is>
      </c>
      <c r="G313" s="14" t="inlineStr">
        <is>
          <t>El área de contratación publica los documentos del proceso.</t>
        </is>
      </c>
      <c r="H313" s="14" t="inlineStr">
        <is>
          <t>Los documentos del proceso contractual son:</t>
        </is>
      </c>
      <c r="I313" s="14" t="inlineStr">
        <is>
          <t>Información pública, salvo reserva legal expresa</t>
        </is>
      </c>
      <c r="J313" s="14" t="inlineStr">
        <is>
          <t>Reservados por regla general</t>
        </is>
      </c>
      <c r="K313" s="14" t="inlineStr">
        <is>
          <t>Públicos solo para los oferentes</t>
        </is>
      </c>
      <c r="L313" s="14" t="inlineStr">
        <is>
          <t>a</t>
        </is>
      </c>
      <c r="M313" s="14" t="inlineStr">
        <is>
          <t>Los documentos contractuales son públicos, salvo excepción legal expresa.</t>
        </is>
      </c>
      <c r="N313" s="14" t="inlineStr">
        <is>
          <t>b) invierte la regla y c) restringe el acceso ciudadano.</t>
        </is>
      </c>
      <c r="O313" s="14" t="inlineStr">
        <is>
          <t>Ley 1712 de 2014</t>
        </is>
      </c>
      <c r="P313" s="14" t="inlineStr">
        <is>
          <t>SI</t>
        </is>
      </c>
      <c r="Q313" s="11" t="inlineStr">
        <is>
          <t>Basica</t>
        </is>
      </c>
      <c r="R313" s="11" t="inlineStr">
        <is>
          <t>repaso</t>
        </is>
      </c>
    </row>
    <row r="314" ht="23.25" customHeight="1" s="12">
      <c r="A314" s="14" t="inlineStr">
        <is>
          <t>F0313</t>
        </is>
      </c>
      <c r="B314" s="14" t="inlineStr">
        <is>
          <t>PS 2782 de 2026 - ESE 2 - HUHMP Neiva</t>
        </is>
      </c>
      <c r="C314" s="14" t="inlineStr">
        <is>
          <t>Contratacion en la E.S.E. y transparencia</t>
        </is>
      </c>
      <c r="D314" s="14" t="inlineStr">
        <is>
          <t>Profesional</t>
        </is>
      </c>
      <c r="E314" s="14" t="inlineStr">
        <is>
          <t>C105</t>
        </is>
      </c>
      <c r="F314" s="14" t="inlineStr">
        <is>
          <t>Caso 105</t>
        </is>
      </c>
      <c r="G314" s="14" t="inlineStr">
        <is>
          <t>Se detecta un posible conflicto de interés en un proceso de selección de proveedor.</t>
        </is>
      </c>
      <c r="H314" s="14" t="inlineStr">
        <is>
          <t>El servidor con conflicto de interés debe:</t>
        </is>
      </c>
      <c r="I314" s="14" t="inlineStr">
        <is>
          <t>Declararse impedido por escrito y apartarse del trámite</t>
        </is>
      </c>
      <c r="J314" s="14" t="inlineStr">
        <is>
          <t>Continuar si actúa con imparcialidad</t>
        </is>
      </c>
      <c r="K314" s="14" t="inlineStr">
        <is>
          <t>Informar solo al terminar el proceso</t>
        </is>
      </c>
      <c r="L314" s="14" t="inlineStr">
        <is>
          <t>a</t>
        </is>
      </c>
      <c r="M314" s="14" t="inlineStr">
        <is>
          <t>El servidor debe declarar el impedimento por escrito y apartarse del asunto.</t>
        </is>
      </c>
      <c r="N314" s="14" t="inlineStr">
        <is>
          <t>b) y c) mantienen el vicio durante la decisión.</t>
        </is>
      </c>
      <c r="O314" s="14" t="inlineStr">
        <is>
          <t>Ley 2013 de 2019; Ley 1437 de 2011, art. 11</t>
        </is>
      </c>
      <c r="P314" s="14" t="inlineStr">
        <is>
          <t>SI</t>
        </is>
      </c>
      <c r="Q314" s="11" t="inlineStr">
        <is>
          <t>Basica</t>
        </is>
      </c>
      <c r="R314" s="11" t="inlineStr">
        <is>
          <t>repaso</t>
        </is>
      </c>
    </row>
    <row r="315" ht="23.25" customHeight="1" s="12">
      <c r="A315" s="14" t="inlineStr">
        <is>
          <t>F0314</t>
        </is>
      </c>
      <c r="B315" s="14" t="inlineStr">
        <is>
          <t>PS 2782 de 2026 - ESE 2 - HUHMP Neiva</t>
        </is>
      </c>
      <c r="C315" s="14" t="inlineStr">
        <is>
          <t>Contratacion en la E.S.E. y transparencia</t>
        </is>
      </c>
      <c r="D315" s="14" t="inlineStr">
        <is>
          <t>Profesional</t>
        </is>
      </c>
      <c r="E315" s="14" t="inlineStr">
        <is>
          <t>C105</t>
        </is>
      </c>
      <c r="F315" s="14" t="inlineStr">
        <is>
          <t>Caso 105</t>
        </is>
      </c>
      <c r="G315" s="14" t="inlineStr">
        <is>
          <t>Se detecta un posible conflicto de interés en un proceso de selección de proveedor.</t>
        </is>
      </c>
      <c r="H315" s="14" t="inlineStr">
        <is>
          <t>La declaración de bienes, rentas y conflicto de interés:</t>
        </is>
      </c>
      <c r="I315" s="14" t="inlineStr">
        <is>
          <t>Es obligatoria para los servidores públicos en los términos de la ley</t>
        </is>
      </c>
      <c r="J315" s="14" t="inlineStr">
        <is>
          <t>Es voluntaria</t>
        </is>
      </c>
      <c r="K315" s="14" t="inlineStr">
        <is>
          <t>Solo aplica a directivos</t>
        </is>
      </c>
      <c r="L315" s="14" t="inlineStr">
        <is>
          <t>a</t>
        </is>
      </c>
      <c r="M315" s="14" t="inlineStr">
        <is>
          <t>La declaración es obligatoria en los términos de la ley de integridad pública.</t>
        </is>
      </c>
      <c r="N315" s="14" t="inlineStr">
        <is>
          <t>b) y c) reducen una obligación general.</t>
        </is>
      </c>
      <c r="O315" s="14" t="inlineStr">
        <is>
          <t>Ley 2013 de 2019</t>
        </is>
      </c>
      <c r="P315" s="14" t="inlineStr">
        <is>
          <t>SI</t>
        </is>
      </c>
      <c r="Q315" s="11" t="inlineStr">
        <is>
          <t>Basica</t>
        </is>
      </c>
      <c r="R315" s="11" t="inlineStr">
        <is>
          <t>repaso</t>
        </is>
      </c>
    </row>
    <row r="316" ht="23.25" customHeight="1" s="12">
      <c r="A316" s="14" t="inlineStr">
        <is>
          <t>F0315</t>
        </is>
      </c>
      <c r="B316" s="14" t="inlineStr">
        <is>
          <t>PS 2782 de 2026 - ESE 2 - HUHMP Neiva</t>
        </is>
      </c>
      <c r="C316" s="14" t="inlineStr">
        <is>
          <t>Contratacion en la E.S.E. y transparencia</t>
        </is>
      </c>
      <c r="D316" s="14" t="inlineStr">
        <is>
          <t>Profesional</t>
        </is>
      </c>
      <c r="E316" s="14" t="inlineStr">
        <is>
          <t>C105</t>
        </is>
      </c>
      <c r="F316" s="14" t="inlineStr">
        <is>
          <t>Caso 105</t>
        </is>
      </c>
      <c r="G316" s="14" t="inlineStr">
        <is>
          <t>Se detecta un posible conflicto de interés en un proceso de selección de proveedor.</t>
        </is>
      </c>
      <c r="H316" s="14" t="inlineStr">
        <is>
          <t>Omitir el impedimento puede generar:</t>
        </is>
      </c>
      <c r="I316" s="14" t="inlineStr">
        <is>
          <t>Nulidad de la actuación y responsabilidad disciplinaria</t>
        </is>
      </c>
      <c r="J316" s="14" t="inlineStr">
        <is>
          <t>Solo un llamado de atención</t>
        </is>
      </c>
      <c r="K316" s="14" t="inlineStr">
        <is>
          <t>Ninguna consecuencia si la decisión fue correcta</t>
        </is>
      </c>
      <c r="L316" s="14" t="inlineStr">
        <is>
          <t>a</t>
        </is>
      </c>
      <c r="M316" s="14" t="inlineStr">
        <is>
          <t>La omisión puede viciar la actuación y compromete responsabilidad disciplinaria.</t>
        </is>
      </c>
      <c r="N316" s="14" t="inlineStr">
        <is>
          <t>b) y c) minimizan el efecto jurídico del vicio.</t>
        </is>
      </c>
      <c r="O316" s="14" t="inlineStr">
        <is>
          <t>Ley 1437 de 2011; Ley 1952 de 2019</t>
        </is>
      </c>
      <c r="P316" s="14" t="inlineStr">
        <is>
          <t>SI</t>
        </is>
      </c>
      <c r="Q316" s="11" t="inlineStr">
        <is>
          <t>Basica</t>
        </is>
      </c>
      <c r="R316" s="11" t="inlineStr">
        <is>
          <t>repaso</t>
        </is>
      </c>
    </row>
    <row r="317" ht="23.25" customHeight="1" s="12">
      <c r="A317" s="14" t="inlineStr">
        <is>
          <t>F0316</t>
        </is>
      </c>
      <c r="B317" s="14" t="inlineStr">
        <is>
          <t>PS 2782 de 2026 - ESE 2 - HUHMP Neiva</t>
        </is>
      </c>
      <c r="C317" s="14" t="inlineStr">
        <is>
          <t>Contratacion en la E.S.E. y transparencia</t>
        </is>
      </c>
      <c r="D317" s="14" t="inlineStr">
        <is>
          <t>Tecnico</t>
        </is>
      </c>
      <c r="E317" s="14" t="inlineStr">
        <is>
          <t>C106</t>
        </is>
      </c>
      <c r="F317" s="14" t="inlineStr">
        <is>
          <t>Caso 106</t>
        </is>
      </c>
      <c r="G317" s="14" t="inlineStr">
        <is>
          <t>Un ciudadano solicita copia de un contrato y de sus soportes de pago.</t>
        </is>
      </c>
      <c r="H317" s="14" t="inlineStr">
        <is>
          <t>La entidad debe:</t>
        </is>
      </c>
      <c r="I317" s="14" t="inlineStr">
        <is>
          <t>Entregar la información, tachando únicamente los datos con reserva legal</t>
        </is>
      </c>
      <c r="J317" s="14" t="inlineStr">
        <is>
          <t>Negar por tratarse de información contractual</t>
        </is>
      </c>
      <c r="K317" s="14" t="inlineStr">
        <is>
          <t>Cobrar por el derecho de acceso</t>
        </is>
      </c>
      <c r="L317" s="14" t="inlineStr">
        <is>
          <t>a</t>
        </is>
      </c>
      <c r="M317" s="14" t="inlineStr">
        <is>
          <t>Se entrega la información pública, protegiendo con tacha los datos amparados por reserva.</t>
        </is>
      </c>
      <c r="N317" s="14" t="inlineStr">
        <is>
          <t>b) desconoce la publicidad y c) crea un cobro no autorizado, salvo el costo de reproducción.</t>
        </is>
      </c>
      <c r="O317" s="14" t="inlineStr">
        <is>
          <t>Ley 1712 de 2014, arts. 21 y 26</t>
        </is>
      </c>
      <c r="P317" s="14" t="inlineStr">
        <is>
          <t>SI</t>
        </is>
      </c>
      <c r="Q317" s="11" t="inlineStr">
        <is>
          <t>Basica</t>
        </is>
      </c>
      <c r="R317" s="11" t="inlineStr">
        <is>
          <t>repaso</t>
        </is>
      </c>
    </row>
    <row r="318" ht="23.25" customHeight="1" s="12">
      <c r="A318" s="14" t="inlineStr">
        <is>
          <t>F0317</t>
        </is>
      </c>
      <c r="B318" s="14" t="inlineStr">
        <is>
          <t>PS 2782 de 2026 - ESE 2 - HUHMP Neiva</t>
        </is>
      </c>
      <c r="C318" s="14" t="inlineStr">
        <is>
          <t>Contratacion en la E.S.E. y transparencia</t>
        </is>
      </c>
      <c r="D318" s="14" t="inlineStr">
        <is>
          <t>Tecnico</t>
        </is>
      </c>
      <c r="E318" s="14" t="inlineStr">
        <is>
          <t>C106</t>
        </is>
      </c>
      <c r="F318" s="14" t="inlineStr">
        <is>
          <t>Caso 106</t>
        </is>
      </c>
      <c r="G318" s="14" t="inlineStr">
        <is>
          <t>Un ciudadano solicita copia de un contrato y de sus soportes de pago.</t>
        </is>
      </c>
      <c r="H318" s="14" t="inlineStr">
        <is>
          <t>Si la información contiene datos personales de terceros:</t>
        </is>
      </c>
      <c r="I318" s="14" t="inlineStr">
        <is>
          <t>Se aplica la disociación o tacha antes de entregar</t>
        </is>
      </c>
      <c r="J318" s="14" t="inlineStr">
        <is>
          <t>Se entrega completa</t>
        </is>
      </c>
      <c r="K318" s="14" t="inlineStr">
        <is>
          <t>Se niega toda la solicitud</t>
        </is>
      </c>
      <c r="L318" s="14" t="inlineStr">
        <is>
          <t>a</t>
        </is>
      </c>
      <c r="M318" s="14" t="inlineStr">
        <is>
          <t>Se protege el dato personal mediante tacha o disociación, sin negar el resto.</t>
        </is>
      </c>
      <c r="N318" s="14" t="inlineStr">
        <is>
          <t>b) vulnera la protección de datos y c) niega información pública.</t>
        </is>
      </c>
      <c r="O318" s="14" t="inlineStr">
        <is>
          <t>Ley 1712 de 2014, art. 21</t>
        </is>
      </c>
      <c r="P318" s="14" t="inlineStr">
        <is>
          <t>SI</t>
        </is>
      </c>
      <c r="Q318" s="11" t="inlineStr">
        <is>
          <t>Basica</t>
        </is>
      </c>
      <c r="R318" s="11" t="inlineStr">
        <is>
          <t>repaso</t>
        </is>
      </c>
    </row>
    <row r="319" ht="23.25" customHeight="1" s="12">
      <c r="A319" s="14" t="inlineStr">
        <is>
          <t>F0318</t>
        </is>
      </c>
      <c r="B319" s="14" t="inlineStr">
        <is>
          <t>PS 2782 de 2026 - ESE 2 - HUHMP Neiva</t>
        </is>
      </c>
      <c r="C319" s="14" t="inlineStr">
        <is>
          <t>Contratacion en la E.S.E. y transparencia</t>
        </is>
      </c>
      <c r="D319" s="14" t="inlineStr">
        <is>
          <t>Tecnico</t>
        </is>
      </c>
      <c r="E319" s="14" t="inlineStr">
        <is>
          <t>C106</t>
        </is>
      </c>
      <c r="F319" s="14" t="inlineStr">
        <is>
          <t>Caso 106</t>
        </is>
      </c>
      <c r="G319" s="14" t="inlineStr">
        <is>
          <t>Un ciudadano solicita copia de un contrato y de sus soportes de pago.</t>
        </is>
      </c>
      <c r="H319" s="14" t="inlineStr">
        <is>
          <t>El costo de reproducción:</t>
        </is>
      </c>
      <c r="I319" s="14" t="inlineStr">
        <is>
          <t>Puede cobrarse, sin que exceda el valor de la reproducción</t>
        </is>
      </c>
      <c r="J319" s="14" t="inlineStr">
        <is>
          <t>No puede cobrarse nunca</t>
        </is>
      </c>
      <c r="K319" s="14" t="inlineStr">
        <is>
          <t>Se fija libremente</t>
        </is>
      </c>
      <c r="L319" s="14" t="inlineStr">
        <is>
          <t>a</t>
        </is>
      </c>
      <c r="M319" s="14" t="inlineStr">
        <is>
          <t>Se puede cobrar únicamente el costo de reproducción, sin exceder su valor.</t>
        </is>
      </c>
      <c r="N319" s="14" t="inlineStr">
        <is>
          <t>b) y c) desconocen el límite legal del cobro.</t>
        </is>
      </c>
      <c r="O319" s="14" t="inlineStr">
        <is>
          <t>Ley 1712 de 2014, art. 26</t>
        </is>
      </c>
      <c r="P319" s="14" t="inlineStr">
        <is>
          <t>SI</t>
        </is>
      </c>
      <c r="Q319" s="11" t="inlineStr">
        <is>
          <t>Basica</t>
        </is>
      </c>
      <c r="R319" s="11" t="inlineStr">
        <is>
          <t>repaso</t>
        </is>
      </c>
    </row>
    <row r="320" ht="23.25" customHeight="1" s="12">
      <c r="A320" s="14" t="inlineStr">
        <is>
          <t>F0319</t>
        </is>
      </c>
      <c r="B320" s="14" t="inlineStr">
        <is>
          <t>PS 2782 de 2026 - ESE 2 - HUHMP Neiva</t>
        </is>
      </c>
      <c r="C320" s="14" t="inlineStr">
        <is>
          <t>Regimen disciplinario y CPACA</t>
        </is>
      </c>
      <c r="D320" s="14" t="inlineStr">
        <is>
          <t>Profesional</t>
        </is>
      </c>
      <c r="E320" s="14" t="inlineStr">
        <is>
          <t>C107</t>
        </is>
      </c>
      <c r="F320" s="14" t="inlineStr">
        <is>
          <t>Caso 107</t>
        </is>
      </c>
      <c r="G320" s="14" t="inlineStr">
        <is>
          <t>Se adelanta una actuación administrativa sancionatoria contra un proveedor del hospital.</t>
        </is>
      </c>
      <c r="H320" s="14" t="inlineStr">
        <is>
          <t>El procedimiento administrativo sancionatorio exige:</t>
        </is>
      </c>
      <c r="I320" s="14" t="inlineStr">
        <is>
          <t>Formulación de cargos, oportunidad de defensa y decisión motivada</t>
        </is>
      </c>
      <c r="J320" s="14" t="inlineStr">
        <is>
          <t>Decisión inmediata del ordenador</t>
        </is>
      </c>
      <c r="K320" s="14" t="inlineStr">
        <is>
          <t>Solo un requerimiento verbal</t>
        </is>
      </c>
      <c r="L320" s="14" t="inlineStr">
        <is>
          <t>a</t>
        </is>
      </c>
      <c r="M320" s="14" t="inlineStr">
        <is>
          <t>El procedimiento exige cargos, defensa, pruebas y decisión motivada.</t>
        </is>
      </c>
      <c r="N320" s="14" t="inlineStr">
        <is>
          <t>b) y c) desconocen el debido proceso administrativo.</t>
        </is>
      </c>
      <c r="O320" s="14" t="inlineStr">
        <is>
          <t>Ley 1437 de 2011, arts. 47 a 52</t>
        </is>
      </c>
      <c r="P320" s="14" t="inlineStr">
        <is>
          <t>SI</t>
        </is>
      </c>
      <c r="Q320" s="11" t="inlineStr">
        <is>
          <t>Basica</t>
        </is>
      </c>
      <c r="R320" s="11" t="inlineStr">
        <is>
          <t>repaso</t>
        </is>
      </c>
    </row>
    <row r="321" ht="23.25" customHeight="1" s="12">
      <c r="A321" s="14" t="inlineStr">
        <is>
          <t>F0320</t>
        </is>
      </c>
      <c r="B321" s="14" t="inlineStr">
        <is>
          <t>PS 2782 de 2026 - ESE 2 - HUHMP Neiva</t>
        </is>
      </c>
      <c r="C321" s="14" t="inlineStr">
        <is>
          <t>Regimen disciplinario y CPACA</t>
        </is>
      </c>
      <c r="D321" s="14" t="inlineStr">
        <is>
          <t>Profesional</t>
        </is>
      </c>
      <c r="E321" s="14" t="inlineStr">
        <is>
          <t>C107</t>
        </is>
      </c>
      <c r="F321" s="14" t="inlineStr">
        <is>
          <t>Caso 107</t>
        </is>
      </c>
      <c r="G321" s="14" t="inlineStr">
        <is>
          <t>Se adelanta una actuación administrativa sancionatoria contra un proveedor del hospital.</t>
        </is>
      </c>
      <c r="H321" s="14" t="inlineStr">
        <is>
          <t>El derecho de contradicción implica:</t>
        </is>
      </c>
      <c r="I321" s="14" t="inlineStr">
        <is>
          <t>Poder controvertir las pruebas y presentar las propias</t>
        </is>
      </c>
      <c r="J321" s="14" t="inlineStr">
        <is>
          <t>Solo ser informado de la decisión</t>
        </is>
      </c>
      <c r="K321" s="14" t="inlineStr">
        <is>
          <t>Solo apelar al final</t>
        </is>
      </c>
      <c r="L321" s="14" t="inlineStr">
        <is>
          <t>a</t>
        </is>
      </c>
      <c r="M321" s="14" t="inlineStr">
        <is>
          <t>La contradicción comprende controvertir y aportar pruebas durante la actuación.</t>
        </is>
      </c>
      <c r="N321" s="14" t="inlineStr">
        <is>
          <t>b) y c) reducen la garantía a un momento posterior.</t>
        </is>
      </c>
      <c r="O321" s="14" t="inlineStr">
        <is>
          <t>Ley 1437 de 2011, art. 40</t>
        </is>
      </c>
      <c r="P321" s="14" t="inlineStr">
        <is>
          <t>SI</t>
        </is>
      </c>
      <c r="Q321" s="11" t="inlineStr">
        <is>
          <t>Basica</t>
        </is>
      </c>
      <c r="R321" s="11" t="inlineStr">
        <is>
          <t>repaso</t>
        </is>
      </c>
    </row>
    <row r="322" ht="23.25" customHeight="1" s="12">
      <c r="A322" s="14" t="inlineStr">
        <is>
          <t>F0321</t>
        </is>
      </c>
      <c r="B322" s="14" t="inlineStr">
        <is>
          <t>PS 2782 de 2026 - ESE 2 - HUHMP Neiva</t>
        </is>
      </c>
      <c r="C322" s="14" t="inlineStr">
        <is>
          <t>Regimen disciplinario y CPACA</t>
        </is>
      </c>
      <c r="D322" s="14" t="inlineStr">
        <is>
          <t>Profesional</t>
        </is>
      </c>
      <c r="E322" s="14" t="inlineStr">
        <is>
          <t>C107</t>
        </is>
      </c>
      <c r="F322" s="14" t="inlineStr">
        <is>
          <t>Caso 107</t>
        </is>
      </c>
      <c r="G322" s="14" t="inlineStr">
        <is>
          <t>Se adelanta una actuación administrativa sancionatoria contra un proveedor del hospital.</t>
        </is>
      </c>
      <c r="H322" s="14" t="inlineStr">
        <is>
          <t>La caducidad de la facultad sancionatoria administrativa opera:</t>
        </is>
      </c>
      <c r="I322" s="14" t="inlineStr">
        <is>
          <t>A los tres años de ocurrido el hecho, salvo norma especial</t>
        </is>
      </c>
      <c r="J322" s="14" t="inlineStr">
        <is>
          <t>A los diez años</t>
        </is>
      </c>
      <c r="K322" s="14" t="inlineStr">
        <is>
          <t>No opera</t>
        </is>
      </c>
      <c r="L322" s="14" t="inlineStr">
        <is>
          <t>a</t>
        </is>
      </c>
      <c r="M322" s="14" t="inlineStr">
        <is>
          <t>La facultad sancionatoria caduca a los tres años de ocurrido el hecho, salvo norma especial.</t>
        </is>
      </c>
      <c r="N322" s="14" t="inlineStr">
        <is>
          <t>b) y c) desconocen el término general del CPACA.</t>
        </is>
      </c>
      <c r="O322" s="14" t="inlineStr">
        <is>
          <t>Ley 1437 de 2011, art. 52</t>
        </is>
      </c>
      <c r="P322" s="14" t="inlineStr">
        <is>
          <t>SI</t>
        </is>
      </c>
      <c r="Q322" s="11" t="inlineStr">
        <is>
          <t>Basica</t>
        </is>
      </c>
      <c r="R322" s="11" t="inlineStr">
        <is>
          <t>repaso</t>
        </is>
      </c>
    </row>
    <row r="323" ht="23.25" customHeight="1" s="12">
      <c r="A323" s="14" t="inlineStr">
        <is>
          <t>F0322</t>
        </is>
      </c>
      <c r="B323" s="14" t="inlineStr">
        <is>
          <t>PS 2782 de 2026 - ESE 2 - HUHMP Neiva</t>
        </is>
      </c>
      <c r="C323" s="14" t="inlineStr">
        <is>
          <t>Regimen disciplinario y CPACA</t>
        </is>
      </c>
      <c r="D323" s="14" t="inlineStr">
        <is>
          <t>Profesional</t>
        </is>
      </c>
      <c r="E323" s="14" t="inlineStr">
        <is>
          <t>C108</t>
        </is>
      </c>
      <c r="F323" s="14" t="inlineStr">
        <is>
          <t>Caso 108</t>
        </is>
      </c>
      <c r="G323" s="14" t="inlineStr">
        <is>
          <t>Un servidor es citado a rendir versión libre dentro de una indagación disciplinaria.</t>
        </is>
      </c>
      <c r="H323" s="14" t="inlineStr">
        <is>
          <t>La versión libre es:</t>
        </is>
      </c>
      <c r="I323" s="14" t="inlineStr">
        <is>
          <t>Un derecho del investigado, no una obligación</t>
        </is>
      </c>
      <c r="J323" s="14" t="inlineStr">
        <is>
          <t>Una declaración obligatoria bajo juramento</t>
        </is>
      </c>
      <c r="K323" s="14" t="inlineStr">
        <is>
          <t>Una prueba en su contra</t>
        </is>
      </c>
      <c r="L323" s="14" t="inlineStr">
        <is>
          <t>a</t>
        </is>
      </c>
      <c r="M323" s="14" t="inlineStr">
        <is>
          <t>La versión libre es un derecho del investigado y no está sujeta a juramento.</t>
        </is>
      </c>
      <c r="N323" s="14" t="inlineStr">
        <is>
          <t>b) y c) desconocen su naturaleza de garantía.</t>
        </is>
      </c>
      <c r="O323" s="14" t="inlineStr">
        <is>
          <t>Ley 1952 de 2019</t>
        </is>
      </c>
      <c r="P323" s="14" t="inlineStr">
        <is>
          <t>SI</t>
        </is>
      </c>
      <c r="Q323" s="11" t="inlineStr">
        <is>
          <t>Basica</t>
        </is>
      </c>
      <c r="R323" s="11" t="inlineStr">
        <is>
          <t>repaso</t>
        </is>
      </c>
    </row>
    <row r="324" ht="23.25" customHeight="1" s="12">
      <c r="A324" s="14" t="inlineStr">
        <is>
          <t>F0323</t>
        </is>
      </c>
      <c r="B324" s="14" t="inlineStr">
        <is>
          <t>PS 2782 de 2026 - ESE 2 - HUHMP Neiva</t>
        </is>
      </c>
      <c r="C324" s="14" t="inlineStr">
        <is>
          <t>Regimen disciplinario y CPACA</t>
        </is>
      </c>
      <c r="D324" s="14" t="inlineStr">
        <is>
          <t>Profesional</t>
        </is>
      </c>
      <c r="E324" s="14" t="inlineStr">
        <is>
          <t>C108</t>
        </is>
      </c>
      <c r="F324" s="14" t="inlineStr">
        <is>
          <t>Caso 108</t>
        </is>
      </c>
      <c r="G324" s="14" t="inlineStr">
        <is>
          <t>Un servidor es citado a rendir versión libre dentro de una indagación disciplinaria.</t>
        </is>
      </c>
      <c r="H324" s="14" t="inlineStr">
        <is>
          <t>El derecho de defensa técnica en el proceso disciplinario:</t>
        </is>
      </c>
      <c r="I324" s="14" t="inlineStr">
        <is>
          <t>Permite ser asistido por un abogado en cualquier momento</t>
        </is>
      </c>
      <c r="J324" s="14" t="inlineStr">
        <is>
          <t>Solo aplica en la etapa de juicio</t>
        </is>
      </c>
      <c r="K324" s="14" t="inlineStr">
        <is>
          <t>No existe</t>
        </is>
      </c>
      <c r="L324" s="14" t="inlineStr">
        <is>
          <t>a</t>
        </is>
      </c>
      <c r="M324" s="14" t="inlineStr">
        <is>
          <t>El investigado puede designar defensor en cualquier etapa de la actuación.</t>
        </is>
      </c>
      <c r="N324" s="14" t="inlineStr">
        <is>
          <t>b) y c) restringen o niegan la garantía.</t>
        </is>
      </c>
      <c r="O324" s="14" t="inlineStr">
        <is>
          <t>Ley 1952 de 2019</t>
        </is>
      </c>
      <c r="P324" s="14" t="inlineStr">
        <is>
          <t>SI</t>
        </is>
      </c>
      <c r="Q324" s="11" t="inlineStr">
        <is>
          <t>Basica</t>
        </is>
      </c>
      <c r="R324" s="11" t="inlineStr">
        <is>
          <t>repaso</t>
        </is>
      </c>
    </row>
    <row r="325" ht="23.25" customHeight="1" s="12">
      <c r="A325" s="14" t="inlineStr">
        <is>
          <t>F0324</t>
        </is>
      </c>
      <c r="B325" s="14" t="inlineStr">
        <is>
          <t>PS 2782 de 2026 - ESE 2 - HUHMP Neiva</t>
        </is>
      </c>
      <c r="C325" s="14" t="inlineStr">
        <is>
          <t>Regimen disciplinario y CPACA</t>
        </is>
      </c>
      <c r="D325" s="14" t="inlineStr">
        <is>
          <t>Profesional</t>
        </is>
      </c>
      <c r="E325" s="14" t="inlineStr">
        <is>
          <t>C108</t>
        </is>
      </c>
      <c r="F325" s="14" t="inlineStr">
        <is>
          <t>Caso 108</t>
        </is>
      </c>
      <c r="G325" s="14" t="inlineStr">
        <is>
          <t>Un servidor es citado a rendir versión libre dentro de una indagación disciplinaria.</t>
        </is>
      </c>
      <c r="H325" s="14" t="inlineStr">
        <is>
          <t>La doble conformidad en materia disciplinaria implica:</t>
        </is>
      </c>
      <c r="I325" s="14" t="inlineStr">
        <is>
          <t>El derecho a impugnar la primera sanción ante una autoridad distinta</t>
        </is>
      </c>
      <c r="J325" s="14" t="inlineStr">
        <is>
          <t>Que toda decisión se revisa de oficio</t>
        </is>
      </c>
      <c r="K325" s="14" t="inlineStr">
        <is>
          <t>Que no hay recursos</t>
        </is>
      </c>
      <c r="L325" s="14" t="inlineStr">
        <is>
          <t>a</t>
        </is>
      </c>
      <c r="M325" s="14" t="inlineStr">
        <is>
          <t>La reforma introdujo la garantía de impugnar la primera decisión sancionatoria.</t>
        </is>
      </c>
      <c r="N325" s="14" t="inlineStr">
        <is>
          <t>b) y c) confunden la garantía con una revisión automática o con su ausencia.</t>
        </is>
      </c>
      <c r="O325" s="14" t="inlineStr">
        <is>
          <t>Ley 2094 de 2021</t>
        </is>
      </c>
      <c r="P325" s="14" t="inlineStr">
        <is>
          <t>SI</t>
        </is>
      </c>
      <c r="Q325" s="11" t="inlineStr">
        <is>
          <t>Basica</t>
        </is>
      </c>
      <c r="R325" s="11" t="inlineStr">
        <is>
          <t>repaso</t>
        </is>
      </c>
    </row>
    <row r="326" ht="23.25" customHeight="1" s="12">
      <c r="A326" s="14" t="inlineStr">
        <is>
          <t>F0325</t>
        </is>
      </c>
      <c r="B326" s="14" t="inlineStr">
        <is>
          <t>PS 2782 de 2026 - ESE 2 - HUHMP Neiva</t>
        </is>
      </c>
      <c r="C326" s="14" t="inlineStr">
        <is>
          <t>Regimen disciplinario y CPACA</t>
        </is>
      </c>
      <c r="D326" s="14" t="inlineStr">
        <is>
          <t>Tecnico</t>
        </is>
      </c>
      <c r="E326" s="14" t="inlineStr">
        <is>
          <t>C109</t>
        </is>
      </c>
      <c r="F326" s="14" t="inlineStr">
        <is>
          <t>Caso 109</t>
        </is>
      </c>
      <c r="G326" s="14" t="inlineStr">
        <is>
          <t>Se recibe una petición dirigida a una dependencia que no es competente.</t>
        </is>
      </c>
      <c r="H326" s="14" t="inlineStr">
        <is>
          <t>La entidad debe:</t>
        </is>
      </c>
      <c r="I326" s="14" t="inlineStr">
        <is>
          <t>Remitirla a la autoridad competente dentro de los cinco días e informar al peticionario</t>
        </is>
      </c>
      <c r="J326" s="14" t="inlineStr">
        <is>
          <t>Devolverla al ciudadano</t>
        </is>
      </c>
      <c r="K326" s="14" t="inlineStr">
        <is>
          <t>Archivarla</t>
        </is>
      </c>
      <c r="L326" s="14" t="inlineStr">
        <is>
          <t>a</t>
        </is>
      </c>
      <c r="M326" s="14" t="inlineStr">
        <is>
          <t>La petición se remite al competente dentro de los cinco días siguientes, informando al interesado.</t>
        </is>
      </c>
      <c r="N326" s="14" t="inlineStr">
        <is>
          <t>b) y c) trasladan al ciudadano la carga de identificar al competente.</t>
        </is>
      </c>
      <c r="O326" s="14" t="inlineStr">
        <is>
          <t>Ley 1437 de 2011, art. 21</t>
        </is>
      </c>
      <c r="P326" s="14" t="inlineStr">
        <is>
          <t>SI</t>
        </is>
      </c>
      <c r="Q326" s="11" t="inlineStr">
        <is>
          <t>Basica</t>
        </is>
      </c>
      <c r="R326" s="11" t="inlineStr">
        <is>
          <t>repaso</t>
        </is>
      </c>
    </row>
    <row r="327" ht="23.25" customHeight="1" s="12">
      <c r="A327" s="14" t="inlineStr">
        <is>
          <t>F0326</t>
        </is>
      </c>
      <c r="B327" s="14" t="inlineStr">
        <is>
          <t>PS 2782 de 2026 - ESE 2 - HUHMP Neiva</t>
        </is>
      </c>
      <c r="C327" s="14" t="inlineStr">
        <is>
          <t>Regimen disciplinario y CPACA</t>
        </is>
      </c>
      <c r="D327" s="14" t="inlineStr">
        <is>
          <t>Tecnico</t>
        </is>
      </c>
      <c r="E327" s="14" t="inlineStr">
        <is>
          <t>C109</t>
        </is>
      </c>
      <c r="F327" s="14" t="inlineStr">
        <is>
          <t>Caso 109</t>
        </is>
      </c>
      <c r="G327" s="14" t="inlineStr">
        <is>
          <t>Se recibe una petición dirigida a una dependencia que no es competente.</t>
        </is>
      </c>
      <c r="H327" s="14" t="inlineStr">
        <is>
          <t>Una petición de información entre autoridades se responde en:</t>
        </is>
      </c>
      <c r="I327" s="14" t="inlineStr">
        <is>
          <t>Diez días</t>
        </is>
      </c>
      <c r="J327" s="14" t="inlineStr">
        <is>
          <t>Quince días</t>
        </is>
      </c>
      <c r="K327" s="14" t="inlineStr">
        <is>
          <t>Treinta días</t>
        </is>
      </c>
      <c r="L327" s="14" t="inlineStr">
        <is>
          <t>a</t>
        </is>
      </c>
      <c r="M327" s="14" t="inlineStr">
        <is>
          <t>Las peticiones entre autoridades se resuelven en un término de diez días.</t>
        </is>
      </c>
      <c r="N327" s="14" t="inlineStr">
        <is>
          <t>b) y c) aplican términos de otras modalidades de petición.</t>
        </is>
      </c>
      <c r="O327" s="14" t="inlineStr">
        <is>
          <t>Ley 1437 de 2011, art. 30</t>
        </is>
      </c>
      <c r="P327" s="14" t="inlineStr">
        <is>
          <t>SI</t>
        </is>
      </c>
      <c r="Q327" s="11" t="inlineStr">
        <is>
          <t>Basica</t>
        </is>
      </c>
      <c r="R327" s="11" t="inlineStr">
        <is>
          <t>repaso</t>
        </is>
      </c>
    </row>
    <row r="328" ht="23.25" customHeight="1" s="12">
      <c r="A328" s="14" t="inlineStr">
        <is>
          <t>F0327</t>
        </is>
      </c>
      <c r="B328" s="14" t="inlineStr">
        <is>
          <t>PS 2782 de 2026 - ESE 2 - HUHMP Neiva</t>
        </is>
      </c>
      <c r="C328" s="14" t="inlineStr">
        <is>
          <t>Regimen disciplinario y CPACA</t>
        </is>
      </c>
      <c r="D328" s="14" t="inlineStr">
        <is>
          <t>Tecnico</t>
        </is>
      </c>
      <c r="E328" s="14" t="inlineStr">
        <is>
          <t>C109</t>
        </is>
      </c>
      <c r="F328" s="14" t="inlineStr">
        <is>
          <t>Caso 109</t>
        </is>
      </c>
      <c r="G328" s="14" t="inlineStr">
        <is>
          <t>Se recibe una petición dirigida a una dependencia que no es competente.</t>
        </is>
      </c>
      <c r="H328" s="14" t="inlineStr">
        <is>
          <t>La petición anónima:</t>
        </is>
      </c>
      <c r="I328" s="14" t="inlineStr">
        <is>
          <t>Debe tramitarse si permite identificar el objeto de la solicitud</t>
        </is>
      </c>
      <c r="J328" s="14" t="inlineStr">
        <is>
          <t>Se archiva siempre</t>
        </is>
      </c>
      <c r="K328" s="14" t="inlineStr">
        <is>
          <t>Requiere ratificación personal</t>
        </is>
      </c>
      <c r="L328" s="14" t="inlineStr">
        <is>
          <t>a</t>
        </is>
      </c>
      <c r="M328" s="14" t="inlineStr">
        <is>
          <t>La petición anónima se tramita cuando su contenido permite identificar el asunto.</t>
        </is>
      </c>
      <c r="N328" s="14" t="inlineStr">
        <is>
          <t>b) y c) niegan el trámite sin fundamento legal.</t>
        </is>
      </c>
      <c r="O328" s="14" t="inlineStr">
        <is>
          <t>Ley 1755 de 2015</t>
        </is>
      </c>
      <c r="P328" s="14" t="inlineStr">
        <is>
          <t>SI</t>
        </is>
      </c>
      <c r="Q328" s="11" t="inlineStr">
        <is>
          <t>Basica</t>
        </is>
      </c>
      <c r="R328" s="11" t="inlineStr">
        <is>
          <t>repaso</t>
        </is>
      </c>
    </row>
    <row r="329" ht="23.25" customHeight="1" s="12">
      <c r="A329" s="14" t="inlineStr">
        <is>
          <t>F0328</t>
        </is>
      </c>
      <c r="B329" s="14" t="inlineStr">
        <is>
          <t>PS 2782 de 2026 - ESE 2 - HUHMP Neiva</t>
        </is>
      </c>
      <c r="C329" s="14" t="inlineStr">
        <is>
          <t>Regimen disciplinario y CPACA</t>
        </is>
      </c>
      <c r="D329" s="14" t="inlineStr">
        <is>
          <t>Profesional</t>
        </is>
      </c>
      <c r="E329" s="14" t="inlineStr">
        <is>
          <t>C110</t>
        </is>
      </c>
      <c r="F329" s="14" t="inlineStr">
        <is>
          <t>Caso 110</t>
        </is>
      </c>
      <c r="G329" s="14" t="inlineStr">
        <is>
          <t>El hospital debe notificar una decisión que niega una solicitud de reintegro.</t>
        </is>
      </c>
      <c r="H329" s="14" t="inlineStr">
        <is>
          <t>La notificación por aviso procede cuando:</t>
        </is>
      </c>
      <c r="I329" s="14" t="inlineStr">
        <is>
          <t>No fue posible la notificación personal dentro de los términos</t>
        </is>
      </c>
      <c r="J329" s="14" t="inlineStr">
        <is>
          <t>El interesado vive en otra ciudad</t>
        </is>
      </c>
      <c r="K329" s="14" t="inlineStr">
        <is>
          <t>La entidad lo prefiere</t>
        </is>
      </c>
      <c r="L329" s="14" t="inlineStr">
        <is>
          <t>a</t>
        </is>
      </c>
      <c r="M329" s="14" t="inlineStr">
        <is>
          <t>El aviso procede cuando no se logra la notificación personal dentro de los términos.</t>
        </is>
      </c>
      <c r="N329" s="14" t="inlineStr">
        <is>
          <t>b) y c) no son razones para omitir el intento de notificación personal.</t>
        </is>
      </c>
      <c r="O329" s="14" t="inlineStr">
        <is>
          <t>Ley 1437 de 2011, art. 69</t>
        </is>
      </c>
      <c r="P329" s="14" t="inlineStr">
        <is>
          <t>SI</t>
        </is>
      </c>
      <c r="Q329" s="11" t="inlineStr">
        <is>
          <t>Basica</t>
        </is>
      </c>
      <c r="R329" s="11" t="inlineStr">
        <is>
          <t>repaso</t>
        </is>
      </c>
    </row>
    <row r="330" ht="23.25" customHeight="1" s="12">
      <c r="A330" s="14" t="inlineStr">
        <is>
          <t>F0329</t>
        </is>
      </c>
      <c r="B330" s="14" t="inlineStr">
        <is>
          <t>PS 2782 de 2026 - ESE 2 - HUHMP Neiva</t>
        </is>
      </c>
      <c r="C330" s="14" t="inlineStr">
        <is>
          <t>Regimen disciplinario y CPACA</t>
        </is>
      </c>
      <c r="D330" s="14" t="inlineStr">
        <is>
          <t>Profesional</t>
        </is>
      </c>
      <c r="E330" s="14" t="inlineStr">
        <is>
          <t>C110</t>
        </is>
      </c>
      <c r="F330" s="14" t="inlineStr">
        <is>
          <t>Caso 110</t>
        </is>
      </c>
      <c r="G330" s="14" t="inlineStr">
        <is>
          <t>El hospital debe notificar una decisión que niega una solicitud de reintegro.</t>
        </is>
      </c>
      <c r="H330" s="14" t="inlineStr">
        <is>
          <t>La notificación electrónica requiere:</t>
        </is>
      </c>
      <c r="I330" s="14" t="inlineStr">
        <is>
          <t>Aceptación expresa del interesado del canal digital</t>
        </is>
      </c>
      <c r="J330" s="14" t="inlineStr">
        <is>
          <t>Solo tener el correo del interesado</t>
        </is>
      </c>
      <c r="K330" s="14" t="inlineStr">
        <is>
          <t>Publicación en la página web</t>
        </is>
      </c>
      <c r="L330" s="14" t="inlineStr">
        <is>
          <t>a</t>
        </is>
      </c>
      <c r="M330" s="14" t="inlineStr">
        <is>
          <t>La notificación electrónica exige la aceptación expresa del interesado.</t>
        </is>
      </c>
      <c r="N330" s="14" t="inlineStr">
        <is>
          <t>b) y c) no sustituyen el consentimiento del destinatario.</t>
        </is>
      </c>
      <c r="O330" s="14" t="inlineStr">
        <is>
          <t>Ley 1437 de 2011, art. 56</t>
        </is>
      </c>
      <c r="P330" s="14" t="inlineStr">
        <is>
          <t>SI</t>
        </is>
      </c>
      <c r="Q330" s="11" t="inlineStr">
        <is>
          <t>Basica</t>
        </is>
      </c>
      <c r="R330" s="11" t="inlineStr">
        <is>
          <t>repaso</t>
        </is>
      </c>
    </row>
    <row r="331" ht="23.25" customHeight="1" s="12">
      <c r="A331" s="14" t="inlineStr">
        <is>
          <t>F0330</t>
        </is>
      </c>
      <c r="B331" s="14" t="inlineStr">
        <is>
          <t>PS 2782 de 2026 - ESE 2 - HUHMP Neiva</t>
        </is>
      </c>
      <c r="C331" s="14" t="inlineStr">
        <is>
          <t>Regimen disciplinario y CPACA</t>
        </is>
      </c>
      <c r="D331" s="14" t="inlineStr">
        <is>
          <t>Profesional</t>
        </is>
      </c>
      <c r="E331" s="14" t="inlineStr">
        <is>
          <t>C110</t>
        </is>
      </c>
      <c r="F331" s="14" t="inlineStr">
        <is>
          <t>Caso 110</t>
        </is>
      </c>
      <c r="G331" s="14" t="inlineStr">
        <is>
          <t>El hospital debe notificar una decisión que niega una solicitud de reintegro.</t>
        </is>
      </c>
      <c r="H331" s="14" t="inlineStr">
        <is>
          <t>Una notificación irregular:</t>
        </is>
      </c>
      <c r="I331" s="14" t="inlineStr">
        <is>
          <t>No produce efectos y puede sanearse con la actuación del interesado</t>
        </is>
      </c>
      <c r="J331" s="14" t="inlineStr">
        <is>
          <t>Es válida si el acto está motivado</t>
        </is>
      </c>
      <c r="K331" s="14" t="inlineStr">
        <is>
          <t>Anula el acto de fondo</t>
        </is>
      </c>
      <c r="L331" s="14" t="inlineStr">
        <is>
          <t>a</t>
        </is>
      </c>
      <c r="M331" s="14" t="inlineStr">
        <is>
          <t>La notificación irregular no produce efectos, salvo saneamiento por la actuación del interesado.</t>
        </is>
      </c>
      <c r="N331" s="14" t="inlineStr">
        <is>
          <t>b) confunde motivación con publicidad y c) confunde el vicio de notificación con la nulidad del acto.</t>
        </is>
      </c>
      <c r="O331" s="14" t="inlineStr">
        <is>
          <t>Ley 1437 de 2011, art. 72</t>
        </is>
      </c>
      <c r="P331" s="14" t="inlineStr">
        <is>
          <t>SI</t>
        </is>
      </c>
      <c r="Q331" s="11" t="inlineStr">
        <is>
          <t>Basica</t>
        </is>
      </c>
      <c r="R331" s="11" t="inlineStr">
        <is>
          <t>repaso</t>
        </is>
      </c>
    </row>
    <row r="332" ht="23.25" customHeight="1" s="12">
      <c r="A332" s="14" t="inlineStr">
        <is>
          <t>F0331</t>
        </is>
      </c>
      <c r="B332" s="14" t="inlineStr">
        <is>
          <t>PS 2782 de 2026 - ESE 2 - HUHMP Neiva</t>
        </is>
      </c>
      <c r="C332" s="14" t="inlineStr">
        <is>
          <t>Regimen disciplinario y CPACA</t>
        </is>
      </c>
      <c r="D332" s="14" t="inlineStr">
        <is>
          <t>Profesional</t>
        </is>
      </c>
      <c r="E332" s="14" t="inlineStr">
        <is>
          <t>C111</t>
        </is>
      </c>
      <c r="F332" s="14" t="inlineStr">
        <is>
          <t>Caso 111</t>
        </is>
      </c>
      <c r="G332" s="14" t="inlineStr">
        <is>
          <t>Un servidor pregunta por el régimen de sus deberes y prohibiciones.</t>
        </is>
      </c>
      <c r="H332" s="14" t="inlineStr">
        <is>
          <t>El deber funcional se concreta en:</t>
        </is>
      </c>
      <c r="I332" s="14" t="inlineStr">
        <is>
          <t>Cumplir la Constitución, la ley y las funciones asignadas con diligencia</t>
        </is>
      </c>
      <c r="J332" s="14" t="inlineStr">
        <is>
          <t>Obedecer toda orden del superior</t>
        </is>
      </c>
      <c r="K332" s="14" t="inlineStr">
        <is>
          <t>Cumplir solo lo que esté escrito en el manual</t>
        </is>
      </c>
      <c r="L332" s="14" t="inlineStr">
        <is>
          <t>a</t>
        </is>
      </c>
      <c r="M332" s="14" t="inlineStr">
        <is>
          <t>El deber funcional comprende el cumplimiento del ordenamiento y de las funciones con diligencia.</t>
        </is>
      </c>
      <c r="N332" s="14" t="inlineStr">
        <is>
          <t>b) desconoce el deber de no obedecer órdenes manifiestamente ilegales y c) reduce el deber al manual.</t>
        </is>
      </c>
      <c r="O332" s="14" t="inlineStr">
        <is>
          <t>Ley 1952 de 2019, art. 38</t>
        </is>
      </c>
      <c r="P332" s="14" t="inlineStr">
        <is>
          <t>SI</t>
        </is>
      </c>
      <c r="Q332" s="11" t="inlineStr">
        <is>
          <t>Basica</t>
        </is>
      </c>
      <c r="R332" s="11" t="inlineStr">
        <is>
          <t>repaso</t>
        </is>
      </c>
    </row>
    <row r="333" ht="23.25" customHeight="1" s="12">
      <c r="A333" s="14" t="inlineStr">
        <is>
          <t>F0332</t>
        </is>
      </c>
      <c r="B333" s="14" t="inlineStr">
        <is>
          <t>PS 2782 de 2026 - ESE 2 - HUHMP Neiva</t>
        </is>
      </c>
      <c r="C333" s="14" t="inlineStr">
        <is>
          <t>Regimen disciplinario y CPACA</t>
        </is>
      </c>
      <c r="D333" s="14" t="inlineStr">
        <is>
          <t>Profesional</t>
        </is>
      </c>
      <c r="E333" s="14" t="inlineStr">
        <is>
          <t>C111</t>
        </is>
      </c>
      <c r="F333" s="14" t="inlineStr">
        <is>
          <t>Caso 111</t>
        </is>
      </c>
      <c r="G333" s="14" t="inlineStr">
        <is>
          <t>Un servidor pregunta por el régimen de sus deberes y prohibiciones.</t>
        </is>
      </c>
      <c r="H333" s="14" t="inlineStr">
        <is>
          <t>Recibir dádivas de un usuario por agilizar un trámite constituye:</t>
        </is>
      </c>
      <c r="I333" s="14" t="inlineStr">
        <is>
          <t>Falta disciplinaria y puede constituir delito</t>
        </is>
      </c>
      <c r="J333" s="14" t="inlineStr">
        <is>
          <t>Una cortesía admisible</t>
        </is>
      </c>
      <c r="K333" s="14" t="inlineStr">
        <is>
          <t>Falta solo si supera un salario mínimo</t>
        </is>
      </c>
      <c r="L333" s="14" t="inlineStr">
        <is>
          <t>a</t>
        </is>
      </c>
      <c r="M333" s="14" t="inlineStr">
        <is>
          <t>La conducta es falta disciplinaria y puede tipificar cohecho.</t>
        </is>
      </c>
      <c r="N333" s="14" t="inlineStr">
        <is>
          <t>b) y c) normalizan una conducta prohibida.</t>
        </is>
      </c>
      <c r="O333" s="14" t="inlineStr">
        <is>
          <t>Ley 1952 de 2019; Código Penal, art. 405</t>
        </is>
      </c>
      <c r="P333" s="14" t="inlineStr">
        <is>
          <t>SI</t>
        </is>
      </c>
      <c r="Q333" s="11" t="inlineStr">
        <is>
          <t>Basica</t>
        </is>
      </c>
      <c r="R333" s="11" t="inlineStr">
        <is>
          <t>repaso</t>
        </is>
      </c>
    </row>
    <row r="334" ht="23.25" customHeight="1" s="12">
      <c r="A334" s="14" t="inlineStr">
        <is>
          <t>F0333</t>
        </is>
      </c>
      <c r="B334" s="14" t="inlineStr">
        <is>
          <t>PS 2782 de 2026 - ESE 2 - HUHMP Neiva</t>
        </is>
      </c>
      <c r="C334" s="14" t="inlineStr">
        <is>
          <t>Regimen disciplinario y CPACA</t>
        </is>
      </c>
      <c r="D334" s="14" t="inlineStr">
        <is>
          <t>Profesional</t>
        </is>
      </c>
      <c r="E334" s="14" t="inlineStr">
        <is>
          <t>C111</t>
        </is>
      </c>
      <c r="F334" s="14" t="inlineStr">
        <is>
          <t>Caso 111</t>
        </is>
      </c>
      <c r="G334" s="14" t="inlineStr">
        <is>
          <t>Un servidor pregunta por el régimen de sus deberes y prohibiciones.</t>
        </is>
      </c>
      <c r="H334" s="14" t="inlineStr">
        <is>
          <t>La sanción de destitución e inhabilidad general se impone por:</t>
        </is>
      </c>
      <c r="I334" s="14" t="inlineStr">
        <is>
          <t>Faltas gravísimas dolosas o realizadas con culpa gravísima</t>
        </is>
      </c>
      <c r="J334" s="14" t="inlineStr">
        <is>
          <t>Cualquier falta grave</t>
        </is>
      </c>
      <c r="K334" s="14" t="inlineStr">
        <is>
          <t>Faltas leves reiteradas</t>
        </is>
      </c>
      <c r="L334" s="14" t="inlineStr">
        <is>
          <t>a</t>
        </is>
      </c>
      <c r="M334" s="14" t="inlineStr">
        <is>
          <t>La destitución e inhabilidad general corresponde a faltas gravísimas dolosas o con culpa gravísima.</t>
        </is>
      </c>
      <c r="N334" s="14" t="inlineStr">
        <is>
          <t>b) y c) aplican una sanción desproporcionada a la calificación de la falta.</t>
        </is>
      </c>
      <c r="O334" s="14" t="inlineStr">
        <is>
          <t>Ley 1952 de 2019, art. 48</t>
        </is>
      </c>
      <c r="P334" s="14" t="inlineStr">
        <is>
          <t>SI</t>
        </is>
      </c>
      <c r="Q334" s="11" t="inlineStr">
        <is>
          <t>Basica</t>
        </is>
      </c>
      <c r="R334" s="11" t="inlineStr">
        <is>
          <t>repaso</t>
        </is>
      </c>
    </row>
    <row r="335" ht="23.25" customHeight="1" s="12">
      <c r="A335" s="14" t="inlineStr">
        <is>
          <t>F0334</t>
        </is>
      </c>
      <c r="B335" s="14" t="inlineStr">
        <is>
          <t>PS 2782 de 2026 - ESE 2 - HUHMP Neiva</t>
        </is>
      </c>
      <c r="C335" s="14" t="inlineStr">
        <is>
          <t>Precision juridica del verbo</t>
        </is>
      </c>
      <c r="D335" s="14" t="inlineStr">
        <is>
          <t>Profesional</t>
        </is>
      </c>
      <c r="E335" s="14" t="inlineStr">
        <is>
          <t>C112</t>
        </is>
      </c>
      <c r="F335" s="14" t="inlineStr">
        <is>
          <t>Caso 112</t>
        </is>
      </c>
      <c r="G335" s="14" t="inlineStr">
        <is>
          <t>En una minuta se usan indistintamente los verbos de la ejecución del acto.</t>
        </is>
      </c>
      <c r="H335" s="14" t="inlineStr">
        <is>
          <t>Cuando la administración lleva a la práctica su propia decisión ejecutoriada, el verbo es:</t>
        </is>
      </c>
      <c r="I335" s="14" t="inlineStr">
        <is>
          <t>Ejecutar el acto</t>
        </is>
      </c>
      <c r="J335" s="14" t="inlineStr">
        <is>
          <t>Ejecutoriar el acto</t>
        </is>
      </c>
      <c r="K335" s="14" t="inlineStr">
        <is>
          <t>Ejecutarse de plano</t>
        </is>
      </c>
      <c r="L335" s="14" t="inlineStr">
        <is>
          <t>a</t>
        </is>
      </c>
      <c r="M335" s="14" t="inlineStr">
        <is>
          <t>La administración ejecuta el acto en firme; la ejecutoria es la condición que lo habilita.</t>
        </is>
      </c>
      <c r="N335" s="14" t="inlineStr">
        <is>
          <t>b) nombra la condición, no la acción; c) no describe la actuación.</t>
        </is>
      </c>
      <c r="O335" s="14" t="inlineStr">
        <is>
          <t>Ley 1437 de 2011, art. 89</t>
        </is>
      </c>
      <c r="P335" s="14" t="inlineStr">
        <is>
          <t>SI</t>
        </is>
      </c>
    </row>
    <row r="336" ht="23.25" customHeight="1" s="12">
      <c r="A336" s="14" t="inlineStr">
        <is>
          <t>F0335</t>
        </is>
      </c>
      <c r="B336" s="14" t="inlineStr">
        <is>
          <t>PS 2782 de 2026 - ESE 2 - HUHMP Neiva</t>
        </is>
      </c>
      <c r="C336" s="14" t="inlineStr">
        <is>
          <t>Precision juridica del verbo</t>
        </is>
      </c>
      <c r="D336" s="14" t="inlineStr">
        <is>
          <t>Profesional</t>
        </is>
      </c>
      <c r="E336" s="14" t="inlineStr">
        <is>
          <t>C112</t>
        </is>
      </c>
      <c r="F336" s="14" t="inlineStr">
        <is>
          <t>Caso 112</t>
        </is>
      </c>
      <c r="G336" s="14" t="inlineStr">
        <is>
          <t>En una minuta se usan indistintamente los verbos de la ejecución del acto.</t>
        </is>
      </c>
      <c r="H336" s="14" t="inlineStr">
        <is>
          <t>El acto que se cumple sin intervención judicial se apoya en:</t>
        </is>
      </c>
      <c r="I336" s="14" t="inlineStr">
        <is>
          <t>El privilegio de ejecución oficiosa de la administración</t>
        </is>
      </c>
      <c r="J336" s="14" t="inlineStr">
        <is>
          <t>La orden previa del juez de lo contencioso administrativo</t>
        </is>
      </c>
      <c r="K336" s="14" t="inlineStr">
        <is>
          <t>El consentimiento expreso del particular destinatario</t>
        </is>
      </c>
      <c r="L336" s="14" t="inlineStr">
        <is>
          <t>a</t>
        </is>
      </c>
      <c r="M336" s="14" t="inlineStr">
        <is>
          <t>La administración tiene el privilegio de ejecutar sus propios actos en firme.</t>
        </is>
      </c>
      <c r="N336" s="14" t="inlineStr">
        <is>
          <t>b) y c) suponen una intervención que la ley no exige.</t>
        </is>
      </c>
      <c r="O336" s="14" t="inlineStr">
        <is>
          <t>Ley 1437 de 2011, art. 89</t>
        </is>
      </c>
      <c r="P336" s="14" t="inlineStr">
        <is>
          <t>SI</t>
        </is>
      </c>
    </row>
    <row r="337" ht="23.25" customHeight="1" s="12">
      <c r="A337" s="14" t="inlineStr">
        <is>
          <t>F0336</t>
        </is>
      </c>
      <c r="B337" s="14" t="inlineStr">
        <is>
          <t>PS 2782 de 2026 - ESE 2 - HUHMP Neiva</t>
        </is>
      </c>
      <c r="C337" s="14" t="inlineStr">
        <is>
          <t>Precision juridica del verbo</t>
        </is>
      </c>
      <c r="D337" s="14" t="inlineStr">
        <is>
          <t>Profesional</t>
        </is>
      </c>
      <c r="E337" s="14" t="inlineStr">
        <is>
          <t>C112</t>
        </is>
      </c>
      <c r="F337" s="14" t="inlineStr">
        <is>
          <t>Caso 112</t>
        </is>
      </c>
      <c r="G337" s="14" t="inlineStr">
        <is>
          <t>En una minuta se usan indistintamente los verbos de la ejecución del acto.</t>
        </is>
      </c>
      <c r="H337" s="14" t="inlineStr">
        <is>
          <t>Suspender la ejecución de un acto por decisión judicial se denomina:</t>
        </is>
      </c>
      <c r="I337" s="14" t="inlineStr">
        <is>
          <t>Suspensión provisional de los efectos del acto</t>
        </is>
      </c>
      <c r="J337" s="14" t="inlineStr">
        <is>
          <t>Revocatoria directa de los efectos del acto</t>
        </is>
      </c>
      <c r="K337" s="14" t="inlineStr">
        <is>
          <t>Derogatoria parcial de los efectos del acto</t>
        </is>
      </c>
      <c r="L337" s="14" t="inlineStr">
        <is>
          <t>a</t>
        </is>
      </c>
      <c r="M337" s="14" t="inlineStr">
        <is>
          <t>La suspensión provisional es una medida cautelar del juez sobre los efectos del acto.</t>
        </is>
      </c>
      <c r="N337" s="14" t="inlineStr">
        <is>
          <t>b) es potestad administrativa y c) opera sobre normas.</t>
        </is>
      </c>
      <c r="O337" s="14" t="inlineStr">
        <is>
          <t>Ley 1437 de 2011, art. 231</t>
        </is>
      </c>
      <c r="P337" s="14" t="inlineStr">
        <is>
          <t>SI</t>
        </is>
      </c>
    </row>
    <row r="338" ht="23.25" customHeight="1" s="12">
      <c r="A338" s="14" t="inlineStr">
        <is>
          <t>F0337</t>
        </is>
      </c>
      <c r="B338" s="14" t="inlineStr">
        <is>
          <t>PS 2782 de 2026 - ESE 2 - HUHMP Neiva</t>
        </is>
      </c>
      <c r="C338" s="14" t="inlineStr">
        <is>
          <t>Precision juridica del verbo</t>
        </is>
      </c>
      <c r="D338" s="14" t="inlineStr">
        <is>
          <t>Profesional</t>
        </is>
      </c>
      <c r="E338" s="14" t="inlineStr">
        <is>
          <t>C113</t>
        </is>
      </c>
      <c r="F338" s="14" t="inlineStr">
        <is>
          <t>Caso 113</t>
        </is>
      </c>
      <c r="G338" s="14" t="inlineStr">
        <is>
          <t>El comité redacta un acta y discute cómo nombrar sus decisiones.</t>
        </is>
      </c>
      <c r="H338" s="14" t="inlineStr">
        <is>
          <t>Cuando el comité aprueba un documento que orienta su gestión interna, el verbo es:</t>
        </is>
      </c>
      <c r="I338" s="14" t="inlineStr">
        <is>
          <t>Adoptar</t>
        </is>
      </c>
      <c r="J338" s="14" t="inlineStr">
        <is>
          <t>Expedir</t>
        </is>
      </c>
      <c r="K338" s="14" t="inlineStr">
        <is>
          <t>Promulgar</t>
        </is>
      </c>
      <c r="L338" s="14" t="inlineStr">
        <is>
          <t>a</t>
        </is>
      </c>
      <c r="M338" s="14" t="inlineStr">
        <is>
          <t>Los instrumentos de gestión se adoptan mediante la decisión del órgano competente.</t>
        </is>
      </c>
      <c r="N338" s="14" t="inlineStr">
        <is>
          <t>b) se usa para actos administrativos y c) para la publicación de leyes.</t>
        </is>
      </c>
      <c r="O338" s="14" t="inlineStr">
        <is>
          <t>Ley 1437 de 2011; Decreto 1499 de 2017</t>
        </is>
      </c>
      <c r="P338" s="14" t="inlineStr">
        <is>
          <t>SI</t>
        </is>
      </c>
    </row>
    <row r="339" ht="23.25" customHeight="1" s="12">
      <c r="A339" s="14" t="inlineStr">
        <is>
          <t>F0338</t>
        </is>
      </c>
      <c r="B339" s="14" t="inlineStr">
        <is>
          <t>PS 2782 de 2026 - ESE 2 - HUHMP Neiva</t>
        </is>
      </c>
      <c r="C339" s="14" t="inlineStr">
        <is>
          <t>Precision juridica del verbo</t>
        </is>
      </c>
      <c r="D339" s="14" t="inlineStr">
        <is>
          <t>Profesional</t>
        </is>
      </c>
      <c r="E339" s="14" t="inlineStr">
        <is>
          <t>C113</t>
        </is>
      </c>
      <c r="F339" s="14" t="inlineStr">
        <is>
          <t>Caso 113</t>
        </is>
      </c>
      <c r="G339" s="14" t="inlineStr">
        <is>
          <t>El comité redacta un acta y discute cómo nombrar sus decisiones.</t>
        </is>
      </c>
      <c r="H339" s="14" t="inlineStr">
        <is>
          <t>Cuando la junta directiva produce un acuerdo, el verbo correcto es:</t>
        </is>
      </c>
      <c r="I339" s="14" t="inlineStr">
        <is>
          <t>Expedir el acuerdo</t>
        </is>
      </c>
      <c r="J339" s="14" t="inlineStr">
        <is>
          <t>Sancionar el acuerdo</t>
        </is>
      </c>
      <c r="K339" s="14" t="inlineStr">
        <is>
          <t>Proferir el acuerdo</t>
        </is>
      </c>
      <c r="L339" s="14" t="inlineStr">
        <is>
          <t>a</t>
        </is>
      </c>
      <c r="M339" s="14" t="inlineStr">
        <is>
          <t>Los órganos administrativos expiden los actos de su competencia.</t>
        </is>
      </c>
      <c r="N339" s="14" t="inlineStr">
        <is>
          <t>b) corresponde al trámite de las leyes y c) a las decisiones judiciales.</t>
        </is>
      </c>
      <c r="O339" s="14" t="inlineStr">
        <is>
          <t>Decreto 1876 de 1994</t>
        </is>
      </c>
      <c r="P339" s="14" t="inlineStr">
        <is>
          <t>SI</t>
        </is>
      </c>
    </row>
    <row r="340" ht="23.25" customHeight="1" s="12">
      <c r="A340" s="14" t="inlineStr">
        <is>
          <t>F0339</t>
        </is>
      </c>
      <c r="B340" s="14" t="inlineStr">
        <is>
          <t>PS 2782 de 2026 - ESE 2 - HUHMP Neiva</t>
        </is>
      </c>
      <c r="C340" s="14" t="inlineStr">
        <is>
          <t>Precision juridica del verbo</t>
        </is>
      </c>
      <c r="D340" s="14" t="inlineStr">
        <is>
          <t>Profesional</t>
        </is>
      </c>
      <c r="E340" s="14" t="inlineStr">
        <is>
          <t>C113</t>
        </is>
      </c>
      <c r="F340" s="14" t="inlineStr">
        <is>
          <t>Caso 113</t>
        </is>
      </c>
      <c r="G340" s="14" t="inlineStr">
        <is>
          <t>El comité redacta un acta y discute cómo nombrar sus decisiones.</t>
        </is>
      </c>
      <c r="H340" s="14" t="inlineStr">
        <is>
          <t>Cuando se deja constancia de lo ocurrido en la sesión, el verbo es:</t>
        </is>
      </c>
      <c r="I340" s="14" t="inlineStr">
        <is>
          <t>Consignar en el acta</t>
        </is>
      </c>
      <c r="J340" s="14" t="inlineStr">
        <is>
          <t>Certificar la sesión</t>
        </is>
      </c>
      <c r="K340" s="14" t="inlineStr">
        <is>
          <t>Protocolizar la sesión</t>
        </is>
      </c>
      <c r="L340" s="14" t="inlineStr">
        <is>
          <t>a</t>
        </is>
      </c>
      <c r="M340" s="14" t="inlineStr">
        <is>
          <t>Lo ocurrido se consigna en el acta; certificar y protocolizar son actos distintos y posteriores.</t>
        </is>
      </c>
      <c r="N340" s="14" t="inlineStr">
        <is>
          <t>b) supone dar fe de un hecho y c) elevar a escritura pública.</t>
        </is>
      </c>
      <c r="O340" s="14" t="inlineStr">
        <is>
          <t>Ley 1437 de 2011</t>
        </is>
      </c>
      <c r="P340" s="14" t="inlineStr">
        <is>
          <t>SI</t>
        </is>
      </c>
    </row>
    <row r="341" ht="23.25" customHeight="1" s="12">
      <c r="A341" s="14" t="inlineStr">
        <is>
          <t>F0340</t>
        </is>
      </c>
      <c r="B341" s="14" t="inlineStr">
        <is>
          <t>PS 2782 de 2026 - ESE 2 - HUHMP Neiva</t>
        </is>
      </c>
      <c r="C341" s="14" t="inlineStr">
        <is>
          <t>Precision juridica del verbo</t>
        </is>
      </c>
      <c r="D341" s="14" t="inlineStr">
        <is>
          <t>Tecnico</t>
        </is>
      </c>
      <c r="E341" s="14" t="inlineStr">
        <is>
          <t>C114</t>
        </is>
      </c>
      <c r="F341" s="14" t="inlineStr">
        <is>
          <t>Caso 114</t>
        </is>
      </c>
      <c r="G341" s="14" t="inlineStr">
        <is>
          <t>En la ventanilla se confunden los verbos del trámite de peticiones.</t>
        </is>
      </c>
      <c r="H341" s="14" t="inlineStr">
        <is>
          <t>Cuando la entidad pide al ciudadano completar su solicitud, el verbo es:</t>
        </is>
      </c>
      <c r="I341" s="14" t="inlineStr">
        <is>
          <t>Requerir</t>
        </is>
      </c>
      <c r="J341" s="14" t="inlineStr">
        <is>
          <t>Notificar</t>
        </is>
      </c>
      <c r="K341" s="14" t="inlineStr">
        <is>
          <t>Emplazar</t>
        </is>
      </c>
      <c r="L341" s="14" t="inlineStr">
        <is>
          <t>a</t>
        </is>
      </c>
      <c r="M341" s="14" t="inlineStr">
        <is>
          <t>La entidad requiere al peticionario para completar la solicitud.</t>
        </is>
      </c>
      <c r="N341" s="14" t="inlineStr">
        <is>
          <t>b) es dar a conocer una decisión y c) un llamado público.</t>
        </is>
      </c>
      <c r="O341" s="14" t="inlineStr">
        <is>
          <t>Ley 1437 de 2011, art. 17</t>
        </is>
      </c>
      <c r="P341" s="14" t="inlineStr">
        <is>
          <t>SI</t>
        </is>
      </c>
    </row>
    <row r="342" ht="23.25" customHeight="1" s="12">
      <c r="A342" s="14" t="inlineStr">
        <is>
          <t>F0341</t>
        </is>
      </c>
      <c r="B342" s="14" t="inlineStr">
        <is>
          <t>PS 2782 de 2026 - ESE 2 - HUHMP Neiva</t>
        </is>
      </c>
      <c r="C342" s="14" t="inlineStr">
        <is>
          <t>Precision juridica del verbo</t>
        </is>
      </c>
      <c r="D342" s="14" t="inlineStr">
        <is>
          <t>Tecnico</t>
        </is>
      </c>
      <c r="E342" s="14" t="inlineStr">
        <is>
          <t>C114</t>
        </is>
      </c>
      <c r="F342" s="14" t="inlineStr">
        <is>
          <t>Caso 114</t>
        </is>
      </c>
      <c r="G342" s="14" t="inlineStr">
        <is>
          <t>En la ventanilla se confunden los verbos del trámite de peticiones.</t>
        </is>
      </c>
      <c r="H342" s="14" t="inlineStr">
        <is>
          <t>Cuando el ciudadano no responde el requerimiento, se produce:</t>
        </is>
      </c>
      <c r="I342" s="14" t="inlineStr">
        <is>
          <t>El desistimiento tácito de la petición presentada</t>
        </is>
      </c>
      <c r="J342" s="14" t="inlineStr">
        <is>
          <t>La caducidad de la acción frente a la entidad</t>
        </is>
      </c>
      <c r="K342" s="14" t="inlineStr">
        <is>
          <t>La revocatoria del trámite iniciado por la entidad</t>
        </is>
      </c>
      <c r="L342" s="14" t="inlineStr">
        <is>
          <t>a</t>
        </is>
      </c>
      <c r="M342" s="14" t="inlineStr">
        <is>
          <t>Vencido el término sin respuesta se declara el desistimiento tácito.</t>
        </is>
      </c>
      <c r="N342" s="14" t="inlineStr">
        <is>
          <t>b) y c) nombran figuras ajenas a este trámite.</t>
        </is>
      </c>
      <c r="O342" s="14" t="inlineStr">
        <is>
          <t>Ley 1437 de 2011, art. 17</t>
        </is>
      </c>
      <c r="P342" s="14" t="inlineStr">
        <is>
          <t>SI</t>
        </is>
      </c>
    </row>
    <row r="343" ht="23.25" customHeight="1" s="12">
      <c r="A343" s="14" t="inlineStr">
        <is>
          <t>F0342</t>
        </is>
      </c>
      <c r="B343" s="14" t="inlineStr">
        <is>
          <t>PS 2782 de 2026 - ESE 2 - HUHMP Neiva</t>
        </is>
      </c>
      <c r="C343" s="14" t="inlineStr">
        <is>
          <t>Precision juridica del verbo</t>
        </is>
      </c>
      <c r="D343" s="14" t="inlineStr">
        <is>
          <t>Tecnico</t>
        </is>
      </c>
      <c r="E343" s="14" t="inlineStr">
        <is>
          <t>C114</t>
        </is>
      </c>
      <c r="F343" s="14" t="inlineStr">
        <is>
          <t>Caso 114</t>
        </is>
      </c>
      <c r="G343" s="14" t="inlineStr">
        <is>
          <t>En la ventanilla se confunden los verbos del trámite de peticiones.</t>
        </is>
      </c>
      <c r="H343" s="14" t="inlineStr">
        <is>
          <t>Cuando la entidad traslada la petición por competencia, el verbo es:</t>
        </is>
      </c>
      <c r="I343" s="14" t="inlineStr">
        <is>
          <t>Remitir</t>
        </is>
      </c>
      <c r="J343" s="14" t="inlineStr">
        <is>
          <t>Devolver</t>
        </is>
      </c>
      <c r="K343" s="14" t="inlineStr">
        <is>
          <t>Archivar</t>
        </is>
      </c>
      <c r="L343" s="14" t="inlineStr">
        <is>
          <t>a</t>
        </is>
      </c>
      <c r="M343" s="14" t="inlineStr">
        <is>
          <t>La petición se remite a la autoridad competente, informando al interesado.</t>
        </is>
      </c>
      <c r="N343" s="14" t="inlineStr">
        <is>
          <t>b) y c) dejan la petición sin trámite.</t>
        </is>
      </c>
      <c r="O343" s="14" t="inlineStr">
        <is>
          <t>Ley 1437 de 2011, art. 21</t>
        </is>
      </c>
      <c r="P343" s="14" t="inlineStr">
        <is>
          <t>SI</t>
        </is>
      </c>
    </row>
    <row r="344" ht="23.25" customHeight="1" s="12">
      <c r="A344" s="14" t="inlineStr">
        <is>
          <t>F0343</t>
        </is>
      </c>
      <c r="B344" s="14" t="inlineStr">
        <is>
          <t>PS 2782 de 2026 - ESE 2 - HUHMP Neiva</t>
        </is>
      </c>
      <c r="C344" s="14" t="inlineStr">
        <is>
          <t>Precision juridica del verbo</t>
        </is>
      </c>
      <c r="D344" s="14" t="inlineStr">
        <is>
          <t>Profesional</t>
        </is>
      </c>
      <c r="E344" s="14" t="inlineStr">
        <is>
          <t>C115</t>
        </is>
      </c>
      <c r="F344" s="14" t="inlineStr">
        <is>
          <t>Caso 115</t>
        </is>
      </c>
      <c r="G344" s="14" t="inlineStr">
        <is>
          <t>En un informe técnico se confunden los verbos de la evaluación.</t>
        </is>
      </c>
      <c r="H344" s="14" t="inlineStr">
        <is>
          <t>Cuando se comprueba que un documento cumple un requisito, el verbo es:</t>
        </is>
      </c>
      <c r="I344" s="14" t="inlineStr">
        <is>
          <t>Verificar</t>
        </is>
      </c>
      <c r="J344" s="14" t="inlineStr">
        <is>
          <t>Valorar</t>
        </is>
      </c>
      <c r="K344" s="14" t="inlineStr">
        <is>
          <t>Ponderar</t>
        </is>
      </c>
      <c r="L344" s="14" t="inlineStr">
        <is>
          <t>a</t>
        </is>
      </c>
      <c r="M344" s="14" t="inlineStr">
        <is>
          <t>La verificación comprueba el cumplimiento de un requisito; la valoración asigna puntaje.</t>
        </is>
      </c>
      <c r="N344" s="14" t="inlineStr">
        <is>
          <t>b) implica calificar y c) asignar pesos relativos.</t>
        </is>
      </c>
      <c r="O344" s="14" t="inlineStr">
        <is>
          <t>Acuerdo CNSC N° 36 de 2026; Anexo Técnico</t>
        </is>
      </c>
      <c r="P344" s="14" t="inlineStr">
        <is>
          <t>SI</t>
        </is>
      </c>
    </row>
    <row r="345" ht="23.25" customHeight="1" s="12">
      <c r="A345" s="14" t="inlineStr">
        <is>
          <t>F0344</t>
        </is>
      </c>
      <c r="B345" s="14" t="inlineStr">
        <is>
          <t>PS 2782 de 2026 - ESE 2 - HUHMP Neiva</t>
        </is>
      </c>
      <c r="C345" s="14" t="inlineStr">
        <is>
          <t>Precision juridica del verbo</t>
        </is>
      </c>
      <c r="D345" s="14" t="inlineStr">
        <is>
          <t>Profesional</t>
        </is>
      </c>
      <c r="E345" s="14" t="inlineStr">
        <is>
          <t>C115</t>
        </is>
      </c>
      <c r="F345" s="14" t="inlineStr">
        <is>
          <t>Caso 115</t>
        </is>
      </c>
      <c r="G345" s="14" t="inlineStr">
        <is>
          <t>En un informe técnico se confunden los verbos de la evaluación.</t>
        </is>
      </c>
      <c r="H345" s="14" t="inlineStr">
        <is>
          <t>Cuando se asigna puntaje a la educación adicional, el verbo es:</t>
        </is>
      </c>
      <c r="I345" s="14" t="inlineStr">
        <is>
          <t>Valorar</t>
        </is>
      </c>
      <c r="J345" s="14" t="inlineStr">
        <is>
          <t>Verificar</t>
        </is>
      </c>
      <c r="K345" s="14" t="inlineStr">
        <is>
          <t>Homologar</t>
        </is>
      </c>
      <c r="L345" s="14" t="inlineStr">
        <is>
          <t>a</t>
        </is>
      </c>
      <c r="M345" s="14" t="inlineStr">
        <is>
          <t>La prueba de valoración de antecedentes asigna puntaje a lo adicional al requisito mínimo.</t>
        </is>
      </c>
      <c r="N345" s="14" t="inlineStr">
        <is>
          <t>b) es la etapa previa de VRM y c) supone equivalencia entre títulos.</t>
        </is>
      </c>
      <c r="O345" s="14" t="inlineStr">
        <is>
          <t>Anexo Técnico E.S.E. 2</t>
        </is>
      </c>
      <c r="P345" s="14" t="inlineStr">
        <is>
          <t>SI</t>
        </is>
      </c>
    </row>
    <row r="346" ht="23.25" customHeight="1" s="12">
      <c r="A346" s="14" t="inlineStr">
        <is>
          <t>F0345</t>
        </is>
      </c>
      <c r="B346" s="14" t="inlineStr">
        <is>
          <t>PS 2782 de 2026 - ESE 2 - HUHMP Neiva</t>
        </is>
      </c>
      <c r="C346" s="14" t="inlineStr">
        <is>
          <t>Precision juridica del verbo</t>
        </is>
      </c>
      <c r="D346" s="14" t="inlineStr">
        <is>
          <t>Profesional</t>
        </is>
      </c>
      <c r="E346" s="14" t="inlineStr">
        <is>
          <t>C115</t>
        </is>
      </c>
      <c r="F346" s="14" t="inlineStr">
        <is>
          <t>Caso 115</t>
        </is>
      </c>
      <c r="G346" s="14" t="inlineStr">
        <is>
          <t>En un informe técnico se confunden los verbos de la evaluación.</t>
        </is>
      </c>
      <c r="H346" s="14" t="inlineStr">
        <is>
          <t>Cuando se aplica una equivalencia entre estudios y experiencia, el verbo es:</t>
        </is>
      </c>
      <c r="I346" s="14" t="inlineStr">
        <is>
          <t>Homologar</t>
        </is>
      </c>
      <c r="J346" s="14" t="inlineStr">
        <is>
          <t>Valorar</t>
        </is>
      </c>
      <c r="K346" s="14" t="inlineStr">
        <is>
          <t>Certificar</t>
        </is>
      </c>
      <c r="L346" s="14" t="inlineStr">
        <is>
          <t>a</t>
        </is>
      </c>
      <c r="M346" s="14" t="inlineStr">
        <is>
          <t>La homologación aplica equivalencias previstas en el manual de funciones, solo en la VRM.</t>
        </is>
      </c>
      <c r="N346" s="14" t="inlineStr">
        <is>
          <t>b) corresponde a la prueba clasificatoria y c) a la expedición de una constancia.</t>
        </is>
      </c>
      <c r="O346" s="14" t="inlineStr">
        <is>
          <t>Anexo Técnico E.S.E. 2; Decreto 785 de 2005</t>
        </is>
      </c>
      <c r="P346" s="14" t="inlineStr">
        <is>
          <t>SI</t>
        </is>
      </c>
    </row>
    <row r="347" ht="23.25" customHeight="1" s="12">
      <c r="A347" s="14" t="inlineStr">
        <is>
          <t>F0346</t>
        </is>
      </c>
      <c r="B347" s="14" t="inlineStr">
        <is>
          <t>PS 2782 de 2026 - ESE 2 - HUHMP Neiva</t>
        </is>
      </c>
      <c r="C347" s="14" t="inlineStr">
        <is>
          <t>Precision juridica del verbo</t>
        </is>
      </c>
      <c r="D347" s="14" t="inlineStr">
        <is>
          <t>Profesional</t>
        </is>
      </c>
      <c r="E347" s="14" t="inlineStr">
        <is>
          <t>C116</t>
        </is>
      </c>
      <c r="F347" s="14" t="inlineStr">
        <is>
          <t>Caso 116</t>
        </is>
      </c>
      <c r="G347" s="14" t="inlineStr">
        <is>
          <t>En un acto de talento humano se confunden los verbos de la situación administrativa.</t>
        </is>
      </c>
      <c r="H347" s="14" t="inlineStr">
        <is>
          <t>Cuando un servidor asume otro empleo vacante de forma transitoria, el verbo es:</t>
        </is>
      </c>
      <c r="I347" s="14" t="inlineStr">
        <is>
          <t>Encargar</t>
        </is>
      </c>
      <c r="J347" s="14" t="inlineStr">
        <is>
          <t>Trasladar</t>
        </is>
      </c>
      <c r="K347" s="14" t="inlineStr">
        <is>
          <t>Comisionar</t>
        </is>
      </c>
      <c r="L347" s="14" t="inlineStr">
        <is>
          <t>a</t>
        </is>
      </c>
      <c r="M347" s="14" t="inlineStr">
        <is>
          <t>El encargo asigna transitoriamente las funciones de otro empleo vacante.</t>
        </is>
      </c>
      <c r="N347" s="14" t="inlineStr">
        <is>
          <t>b) implica cambio de ubicación del mismo empleo y c) cumplir una misión específica.</t>
        </is>
      </c>
      <c r="O347" s="14" t="inlineStr">
        <is>
          <t>Ley 909 de 2004, art. 24</t>
        </is>
      </c>
      <c r="P347" s="14" t="inlineStr">
        <is>
          <t>SI</t>
        </is>
      </c>
    </row>
    <row r="348" ht="23.25" customHeight="1" s="12">
      <c r="A348" s="14" t="inlineStr">
        <is>
          <t>F0347</t>
        </is>
      </c>
      <c r="B348" s="14" t="inlineStr">
        <is>
          <t>PS 2782 de 2026 - ESE 2 - HUHMP Neiva</t>
        </is>
      </c>
      <c r="C348" s="14" t="inlineStr">
        <is>
          <t>Precision juridica del verbo</t>
        </is>
      </c>
      <c r="D348" s="14" t="inlineStr">
        <is>
          <t>Profesional</t>
        </is>
      </c>
      <c r="E348" s="14" t="inlineStr">
        <is>
          <t>C116</t>
        </is>
      </c>
      <c r="F348" s="14" t="inlineStr">
        <is>
          <t>Caso 116</t>
        </is>
      </c>
      <c r="G348" s="14" t="inlineStr">
        <is>
          <t>En un acto de talento humano se confunden los verbos de la situación administrativa.</t>
        </is>
      </c>
      <c r="H348" s="14" t="inlineStr">
        <is>
          <t>Cuando el servidor pasa a otro empleo de la misma naturaleza y jerarquía, el verbo es:</t>
        </is>
      </c>
      <c r="I348" s="14" t="inlineStr">
        <is>
          <t>Trasladar</t>
        </is>
      </c>
      <c r="J348" s="14" t="inlineStr">
        <is>
          <t>Encargar</t>
        </is>
      </c>
      <c r="K348" s="14" t="inlineStr">
        <is>
          <t>Promover</t>
        </is>
      </c>
      <c r="L348" s="14" t="inlineStr">
        <is>
          <t>a</t>
        </is>
      </c>
      <c r="M348" s="14" t="inlineStr">
        <is>
          <t>El traslado mueve al servidor a otro empleo de igual naturaleza y jerarquía.</t>
        </is>
      </c>
      <c r="N348" s="14" t="inlineStr">
        <is>
          <t>b) es transitorio y c) implica ascenso.</t>
        </is>
      </c>
      <c r="O348" s="14" t="inlineStr">
        <is>
          <t>Decreto 1083 de 2015</t>
        </is>
      </c>
      <c r="P348" s="14" t="inlineStr">
        <is>
          <t>SI</t>
        </is>
      </c>
    </row>
    <row r="349" ht="23.25" customHeight="1" s="12">
      <c r="A349" s="14" t="inlineStr">
        <is>
          <t>F0348</t>
        </is>
      </c>
      <c r="B349" s="14" t="inlineStr">
        <is>
          <t>PS 2782 de 2026 - ESE 2 - HUHMP Neiva</t>
        </is>
      </c>
      <c r="C349" s="14" t="inlineStr">
        <is>
          <t>Precision juridica del verbo</t>
        </is>
      </c>
      <c r="D349" s="14" t="inlineStr">
        <is>
          <t>Profesional</t>
        </is>
      </c>
      <c r="E349" s="14" t="inlineStr">
        <is>
          <t>C116</t>
        </is>
      </c>
      <c r="F349" s="14" t="inlineStr">
        <is>
          <t>Caso 116</t>
        </is>
      </c>
      <c r="G349" s="14" t="inlineStr">
        <is>
          <t>En un acto de talento humano se confunden los verbos de la situación administrativa.</t>
        </is>
      </c>
      <c r="H349" s="14" t="inlineStr">
        <is>
          <t>Cuando el servidor cumple una misión especial por fuera de sus funciones, el verbo es:</t>
        </is>
      </c>
      <c r="I349" s="14" t="inlineStr">
        <is>
          <t>Comisionar</t>
        </is>
      </c>
      <c r="J349" s="14" t="inlineStr">
        <is>
          <t>Delegar</t>
        </is>
      </c>
      <c r="K349" s="14" t="inlineStr">
        <is>
          <t>Encargar</t>
        </is>
      </c>
      <c r="L349" s="14" t="inlineStr">
        <is>
          <t>a</t>
        </is>
      </c>
      <c r="M349" s="14" t="inlineStr">
        <is>
          <t>La comisión asigna el cumplimiento de misiones especiales inherentes al servicio.</t>
        </is>
      </c>
      <c r="N349" s="14" t="inlineStr">
        <is>
          <t>b) transfiere el ejercicio de funciones propias y c) provee transitoriamente un empleo.</t>
        </is>
      </c>
      <c r="O349" s="14" t="inlineStr">
        <is>
          <t>Decreto 1083 de 2015</t>
        </is>
      </c>
      <c r="P349" s="14" t="inlineStr">
        <is>
          <t>SI</t>
        </is>
      </c>
    </row>
    <row r="350" ht="23.25" customHeight="1" s="12">
      <c r="A350" s="14" t="inlineStr">
        <is>
          <t>F0349</t>
        </is>
      </c>
      <c r="B350" s="14" t="inlineStr">
        <is>
          <t>PS 2782 de 2026 - ESE 2 - HUHMP Neiva</t>
        </is>
      </c>
      <c r="C350" s="14" t="inlineStr">
        <is>
          <t>Precision juridica del verbo</t>
        </is>
      </c>
      <c r="D350" s="14" t="inlineStr">
        <is>
          <t>Tecnico</t>
        </is>
      </c>
      <c r="E350" s="14" t="inlineStr">
        <is>
          <t>C117</t>
        </is>
      </c>
      <c r="F350" s="14" t="inlineStr">
        <is>
          <t>Caso 117</t>
        </is>
      </c>
      <c r="G350" s="14" t="inlineStr">
        <is>
          <t>En la historia clínica se discute cómo nombrar las correcciones.</t>
        </is>
      </c>
      <c r="H350" s="14" t="inlineStr">
        <is>
          <t>Cuando se agrega una precisión a un registro ya hecho, el verbo es:</t>
        </is>
      </c>
      <c r="I350" s="14" t="inlineStr">
        <is>
          <t>Aclarar mediante nota, conservando el registro original</t>
        </is>
      </c>
      <c r="J350" s="14" t="inlineStr">
        <is>
          <t>Corregir el texto, borrando el dato que quedó errado</t>
        </is>
      </c>
      <c r="K350" s="14" t="inlineStr">
        <is>
          <t>Enmendar sobre el registro y firmar al margen la enmienda</t>
        </is>
      </c>
      <c r="L350" s="14" t="inlineStr">
        <is>
          <t>a</t>
        </is>
      </c>
      <c r="M350" s="14" t="inlineStr">
        <is>
          <t>Las precisiones se incorporan como nota aclaratoria, conservando el registro original.</t>
        </is>
      </c>
      <c r="N350" s="14" t="inlineStr">
        <is>
          <t>b) y c) alteran un documento que no admite enmendaduras.</t>
        </is>
      </c>
      <c r="O350" s="14" t="inlineStr">
        <is>
          <t>Resolución 1995 de 1999</t>
        </is>
      </c>
      <c r="P350" s="14" t="inlineStr">
        <is>
          <t>SI</t>
        </is>
      </c>
    </row>
    <row r="351" ht="23.25" customHeight="1" s="12">
      <c r="A351" s="14" t="inlineStr">
        <is>
          <t>F0350</t>
        </is>
      </c>
      <c r="B351" s="14" t="inlineStr">
        <is>
          <t>PS 2782 de 2026 - ESE 2 - HUHMP Neiva</t>
        </is>
      </c>
      <c r="C351" s="14" t="inlineStr">
        <is>
          <t>Precision juridica del verbo</t>
        </is>
      </c>
      <c r="D351" s="14" t="inlineStr">
        <is>
          <t>Tecnico</t>
        </is>
      </c>
      <c r="E351" s="14" t="inlineStr">
        <is>
          <t>C117</t>
        </is>
      </c>
      <c r="F351" s="14" t="inlineStr">
        <is>
          <t>Caso 117</t>
        </is>
      </c>
      <c r="G351" s="14" t="inlineStr">
        <is>
          <t>En la historia clínica se discute cómo nombrar las correcciones.</t>
        </is>
      </c>
      <c r="H351" s="14" t="inlineStr">
        <is>
          <t>Cuando el profesional firma y da fe de lo que registró, el verbo es:</t>
        </is>
      </c>
      <c r="I351" s="14" t="inlineStr">
        <is>
          <t>Suscribir</t>
        </is>
      </c>
      <c r="J351" s="14" t="inlineStr">
        <is>
          <t>Certificar</t>
        </is>
      </c>
      <c r="K351" s="14" t="inlineStr">
        <is>
          <t>Autenticar</t>
        </is>
      </c>
      <c r="L351" s="14" t="inlineStr">
        <is>
          <t>a</t>
        </is>
      </c>
      <c r="M351" s="14" t="inlineStr">
        <is>
          <t>El profesional suscribe el registro; certificar y autenticar son actos distintos.</t>
        </is>
      </c>
      <c r="N351" s="14" t="inlineStr">
        <is>
          <t>b) supone expedir una constancia y c) dar fe de un documento ajeno.</t>
        </is>
      </c>
      <c r="O351" s="14" t="inlineStr">
        <is>
          <t>Resolución 1995 de 1999</t>
        </is>
      </c>
      <c r="P351" s="14" t="inlineStr">
        <is>
          <t>SI</t>
        </is>
      </c>
    </row>
    <row r="352" ht="23.25" customHeight="1" s="12">
      <c r="A352" s="14" t="inlineStr">
        <is>
          <t>F0351</t>
        </is>
      </c>
      <c r="B352" s="14" t="inlineStr">
        <is>
          <t>PS 2782 de 2026 - ESE 2 - HUHMP Neiva</t>
        </is>
      </c>
      <c r="C352" s="14" t="inlineStr">
        <is>
          <t>Precision juridica del verbo</t>
        </is>
      </c>
      <c r="D352" s="14" t="inlineStr">
        <is>
          <t>Tecnico</t>
        </is>
      </c>
      <c r="E352" s="14" t="inlineStr">
        <is>
          <t>C117</t>
        </is>
      </c>
      <c r="F352" s="14" t="inlineStr">
        <is>
          <t>Caso 117</t>
        </is>
      </c>
      <c r="G352" s="14" t="inlineStr">
        <is>
          <t>En la historia clínica se discute cómo nombrar las correcciones.</t>
        </is>
      </c>
      <c r="H352" s="14" t="inlineStr">
        <is>
          <t>Cuando la institución guarda el documento por el tiempo legal, el verbo es:</t>
        </is>
      </c>
      <c r="I352" s="14" t="inlineStr">
        <is>
          <t>Conservar</t>
        </is>
      </c>
      <c r="J352" s="14" t="inlineStr">
        <is>
          <t>Archivar por descarte</t>
        </is>
      </c>
      <c r="K352" s="14" t="inlineStr">
        <is>
          <t>Custodiar temporalmente</t>
        </is>
      </c>
      <c r="L352" s="14" t="inlineStr">
        <is>
          <t>a</t>
        </is>
      </c>
      <c r="M352" s="14" t="inlineStr">
        <is>
          <t>La institución conserva la historia clínica por el término legal establecido.</t>
        </is>
      </c>
      <c r="N352" s="14" t="inlineStr">
        <is>
          <t>b) implica eliminación y c) sugiere una custodia menor a la exigida.</t>
        </is>
      </c>
      <c r="O352" s="14" t="inlineStr">
        <is>
          <t>Resolución 1995 de 1999; Resolución 839 de 2017</t>
        </is>
      </c>
      <c r="P352" s="14" t="inlineStr">
        <is>
          <t>SI</t>
        </is>
      </c>
    </row>
    <row r="353" ht="23.25" customHeight="1" s="12">
      <c r="A353" s="14" t="inlineStr">
        <is>
          <t>F0352</t>
        </is>
      </c>
      <c r="B353" s="14" t="inlineStr">
        <is>
          <t>PS 2782 de 2026 - ESE 2 - HUHMP Neiva</t>
        </is>
      </c>
      <c r="C353" s="14" t="inlineStr">
        <is>
          <t>Precision juridica del verbo</t>
        </is>
      </c>
      <c r="D353" s="14" t="inlineStr">
        <is>
          <t>Profesional</t>
        </is>
      </c>
      <c r="E353" s="14" t="inlineStr">
        <is>
          <t>C118</t>
        </is>
      </c>
      <c r="F353" s="14" t="inlineStr">
        <is>
          <t>Caso 118</t>
        </is>
      </c>
      <c r="G353" s="14" t="inlineStr">
        <is>
          <t>En un oficio se confunden los verbos de la vigilancia sanitaria.</t>
        </is>
      </c>
      <c r="H353" s="14" t="inlineStr">
        <is>
          <t>Cuando la autoridad impide temporalmente el funcionamiento de un servicio por riesgo, el verbo es:</t>
        </is>
      </c>
      <c r="I353" s="14" t="inlineStr">
        <is>
          <t>Clausurar temporalmente el servicio por riesgo sanitario</t>
        </is>
      </c>
      <c r="J353" s="14" t="inlineStr">
        <is>
          <t>Cancelar la inscripción del prestador en el registro</t>
        </is>
      </c>
      <c r="K353" s="14" t="inlineStr">
        <is>
          <t>Revocar la habilitación otorgada por la entidad territorial</t>
        </is>
      </c>
      <c r="L353" s="14" t="inlineStr">
        <is>
          <t>a</t>
        </is>
      </c>
      <c r="M353" s="14" t="inlineStr">
        <is>
          <t>La clausura temporal es una medida sanitaria de seguridad frente al riesgo.</t>
        </is>
      </c>
      <c r="N353" s="14" t="inlineStr">
        <is>
          <t>b) y c) implican decisiones definitivas de otra naturaleza.</t>
        </is>
      </c>
      <c r="O353" s="14" t="inlineStr">
        <is>
          <t>Ley 9 de 1979, art. 576</t>
        </is>
      </c>
      <c r="P353" s="14" t="inlineStr">
        <is>
          <t>SI</t>
        </is>
      </c>
    </row>
    <row r="354" ht="23.25" customHeight="1" s="12">
      <c r="A354" s="14" t="inlineStr">
        <is>
          <t>F0353</t>
        </is>
      </c>
      <c r="B354" s="14" t="inlineStr">
        <is>
          <t>PS 2782 de 2026 - ESE 2 - HUHMP Neiva</t>
        </is>
      </c>
      <c r="C354" s="14" t="inlineStr">
        <is>
          <t>Precision juridica del verbo</t>
        </is>
      </c>
      <c r="D354" s="14" t="inlineStr">
        <is>
          <t>Profesional</t>
        </is>
      </c>
      <c r="E354" s="14" t="inlineStr">
        <is>
          <t>C118</t>
        </is>
      </c>
      <c r="F354" s="14" t="inlineStr">
        <is>
          <t>Caso 118</t>
        </is>
      </c>
      <c r="G354" s="14" t="inlineStr">
        <is>
          <t>En un oficio se confunden los verbos de la vigilancia sanitaria.</t>
        </is>
      </c>
      <c r="H354" s="14" t="inlineStr">
        <is>
          <t>Cuando el prestador retira del registro un servicio que ya no presta, el verbo es:</t>
        </is>
      </c>
      <c r="I354" s="14" t="inlineStr">
        <is>
          <t>Reportar la novedad de cierre del servicio en el REPS</t>
        </is>
      </c>
      <c r="J354" s="14" t="inlineStr">
        <is>
          <t>Clausurar el servicio mediante acto motivado del prestador</t>
        </is>
      </c>
      <c r="K354" s="14" t="inlineStr">
        <is>
          <t>Revocar la habilitación del servicio ante la entidad</t>
        </is>
      </c>
      <c r="L354" s="14" t="inlineStr">
        <is>
          <t>a</t>
        </is>
      </c>
      <c r="M354" s="14" t="inlineStr">
        <is>
          <t>El prestador reporta la novedad en el REPS; la clausura la impone la autoridad.</t>
        </is>
      </c>
      <c r="N354" s="14" t="inlineStr">
        <is>
          <t>b) y c) atribuyen al prestador actuaciones de la autoridad.</t>
        </is>
      </c>
      <c r="O354" s="14" t="inlineStr">
        <is>
          <t>Resolución 3100 de 2019</t>
        </is>
      </c>
      <c r="P354" s="14" t="inlineStr">
        <is>
          <t>SI</t>
        </is>
      </c>
    </row>
    <row r="355" ht="23.25" customHeight="1" s="12">
      <c r="A355" s="14" t="inlineStr">
        <is>
          <t>F0354</t>
        </is>
      </c>
      <c r="B355" s="14" t="inlineStr">
        <is>
          <t>PS 2782 de 2026 - ESE 2 - HUHMP Neiva</t>
        </is>
      </c>
      <c r="C355" s="14" t="inlineStr">
        <is>
          <t>Precision juridica del verbo</t>
        </is>
      </c>
      <c r="D355" s="14" t="inlineStr">
        <is>
          <t>Profesional</t>
        </is>
      </c>
      <c r="E355" s="14" t="inlineStr">
        <is>
          <t>C118</t>
        </is>
      </c>
      <c r="F355" s="14" t="inlineStr">
        <is>
          <t>Caso 118</t>
        </is>
      </c>
      <c r="G355" s="14" t="inlineStr">
        <is>
          <t>En un oficio se confunden los verbos de la vigilancia sanitaria.</t>
        </is>
      </c>
      <c r="H355" s="14" t="inlineStr">
        <is>
          <t>Cuando la autoridad impone una consecuencia tras el procedimiento, el verbo es:</t>
        </is>
      </c>
      <c r="I355" s="14" t="inlineStr">
        <is>
          <t>Sancionar</t>
        </is>
      </c>
      <c r="J355" s="14" t="inlineStr">
        <is>
          <t>Amonestar de plano</t>
        </is>
      </c>
      <c r="K355" s="14" t="inlineStr">
        <is>
          <t>Suspender preventivamente</t>
        </is>
      </c>
      <c r="L355" s="14" t="inlineStr">
        <is>
          <t>a</t>
        </is>
      </c>
      <c r="M355" s="14" t="inlineStr">
        <is>
          <t>La sanción se impone al término del procedimiento sancionatorio.</t>
        </is>
      </c>
      <c r="N355" s="14" t="inlineStr">
        <is>
          <t>b) omite el procedimiento y c) nombra una medida previa y provisional.</t>
        </is>
      </c>
      <c r="O355" s="14" t="inlineStr">
        <is>
          <t>Ley 1437 de 2011, arts. 47 a 52</t>
        </is>
      </c>
      <c r="P355" s="14" t="inlineStr">
        <is>
          <t>SI</t>
        </is>
      </c>
    </row>
    <row r="356" ht="23.25" customHeight="1" s="12">
      <c r="A356" s="14" t="inlineStr">
        <is>
          <t>F0355</t>
        </is>
      </c>
      <c r="B356" s="14" t="inlineStr">
        <is>
          <t>PS 2782 de 2026 - ESE 2 - HUHMP Neiva</t>
        </is>
      </c>
      <c r="C356" s="14" t="inlineStr">
        <is>
          <t>Precision juridica del verbo</t>
        </is>
      </c>
      <c r="D356" s="14" t="inlineStr">
        <is>
          <t>Profesional</t>
        </is>
      </c>
      <c r="E356" s="14" t="inlineStr">
        <is>
          <t>C119</t>
        </is>
      </c>
      <c r="F356" s="14" t="inlineStr">
        <is>
          <t>Caso 119</t>
        </is>
      </c>
      <c r="G356" s="14" t="inlineStr">
        <is>
          <t>Un acto administrativo debe corregirse por un error de digitación en el nombre.</t>
        </is>
      </c>
      <c r="H356" s="14" t="inlineStr">
        <is>
          <t>La actuación procedente es:</t>
        </is>
      </c>
      <c r="I356" s="14" t="inlineStr">
        <is>
          <t>Corregir el error formal, de oficio o a petición de parte</t>
        </is>
      </c>
      <c r="J356" s="14" t="inlineStr">
        <is>
          <t>Revocar el acto y expedir otro con el nombre correcto</t>
        </is>
      </c>
      <c r="K356" s="14" t="inlineStr">
        <is>
          <t>Declarar la nulidad del acto por indebida identificación</t>
        </is>
      </c>
      <c r="L356" s="14" t="inlineStr">
        <is>
          <t>a</t>
        </is>
      </c>
      <c r="M356" s="14" t="inlineStr">
        <is>
          <t>Los errores simplemente formales se corrigen en cualquier tiempo, sin afectar el fondo.</t>
        </is>
      </c>
      <c r="N356" s="14" t="inlineStr">
        <is>
          <t>b) y c) aplican figuras desproporcionadas para un yerro formal.</t>
        </is>
      </c>
      <c r="O356" s="14" t="inlineStr">
        <is>
          <t>Ley 1437 de 2011, art. 45</t>
        </is>
      </c>
      <c r="P356" s="14" t="inlineStr">
        <is>
          <t>SI</t>
        </is>
      </c>
    </row>
    <row r="357" ht="23.25" customHeight="1" s="12">
      <c r="A357" s="14" t="inlineStr">
        <is>
          <t>F0356</t>
        </is>
      </c>
      <c r="B357" s="14" t="inlineStr">
        <is>
          <t>PS 2782 de 2026 - ESE 2 - HUHMP Neiva</t>
        </is>
      </c>
      <c r="C357" s="14" t="inlineStr">
        <is>
          <t>Precision juridica del verbo</t>
        </is>
      </c>
      <c r="D357" s="14" t="inlineStr">
        <is>
          <t>Profesional</t>
        </is>
      </c>
      <c r="E357" s="14" t="inlineStr">
        <is>
          <t>C119</t>
        </is>
      </c>
      <c r="F357" s="14" t="inlineStr">
        <is>
          <t>Caso 119</t>
        </is>
      </c>
      <c r="G357" s="14" t="inlineStr">
        <is>
          <t>Un acto administrativo debe corregirse por un error de digitación en el nombre.</t>
        </is>
      </c>
      <c r="H357" s="14" t="inlineStr">
        <is>
          <t>Si el error cambia el sentido de la decisión, corresponde:</t>
        </is>
      </c>
      <c r="I357" s="14" t="inlineStr">
        <is>
          <t>Adelantar la revocatoria directa con sus reglas propias</t>
        </is>
      </c>
      <c r="J357" s="14" t="inlineStr">
        <is>
          <t>Corregirlo como error formal mediante nota de la entidad</t>
        </is>
      </c>
      <c r="K357" s="14" t="inlineStr">
        <is>
          <t>Inaplicarlo mientras se expide un acto que lo reemplace</t>
        </is>
      </c>
      <c r="L357" s="14" t="inlineStr">
        <is>
          <t>a</t>
        </is>
      </c>
      <c r="M357" s="14" t="inlineStr">
        <is>
          <t>Cuando se altera el sentido de la decisión ya no hay error formal y procede la revocatoria directa.</t>
        </is>
      </c>
      <c r="N357" s="14" t="inlineStr">
        <is>
          <t>b) encubre un cambio de fondo y c) mantiene una decisión equivocada.</t>
        </is>
      </c>
      <c r="O357" s="14" t="inlineStr">
        <is>
          <t>Ley 1437 de 2011, arts. 45 y 93</t>
        </is>
      </c>
      <c r="P357" s="14" t="inlineStr">
        <is>
          <t>SI</t>
        </is>
      </c>
    </row>
    <row r="358" ht="23.25" customHeight="1" s="12">
      <c r="A358" s="14" t="inlineStr">
        <is>
          <t>F0357</t>
        </is>
      </c>
      <c r="B358" s="14" t="inlineStr">
        <is>
          <t>PS 2782 de 2026 - ESE 2 - HUHMP Neiva</t>
        </is>
      </c>
      <c r="C358" s="14" t="inlineStr">
        <is>
          <t>Precision juridica del verbo</t>
        </is>
      </c>
      <c r="D358" s="14" t="inlineStr">
        <is>
          <t>Profesional</t>
        </is>
      </c>
      <c r="E358" s="14" t="inlineStr">
        <is>
          <t>C119</t>
        </is>
      </c>
      <c r="F358" s="14" t="inlineStr">
        <is>
          <t>Caso 119</t>
        </is>
      </c>
      <c r="G358" s="14" t="inlineStr">
        <is>
          <t>Un acto administrativo debe corregirse por un error de digitación en el nombre.</t>
        </is>
      </c>
      <c r="H358" s="14" t="inlineStr">
        <is>
          <t>La corrección formal:</t>
        </is>
      </c>
      <c r="I358" s="14" t="inlineStr">
        <is>
          <t>No reabre los términos para recurrir el fondo del acto</t>
        </is>
      </c>
      <c r="J358" s="14" t="inlineStr">
        <is>
          <t>Reinicia todos los términos desde la nueva notificación</t>
        </is>
      </c>
      <c r="K358" s="14" t="inlineStr">
        <is>
          <t>Anula lo actuado y obliga a repetir la notificación</t>
        </is>
      </c>
      <c r="L358" s="14" t="inlineStr">
        <is>
          <t>a</t>
        </is>
      </c>
      <c r="M358" s="14" t="inlineStr">
        <is>
          <t>La corrección formal no altera el fondo ni reabre los términos de impugnación.</t>
        </is>
      </c>
      <c r="N358" s="14" t="inlineStr">
        <is>
          <t>b) y c) le atribuyen efectos que no tiene.</t>
        </is>
      </c>
      <c r="O358" s="14" t="inlineStr">
        <is>
          <t>Ley 1437 de 2011, art. 45</t>
        </is>
      </c>
      <c r="P358" s="14" t="inlineStr">
        <is>
          <t>SI</t>
        </is>
      </c>
    </row>
    <row r="359" ht="23.25" customHeight="1" s="12">
      <c r="A359" s="14" t="inlineStr">
        <is>
          <t>F0358</t>
        </is>
      </c>
      <c r="B359" s="14" t="inlineStr">
        <is>
          <t>PS 2782 de 2026 - ESE 2 - HUHMP Neiva</t>
        </is>
      </c>
      <c r="C359" s="14" t="inlineStr">
        <is>
          <t>Precision juridica del verbo</t>
        </is>
      </c>
      <c r="D359" s="14" t="inlineStr">
        <is>
          <t>Tecnico</t>
        </is>
      </c>
      <c r="E359" s="14" t="inlineStr">
        <is>
          <t>C120</t>
        </is>
      </c>
      <c r="F359" s="14" t="inlineStr">
        <is>
          <t>Caso 120</t>
        </is>
      </c>
      <c r="G359" s="14" t="inlineStr">
        <is>
          <t>En el proceso de selección se confunden los verbos de la lista de elegibles.</t>
        </is>
      </c>
      <c r="H359" s="14" t="inlineStr">
        <is>
          <t>Cuando la CNSC produce la lista en estricto orden de mérito, el verbo es:</t>
        </is>
      </c>
      <c r="I359" s="14" t="inlineStr">
        <is>
          <t>Conformar y adoptar la lista en estricto orden de mérito</t>
        </is>
      </c>
      <c r="J359" s="14" t="inlineStr">
        <is>
          <t>Publicar la lista de elegibles en el sitio dispuesto para ello</t>
        </is>
      </c>
      <c r="K359" s="14" t="inlineStr">
        <is>
          <t>Homologar la lista con la del proceso de selección anterior</t>
        </is>
      </c>
      <c r="L359" s="14" t="inlineStr">
        <is>
          <t>a</t>
        </is>
      </c>
      <c r="M359" s="14" t="inlineStr">
        <is>
          <t>La CNSC conforma y adopta la lista de elegibles mediante acto administrativo.</t>
        </is>
      </c>
      <c r="N359" s="14" t="inlineStr">
        <is>
          <t>b) es un momento posterior y c) no corresponde a esta actuación.</t>
        </is>
      </c>
      <c r="O359" s="14" t="inlineStr">
        <is>
          <t>Acuerdo CNSC N° 36 de 2026, art. 24</t>
        </is>
      </c>
      <c r="P359" s="14" t="inlineStr">
        <is>
          <t>SI</t>
        </is>
      </c>
    </row>
    <row r="360" ht="23.25" customHeight="1" s="12">
      <c r="A360" s="14" t="inlineStr">
        <is>
          <t>F0359</t>
        </is>
      </c>
      <c r="B360" s="14" t="inlineStr">
        <is>
          <t>PS 2782 de 2026 - ESE 2 - HUHMP Neiva</t>
        </is>
      </c>
      <c r="C360" s="14" t="inlineStr">
        <is>
          <t>Precision juridica del verbo</t>
        </is>
      </c>
      <c r="D360" s="14" t="inlineStr">
        <is>
          <t>Tecnico</t>
        </is>
      </c>
      <c r="E360" s="14" t="inlineStr">
        <is>
          <t>C120</t>
        </is>
      </c>
      <c r="F360" s="14" t="inlineStr">
        <is>
          <t>Caso 120</t>
        </is>
      </c>
      <c r="G360" s="14" t="inlineStr">
        <is>
          <t>En el proceso de selección se confunden los verbos de la lista de elegibles.</t>
        </is>
      </c>
      <c r="H360" s="14" t="inlineStr">
        <is>
          <t>Cuando la comisión de personal pide retirar a una persona de la lista, el verbo es:</t>
        </is>
      </c>
      <c r="I360" s="14" t="inlineStr">
        <is>
          <t>Solicitar la exclusión de la lista</t>
        </is>
      </c>
      <c r="J360" s="14" t="inlineStr">
        <is>
          <t>Solicitar la revocatoria de la lista</t>
        </is>
      </c>
      <c r="K360" s="14" t="inlineStr">
        <is>
          <t>Solicitar la anulación de la lista</t>
        </is>
      </c>
      <c r="L360" s="14" t="inlineStr">
        <is>
          <t>a</t>
        </is>
      </c>
      <c r="M360" s="14" t="inlineStr">
        <is>
          <t>La comisión de personal solicita la exclusión de la persona, no la revocatoria de la lista.</t>
        </is>
      </c>
      <c r="N360" s="14" t="inlineStr">
        <is>
          <t>b) y c) recaen sobre el acto completo y corresponden a otras autoridades.</t>
        </is>
      </c>
      <c r="O360" s="14" t="inlineStr">
        <is>
          <t>Acuerdo CNSC N° 36 de 2026, art. 26</t>
        </is>
      </c>
      <c r="P360" s="14" t="inlineStr">
        <is>
          <t>SI</t>
        </is>
      </c>
    </row>
    <row r="361" ht="23.25" customHeight="1" s="12">
      <c r="A361" s="14" t="inlineStr">
        <is>
          <t>F0360</t>
        </is>
      </c>
      <c r="B361" s="14" t="inlineStr">
        <is>
          <t>PS 2782 de 2026 - ESE 2 - HUHMP Neiva</t>
        </is>
      </c>
      <c r="C361" s="14" t="inlineStr">
        <is>
          <t>Precision juridica del verbo</t>
        </is>
      </c>
      <c r="D361" s="14" t="inlineStr">
        <is>
          <t>Tecnico</t>
        </is>
      </c>
      <c r="E361" s="14" t="inlineStr">
        <is>
          <t>C120</t>
        </is>
      </c>
      <c r="F361" s="14" t="inlineStr">
        <is>
          <t>Caso 120</t>
        </is>
      </c>
      <c r="G361" s="14" t="inlineStr">
        <is>
          <t>En el proceso de selección se confunden los verbos de la lista de elegibles.</t>
        </is>
      </c>
      <c r="H361" s="14" t="inlineStr">
        <is>
          <t>Cuando la lista se usa en orden descendente por retiro de un elegible, el fenómeno es:</t>
        </is>
      </c>
      <c r="I361" s="14" t="inlineStr">
        <is>
          <t>La movilidad de la lista</t>
        </is>
      </c>
      <c r="J361" s="14" t="inlineStr">
        <is>
          <t>La modificación de la lista</t>
        </is>
      </c>
      <c r="K361" s="14" t="inlineStr">
        <is>
          <t>La firmeza de la lista</t>
        </is>
      </c>
      <c r="L361" s="14" t="inlineStr">
        <is>
          <t>a</t>
        </is>
      </c>
      <c r="M361" s="14" t="inlineStr">
        <is>
          <t>La movilidad permite usar la lista en orden descendente sin nuevo acto administrativo.</t>
        </is>
      </c>
      <c r="N361" s="14" t="inlineStr">
        <is>
          <t>b) supone adicionar o reubicar por error y c) alude a sus efectos jurídicos.</t>
        </is>
      </c>
      <c r="O361" s="14" t="inlineStr">
        <is>
          <t>Acuerdo CNSC N° 36 de 2026, art. 31</t>
        </is>
      </c>
      <c r="P361" s="14" t="inlineStr">
        <is>
          <t>SI</t>
        </is>
      </c>
    </row>
    <row r="362" ht="79.5" customHeight="1" s="12">
      <c r="A362" s="14" t="inlineStr">
        <is>
          <t>F0361</t>
        </is>
      </c>
      <c r="B362" s="14" t="inlineStr">
        <is>
          <t>PS 2782 de 2026 - ESE 2 - HUHMP Neiva</t>
        </is>
      </c>
      <c r="C362" s="14" t="inlineStr">
        <is>
          <t>Urgencias</t>
        </is>
      </c>
      <c r="D362" s="14" t="inlineStr">
        <is>
          <t>Profesional</t>
        </is>
      </c>
      <c r="E362" s="14" t="inlineStr">
        <is>
          <t>C121</t>
        </is>
      </c>
      <c r="F362" s="14" t="inlineStr">
        <is>
          <t>Caso 121</t>
        </is>
      </c>
      <c r="G362" s="14" t="inlineStr">
        <is>
          <t>Una mujer de 34 años con lupus y compromiso renal ingresa a urgencias el 12 de enero a las 21:40 por deterioro de su función renal. El 13 de enero el médico tratante solicita por escrito a la EPS el traslado a una institución con nefrología y unidad de cuidados intensivos, servicios que el hospital no tiene habilitados. Entre el 17 y el 25 de enero la solicitud se reitera ocho veces, advirtiendo alto riesgo de complicaciones. La EPS no responde y ninguna institución acepta la remisión. Usted coordina el servicio.</t>
        </is>
      </c>
      <c r="H362" s="14" t="inlineStr">
        <is>
          <t>¿Cuál es su actuación prioritaria en este momento?</t>
        </is>
      </c>
      <c r="I362" s="14" t="inlineStr">
        <is>
          <t>Sostener la atención de la paciente, activar el centro regulador y dejar constancia escrita de cada gestión y su respuesta</t>
        </is>
      </c>
      <c r="J362" s="14" t="inlineStr">
        <is>
          <t>Dar de alta con orden de control prioritario por nefrología, entregando epicrisis a la paciente y a su asegurador</t>
        </is>
      </c>
      <c r="K362" s="14" t="inlineStr">
        <is>
          <t>Trasladar a la paciente a la institución más cercana, informando por escrito al receptor durante el trayecto</t>
        </is>
      </c>
      <c r="L362" s="14" t="inlineStr">
        <is>
          <t>a</t>
        </is>
      </c>
      <c r="M362" s="14" t="inlineStr">
        <is>
          <t>La continuidad obliga a mantener la atención hasta que exista un destino asistencial seguro, y el centro regulador es la instancia que coordina la asignación del receptor.</t>
        </is>
      </c>
      <c r="N362" s="14" t="inlineStr">
        <is>
          <t>La opción b) interrumpe la atención de una paciente que aún requiere manejo especializado, que fue justamente la conducta reprochada en la sentencia citada; la opción c) traslada sin receptor aceptado y sin coordinación, con riesgo clínico y jurídico.</t>
        </is>
      </c>
      <c r="O362" s="14" t="inlineStr">
        <is>
          <t>Ley 1751 de 2015, art. 6; Resolución 1220 de 2010; Corte Constitucional, Sentencia T-573 de 2023</t>
        </is>
      </c>
      <c r="P362" s="14" t="inlineStr">
        <is>
          <t>SI</t>
        </is>
      </c>
      <c r="Q362" s="14" t="inlineStr">
        <is>
          <t>Alta</t>
        </is>
      </c>
      <c r="R362" s="14" t="inlineStr">
        <is>
          <t>v2</t>
        </is>
      </c>
    </row>
    <row r="363" ht="79.5" customHeight="1" s="12">
      <c r="A363" s="14" t="inlineStr">
        <is>
          <t>F0362</t>
        </is>
      </c>
      <c r="B363" s="14" t="inlineStr">
        <is>
          <t>PS 2782 de 2026 - ESE 2 - HUHMP Neiva</t>
        </is>
      </c>
      <c r="C363" s="14" t="inlineStr">
        <is>
          <t>Urgencias</t>
        </is>
      </c>
      <c r="D363" s="14" t="inlineStr">
        <is>
          <t>Profesional</t>
        </is>
      </c>
      <c r="E363" s="14" t="inlineStr">
        <is>
          <t>C121</t>
        </is>
      </c>
      <c r="F363" s="14" t="inlineStr">
        <is>
          <t>Caso 121</t>
        </is>
      </c>
      <c r="G363" s="14" t="inlineStr">
        <is>
          <t>Una mujer de 34 años con lupus y compromiso renal ingresa a urgencias el 12 de enero a las 21:40 por deterioro de su función renal. El 13 de enero el médico tratante solicita por escrito a la EPS el traslado a una institución con nefrología y unidad de cuidados intensivos, servicios que el hospital no tiene habilitados. Entre el 17 y el 25 de enero la solicitud se reitera ocho veces, advirtiendo alto riesgo de complicaciones. La EPS no responde y ninguna institución acepta la remisión. Usted coordina el servicio.</t>
        </is>
      </c>
      <c r="H363" s="14" t="inlineStr">
        <is>
          <t>¿Qué documento soporta que el hospital sí gestionó el traslado?</t>
        </is>
      </c>
      <c r="I363" s="14" t="inlineStr">
        <is>
          <t>El contrato vigente con la EPS y el manual de tarifas aplicable al servicio prestado</t>
        </is>
      </c>
      <c r="J363" s="14" t="inlineStr">
        <is>
          <t>La bitácora de remisión con fecha, hora, destinatario y respuesta de cada solicitud</t>
        </is>
      </c>
      <c r="K363" s="14" t="inlineStr">
        <is>
          <t>La epicrisis firmada por el médico tratante en el momento del egreso de la paciente</t>
        </is>
      </c>
      <c r="L363" s="14" t="inlineStr">
        <is>
          <t>b</t>
        </is>
      </c>
      <c r="M363" s="14" t="inlineStr">
        <is>
          <t>La bitácora de remisión es el registro que acredita la trazabilidad de cada gestión, su destinatario y la respuesta obtenida.</t>
        </is>
      </c>
      <c r="N363" s="14" t="inlineStr">
        <is>
          <t>La opción a) prueba la relación contractual, no la gestión del caso; la opción c) documenta el egreso, que es un momento posterior y distinto al de las gestiones.</t>
        </is>
      </c>
      <c r="O363" s="14" t="inlineStr">
        <is>
          <t>Resolución 3047 de 2008; Resolución 1220 de 2010</t>
        </is>
      </c>
      <c r="P363" s="14" t="inlineStr">
        <is>
          <t>SI</t>
        </is>
      </c>
      <c r="Q363" s="14" t="inlineStr">
        <is>
          <t>Alta</t>
        </is>
      </c>
      <c r="R363" s="14" t="inlineStr">
        <is>
          <t>v2</t>
        </is>
      </c>
    </row>
    <row r="364" ht="79.5" customHeight="1" s="12">
      <c r="A364" s="14" t="inlineStr">
        <is>
          <t>F0363</t>
        </is>
      </c>
      <c r="B364" s="14" t="inlineStr">
        <is>
          <t>PS 2782 de 2026 - ESE 2 - HUHMP Neiva</t>
        </is>
      </c>
      <c r="C364" s="14" t="inlineStr">
        <is>
          <t>Urgencias</t>
        </is>
      </c>
      <c r="D364" s="14" t="inlineStr">
        <is>
          <t>Profesional</t>
        </is>
      </c>
      <c r="E364" s="14" t="inlineStr">
        <is>
          <t>C121</t>
        </is>
      </c>
      <c r="F364" s="14" t="inlineStr">
        <is>
          <t>Caso 121</t>
        </is>
      </c>
      <c r="G364" s="14" t="inlineStr">
        <is>
          <t>Una mujer de 34 años con lupus y compromiso renal ingresa a urgencias el 12 de enero a las 21:40 por deterioro de su función renal. El 13 de enero el médico tratante solicita por escrito a la EPS el traslado a una institución con nefrología y unidad de cuidados intensivos, servicios que el hospital no tiene habilitados. Entre el 17 y el 25 de enero la solicitud se reitera ocho veces, advirtiendo alto riesgo de complicaciones. La EPS no responde y ninguna institución acepta la remisión. Usted coordina el servicio.</t>
        </is>
      </c>
      <c r="H364" s="14" t="inlineStr">
        <is>
          <t>Una institución de alta complejidad niega la recepción porque no tiene convenio con la EPS de la paciente. Esa negativa:</t>
        </is>
      </c>
      <c r="I364" s="14" t="inlineStr">
        <is>
          <t>Es válida mientras no exista convenio, porque sin él la institución receptora no puede facturar la atención</t>
        </is>
      </c>
      <c r="J364" s="14" t="inlineStr">
        <is>
          <t>Es válida si la EPS no autoriza el ingreso por escrito antes de que el paciente llegue a la institución</t>
        </is>
      </c>
      <c r="K364" s="14" t="inlineStr">
        <is>
          <t>Constituye una barrera administrativa, porque la atención de urgencias no depende de la existencia de convenio</t>
        </is>
      </c>
      <c r="L364" s="14" t="inlineStr">
        <is>
          <t>c</t>
        </is>
      </c>
      <c r="M364" s="14" t="inlineStr">
        <is>
          <t>La atención inicial de urgencias es obligatoria para todo prestador y no puede condicionarse a convenio, autorización ni pago previo.</t>
        </is>
      </c>
      <c r="N364" s="14" t="inlineStr">
        <is>
          <t>Las opciones a) y b) anteponen un asunto contractual o administrativo a una atención que la ley define como incondicionada; el recobro entre entidades es posterior.</t>
        </is>
      </c>
      <c r="O364" s="14" t="inlineStr">
        <is>
          <t>Ley 1751 de 2015, art. 14; Corte Constitucional, Sentencia T-573 de 2023</t>
        </is>
      </c>
      <c r="P364" s="14" t="inlineStr">
        <is>
          <t>SI</t>
        </is>
      </c>
      <c r="Q364" s="14" t="inlineStr">
        <is>
          <t>Alta</t>
        </is>
      </c>
      <c r="R364" s="14" t="inlineStr">
        <is>
          <t>v2</t>
        </is>
      </c>
    </row>
    <row r="365" ht="68.25" customHeight="1" s="12">
      <c r="A365" s="14" t="inlineStr">
        <is>
          <t>F0364</t>
        </is>
      </c>
      <c r="B365" s="14" t="inlineStr">
        <is>
          <t>PS 2782 de 2026 - ESE 2 - HUHMP Neiva</t>
        </is>
      </c>
      <c r="C365" s="14" t="inlineStr">
        <is>
          <t>Urgencias</t>
        </is>
      </c>
      <c r="D365" s="14" t="inlineStr">
        <is>
          <t>Profesional</t>
        </is>
      </c>
      <c r="E365" s="14" t="inlineStr">
        <is>
          <t>C122</t>
        </is>
      </c>
      <c r="F365" s="14" t="inlineStr">
        <is>
          <t>Caso 122</t>
        </is>
      </c>
      <c r="G365" s="14" t="inlineStr">
        <is>
          <t>Una mujer venezolana en situación migratoria irregular, sin afiliación al sistema, es atendida en urgencias por una complicación obstétrica el 3 de marzo. Superada la fase inicial, el médico tratante prescribe estudios y un procedimiento que el hospital sí tiene habilitados. Facturación advierte que no hay quién pague y propone suspender el plan de manejo hasta definir el responsable. La usuaria no tiene documento de identidad colombiano.</t>
        </is>
      </c>
      <c r="H365" s="14" t="inlineStr">
        <is>
          <t>Frente a la propuesta de facturación, su decisión debe ser:</t>
        </is>
      </c>
      <c r="I365" s="14" t="inlineStr">
        <is>
          <t>Continuar el plan de manejo en curso y tramitar en paralelo la ruta de pago con la entidad territorial</t>
        </is>
      </c>
      <c r="J365" s="14" t="inlineStr">
        <is>
          <t>Suspender los estudios prescritos hasta que la entidad territorial confirme por escrito el pago</t>
        </is>
      </c>
      <c r="K365" s="14" t="inlineStr">
        <is>
          <t>Entregar a la usuaria las órdenes para que las realice por su cuenta en la red privada de la ciudad</t>
        </is>
      </c>
      <c r="L365" s="14" t="inlineStr">
        <is>
          <t>a</t>
        </is>
      </c>
      <c r="M365" s="14" t="inlineStr">
        <is>
          <t>La condición migratoria o de aseguramiento no habilita a interrumpir una atención en curso; la definición del pagador es un trámite administrativo paralelo.</t>
        </is>
      </c>
      <c r="N365" s="14" t="inlineStr">
        <is>
          <t>La opción b) condiciona la atención a un trámite económico y la opción c) traslada a la usuaria una carga que el prestador no puede imponerle en esa condición clínica.</t>
        </is>
      </c>
      <c r="O365" s="14" t="inlineStr">
        <is>
          <t>Ley 1751 de 2015, arts. 6 y 14; Corte Constitucional, Sentencia T-254 de 2021</t>
        </is>
      </c>
      <c r="P365" s="14" t="inlineStr">
        <is>
          <t>SI</t>
        </is>
      </c>
      <c r="Q365" s="14" t="inlineStr">
        <is>
          <t>Alta</t>
        </is>
      </c>
      <c r="R365" s="14" t="inlineStr">
        <is>
          <t>v2</t>
        </is>
      </c>
    </row>
    <row r="366" ht="68.25" customHeight="1" s="12">
      <c r="A366" s="14" t="inlineStr">
        <is>
          <t>F0365</t>
        </is>
      </c>
      <c r="B366" s="14" t="inlineStr">
        <is>
          <t>PS 2782 de 2026 - ESE 2 - HUHMP Neiva</t>
        </is>
      </c>
      <c r="C366" s="14" t="inlineStr">
        <is>
          <t>Urgencias</t>
        </is>
      </c>
      <c r="D366" s="14" t="inlineStr">
        <is>
          <t>Profesional</t>
        </is>
      </c>
      <c r="E366" s="14" t="inlineStr">
        <is>
          <t>C122</t>
        </is>
      </c>
      <c r="F366" s="14" t="inlineStr">
        <is>
          <t>Caso 122</t>
        </is>
      </c>
      <c r="G366" s="14" t="inlineStr">
        <is>
          <t>Una mujer venezolana en situación migratoria irregular, sin afiliación al sistema, es atendida en urgencias por una complicación obstétrica el 3 de marzo. Superada la fase inicial, el médico tratante prescribe estudios y un procedimiento que el hospital sí tiene habilitados. Facturación advierte que no hay quién pague y propone suspender el plan de manejo hasta definir el responsable. La usuaria no tiene documento de identidad colombiano.</t>
        </is>
      </c>
      <c r="H366" s="14" t="inlineStr">
        <is>
          <t>La exigencia del documento de identidad colombiano como condición para la atención:</t>
        </is>
      </c>
      <c r="I366" s="14" t="inlineStr">
        <is>
          <t>Procede para poder registrar la atención en los sistemas de información del prestador</t>
        </is>
      </c>
      <c r="J366" s="14" t="inlineStr">
        <is>
          <t>Procede si la usuaria no acredita afiliación ni capacidad de pago en el momento del ingreso</t>
        </is>
      </c>
      <c r="K366" s="14" t="inlineStr">
        <is>
          <t>No procede como condición: la identificación se gestiona sin interrumpir ni aplazar la atención</t>
        </is>
      </c>
      <c r="L366" s="14" t="inlineStr">
        <is>
          <t>c</t>
        </is>
      </c>
      <c r="M366" s="14" t="inlineStr">
        <is>
          <t>La identificación del usuario es un trámite administrativo que se resuelve durante o después de la atención, nunca como condición para prestarla.</t>
        </is>
      </c>
      <c r="N366" s="14" t="inlineStr">
        <is>
          <t>Las opciones a) y b) convierten un requisito de registro o de facturación en una barrera de acceso, proscrita por la Ley Estatutaria.</t>
        </is>
      </c>
      <c r="O366" s="14" t="inlineStr">
        <is>
          <t>Ley 1751 de 2015, art. 14; Decreto 780 de 2016</t>
        </is>
      </c>
      <c r="P366" s="14" t="inlineStr">
        <is>
          <t>SI</t>
        </is>
      </c>
      <c r="Q366" s="14" t="inlineStr">
        <is>
          <t>Alta</t>
        </is>
      </c>
      <c r="R366" s="14" t="inlineStr">
        <is>
          <t>v2</t>
        </is>
      </c>
    </row>
    <row r="367" ht="68.25" customHeight="1" s="12">
      <c r="A367" s="14" t="inlineStr">
        <is>
          <t>F0366</t>
        </is>
      </c>
      <c r="B367" s="14" t="inlineStr">
        <is>
          <t>PS 2782 de 2026 - ESE 2 - HUHMP Neiva</t>
        </is>
      </c>
      <c r="C367" s="14" t="inlineStr">
        <is>
          <t>Urgencias</t>
        </is>
      </c>
      <c r="D367" s="14" t="inlineStr">
        <is>
          <t>Profesional</t>
        </is>
      </c>
      <c r="E367" s="14" t="inlineStr">
        <is>
          <t>C122</t>
        </is>
      </c>
      <c r="F367" s="14" t="inlineStr">
        <is>
          <t>Caso 122</t>
        </is>
      </c>
      <c r="G367" s="14" t="inlineStr">
        <is>
          <t>Una mujer venezolana en situación migratoria irregular, sin afiliación al sistema, es atendida en urgencias por una complicación obstétrica el 3 de marzo. Superada la fase inicial, el médico tratante prescribe estudios y un procedimiento que el hospital sí tiene habilitados. Facturación advierte que no hay quién pague y propone suspender el plan de manejo hasta definir el responsable. La usuaria no tiene documento de identidad colombiano.</t>
        </is>
      </c>
      <c r="H367" s="14" t="inlineStr">
        <is>
          <t>¿A quién corresponde, en principio, la financiación de esa atención?</t>
        </is>
      </c>
      <c r="I367" s="14" t="inlineStr">
        <is>
          <t>A la entidad territorial, con los recursos destinados a la población pobre no asegurada</t>
        </is>
      </c>
      <c r="J367" s="14" t="inlineStr">
        <is>
          <t>Al hospital, que debe asumirla como parte de su responsabilidad social institucional</t>
        </is>
      </c>
      <c r="K367" s="14" t="inlineStr">
        <is>
          <t>A la usuaria, mediante acuerdo de pago suscrito antes de continuar el tratamiento</t>
        </is>
      </c>
      <c r="L367" s="14" t="inlineStr">
        <is>
          <t>a</t>
        </is>
      </c>
      <c r="M367" s="14" t="inlineStr">
        <is>
          <t>La atención de la población pobre no asegurada se financia con los recursos que administra la entidad territorial, conforme a la distribución de competencias del sector.</t>
        </is>
      </c>
      <c r="N367" s="14" t="inlineStr">
        <is>
          <t>La opción b) desconoce la fuente de financiación prevista en la ley y la opción c) supedita la atención a un acuerdo económico con la usuaria.</t>
        </is>
      </c>
      <c r="O367" s="14" t="inlineStr">
        <is>
          <t>Ley 715 de 2001, art. 43; Decreto 780 de 2016; Corte Constitucional, Sentencia T-254 de 2021</t>
        </is>
      </c>
      <c r="P367" s="14" t="inlineStr">
        <is>
          <t>SI</t>
        </is>
      </c>
      <c r="Q367" s="14" t="inlineStr">
        <is>
          <t>Alta</t>
        </is>
      </c>
      <c r="R367" s="14" t="inlineStr">
        <is>
          <t>v2</t>
        </is>
      </c>
    </row>
    <row r="368" ht="68.25" customHeight="1" s="12">
      <c r="A368" s="14" t="inlineStr">
        <is>
          <t>F0367</t>
        </is>
      </c>
      <c r="B368" s="14" t="inlineStr">
        <is>
          <t>PS 2782 de 2026 - ESE 2 - HUHMP Neiva</t>
        </is>
      </c>
      <c r="C368" s="14" t="inlineStr">
        <is>
          <t>Referencia y contrarreferencia</t>
        </is>
      </c>
      <c r="D368" s="14" t="inlineStr">
        <is>
          <t>Profesional</t>
        </is>
      </c>
      <c r="E368" s="14" t="inlineStr">
        <is>
          <t>C123</t>
        </is>
      </c>
      <c r="F368" s="14" t="inlineStr">
        <is>
          <t>Caso 123</t>
        </is>
      </c>
      <c r="G368" s="14" t="inlineStr">
        <is>
          <t>Un paciente de un municipio del sur del Huila es remitido al hospital universitario para un control ambulatorio prioritario por nefrología. La familia informa que vive de jornales, que el viaje cuesta más de lo que gana en una semana y que si no viaja el paciente perderá el control. La EPS responde que el desplazamiento corre por cuenta del usuario. El paciente no está hospitalizado y su condición no es de urgencia.</t>
        </is>
      </c>
      <c r="H368" s="14" t="inlineStr">
        <is>
          <t>Conforme a la regla general sobre gastos de desplazamiento en remisiones:</t>
        </is>
      </c>
      <c r="I368" s="14" t="inlineStr">
        <is>
          <t>Corren por cuenta del usuario, salvo urgencia certificada o paciente internado que requiera atención complementaria</t>
        </is>
      </c>
      <c r="J368" s="14" t="inlineStr">
        <is>
          <t>Corren por cuenta de la entidad territorial cuando el municipio de residencia no ofrece el servicio requerido</t>
        </is>
      </c>
      <c r="K368" s="14" t="inlineStr">
        <is>
          <t>Corren por cuenta del prestador que remite, conforme al principio de continuidad de la atención</t>
        </is>
      </c>
      <c r="L368" s="14" t="inlineStr">
        <is>
          <t>a</t>
        </is>
      </c>
      <c r="M368" s="14" t="inlineStr">
        <is>
          <t>La regla general asigna el desplazamiento al usuario, con las excepciones de urgencia certificada y paciente internado que requiere atención complementaria.</t>
        </is>
      </c>
      <c r="N368" s="14" t="inlineStr">
        <is>
          <t>Las opciones b) y c) trasladan el costo a actores distintos de los previstos en la norma que regula la materia.</t>
        </is>
      </c>
      <c r="O368" s="14" t="inlineStr">
        <is>
          <t>Decreto 780 de 2016; Resolución 5261 de 1994, art. 2, parágrafo</t>
        </is>
      </c>
      <c r="P368" s="14" t="inlineStr">
        <is>
          <t>SI</t>
        </is>
      </c>
      <c r="Q368" s="14" t="inlineStr">
        <is>
          <t>Media</t>
        </is>
      </c>
      <c r="R368" s="14" t="inlineStr">
        <is>
          <t>v2</t>
        </is>
      </c>
    </row>
    <row r="369" ht="68.25" customHeight="1" s="12">
      <c r="A369" s="14" t="inlineStr">
        <is>
          <t>F0368</t>
        </is>
      </c>
      <c r="B369" s="14" t="inlineStr">
        <is>
          <t>PS 2782 de 2026 - ESE 2 - HUHMP Neiva</t>
        </is>
      </c>
      <c r="C369" s="14" t="inlineStr">
        <is>
          <t>Referencia y contrarreferencia</t>
        </is>
      </c>
      <c r="D369" s="14" t="inlineStr">
        <is>
          <t>Profesional</t>
        </is>
      </c>
      <c r="E369" s="14" t="inlineStr">
        <is>
          <t>C123</t>
        </is>
      </c>
      <c r="F369" s="14" t="inlineStr">
        <is>
          <t>Caso 123</t>
        </is>
      </c>
      <c r="G369" s="14" t="inlineStr">
        <is>
          <t>Un paciente de un municipio del sur del Huila es remitido al hospital universitario para un control ambulatorio prioritario por nefrología. La familia informa que vive de jornales, que el viaje cuesta más de lo que gana en una semana y que si no viaja el paciente perderá el control. La EPS responde que el desplazamiento corre por cuenta del usuario. El paciente no está hospitalizado y su condición no es de urgencia.</t>
        </is>
      </c>
      <c r="H369" s="14" t="inlineStr">
        <is>
          <t>La jurisprudencia admite una excepción a esa regla cuando concurren:</t>
        </is>
      </c>
      <c r="I369" s="14" t="inlineStr">
        <is>
          <t>La falta de recursos del paciente y de su familia, y el riesgo para la vida, la integridad o la salud si no se realiza el traslado</t>
        </is>
      </c>
      <c r="J369" s="14" t="inlineStr">
        <is>
          <t>La distancia superior a cien kilómetros y la ausencia de transporte público entre el municipio y la ciudad receptora</t>
        </is>
      </c>
      <c r="K369" s="14" t="inlineStr">
        <is>
          <t>La condición de sujeto de especial protección del paciente y la existencia de una orden médica de control prioritario vigente</t>
        </is>
      </c>
      <c r="L369" s="14" t="inlineStr">
        <is>
          <t>a</t>
        </is>
      </c>
      <c r="M369" s="14" t="inlineStr">
        <is>
          <t>La Corte ha fijado dos requisitos concurrentes: la insuficiencia económica del paciente y su familia, y el riesgo derivado de no realizar el traslado.</t>
        </is>
      </c>
      <c r="N369" s="14" t="inlineStr">
        <is>
          <t>Las opciones b) y c) proponen criterios de distancia o de categoría que no son los que estructuran la excepción jurisprudencial.</t>
        </is>
      </c>
      <c r="O369" s="14" t="inlineStr">
        <is>
          <t>Corte Constitucional, Sentencias T-252 de 2007 y T-1129 de 2008</t>
        </is>
      </c>
      <c r="P369" s="14" t="inlineStr">
        <is>
          <t>SI</t>
        </is>
      </c>
      <c r="Q369" s="14" t="inlineStr">
        <is>
          <t>Media</t>
        </is>
      </c>
      <c r="R369" s="14" t="inlineStr">
        <is>
          <t>v2</t>
        </is>
      </c>
    </row>
    <row r="370" ht="68.25" customHeight="1" s="12">
      <c r="A370" s="14" t="inlineStr">
        <is>
          <t>F0369</t>
        </is>
      </c>
      <c r="B370" s="14" t="inlineStr">
        <is>
          <t>PS 2782 de 2026 - ESE 2 - HUHMP Neiva</t>
        </is>
      </c>
      <c r="C370" s="14" t="inlineStr">
        <is>
          <t>Referencia y contrarreferencia</t>
        </is>
      </c>
      <c r="D370" s="14" t="inlineStr">
        <is>
          <t>Profesional</t>
        </is>
      </c>
      <c r="E370" s="14" t="inlineStr">
        <is>
          <t>C123</t>
        </is>
      </c>
      <c r="F370" s="14" t="inlineStr">
        <is>
          <t>Caso 123</t>
        </is>
      </c>
      <c r="G370" s="14" t="inlineStr">
        <is>
          <t>Un paciente de un municipio del sur del Huila es remitido al hospital universitario para un control ambulatorio prioritario por nefrología. La familia informa que vive de jornales, que el viaje cuesta más de lo que gana en una semana y que si no viaja el paciente perderá el control. La EPS responde que el desplazamiento corre por cuenta del usuario. El paciente no está hospitalizado y su condición no es de urgencia.</t>
        </is>
      </c>
      <c r="H370" s="14" t="inlineStr">
        <is>
          <t>El paciente requiere acompañante porque depende de un tercero para movilizarse. Frente a los gastos del acompañante:</t>
        </is>
      </c>
      <c r="I370" s="14" t="inlineStr">
        <is>
          <t>Se niegan siempre, porque el plan de beneficios reconoce gastos únicamente respecto del paciente</t>
        </is>
      </c>
      <c r="J370" s="14" t="inlineStr">
        <is>
          <t>Pueden reconocerse en aplicación del principio de integralidad cuando el paciente depende de un tercero</t>
        </is>
      </c>
      <c r="K370" s="14" t="inlineStr">
        <is>
          <t>Se reconocen solo cuando el acompañante también está afiliado a la misma entidad promotora de salud</t>
        </is>
      </c>
      <c r="L370" s="14" t="inlineStr">
        <is>
          <t>b</t>
        </is>
      </c>
      <c r="M370" s="14" t="inlineStr">
        <is>
          <t>La jurisprudencia ha extendido el reconocimiento al acompañante, con fundamento en el principio de integralidad, cuando el paciente no puede desplazarse por sí mismo.</t>
        </is>
      </c>
      <c r="N370" s="14" t="inlineStr">
        <is>
          <t>La opción a) desconoce ese desarrollo jurisprudencial y la opción c) introduce una condición de afiliación que no es el criterio aplicable.</t>
        </is>
      </c>
      <c r="O370" s="14" t="inlineStr">
        <is>
          <t>Ley 1751 de 2015, art. 8; Corte Constitucional, Sentencia T-131 de 2025</t>
        </is>
      </c>
      <c r="P370" s="14" t="inlineStr">
        <is>
          <t>SI</t>
        </is>
      </c>
      <c r="Q370" s="14" t="inlineStr">
        <is>
          <t>Media</t>
        </is>
      </c>
      <c r="R370" s="14" t="inlineStr">
        <is>
          <t>v2</t>
        </is>
      </c>
    </row>
    <row r="371" ht="68.25" customHeight="1" s="12">
      <c r="A371" s="14" t="inlineStr">
        <is>
          <t>F0370</t>
        </is>
      </c>
      <c r="B371" s="14" t="inlineStr">
        <is>
          <t>PS 2782 de 2026 - ESE 2 - HUHMP Neiva</t>
        </is>
      </c>
      <c r="C371" s="14" t="inlineStr">
        <is>
          <t>Referencia y contrarreferencia</t>
        </is>
      </c>
      <c r="D371" s="14" t="inlineStr">
        <is>
          <t>Tecnico</t>
        </is>
      </c>
      <c r="E371" s="14" t="inlineStr">
        <is>
          <t>C124</t>
        </is>
      </c>
      <c r="F371" s="14" t="inlineStr">
        <is>
          <t>Caso 124</t>
        </is>
      </c>
      <c r="G371" s="14" t="inlineStr">
        <is>
          <t>A las 03:20 ingresa por urgencias un hombre politraumatizado en un accidente de tránsito. El vehículo no tenía póliza del seguro obligatorio vigente. El paciente requiere manejo en una institución de tercer nivel que el hospital no presta. El auxiliar de la oficina de referencia pregunta a quién debe dirigir la solicitud y quién asumirá el costo, porque el conductor asegura que la familia no tiene cómo pagar.</t>
        </is>
      </c>
      <c r="H371" s="14" t="inlineStr">
        <is>
          <t>La gestión de la remisión corresponde, en primer lugar, a:</t>
        </is>
      </c>
      <c r="I371" s="14" t="inlineStr">
        <is>
          <t>La institución donde se encuentra el paciente, que debe adelantar y documentar la solicitud</t>
        </is>
      </c>
      <c r="J371" s="14" t="inlineStr">
        <is>
          <t>La familia del paciente, que debe buscar una institución con disponibilidad de camas</t>
        </is>
      </c>
      <c r="K371" s="14" t="inlineStr">
        <is>
          <t>La autoridad de tránsito, que documenta el traslado dentro del informe del accidente</t>
        </is>
      </c>
      <c r="L371" s="14" t="inlineStr">
        <is>
          <t>a</t>
        </is>
      </c>
      <c r="M371" s="14" t="inlineStr">
        <is>
          <t>La responsabilidad de gestionar la remisión recae en el prestador que tiene al paciente bajo su cuidado, con apoyo del centro regulador.</t>
        </is>
      </c>
      <c r="N371" s="14" t="inlineStr">
        <is>
          <t>Las opciones b) y c) asignan una gestión asistencial a personas o autoridades sin competencia para ello.</t>
        </is>
      </c>
      <c r="O371" s="14" t="inlineStr">
        <is>
          <t>Decreto 780 de 2016; Resolución 3047 de 2008</t>
        </is>
      </c>
      <c r="P371" s="14" t="inlineStr">
        <is>
          <t>SI</t>
        </is>
      </c>
      <c r="Q371" s="14" t="inlineStr">
        <is>
          <t>Media</t>
        </is>
      </c>
      <c r="R371" s="14" t="inlineStr">
        <is>
          <t>v2</t>
        </is>
      </c>
    </row>
    <row r="372" ht="68.25" customHeight="1" s="12">
      <c r="A372" s="14" t="inlineStr">
        <is>
          <t>F0371</t>
        </is>
      </c>
      <c r="B372" s="14" t="inlineStr">
        <is>
          <t>PS 2782 de 2026 - ESE 2 - HUHMP Neiva</t>
        </is>
      </c>
      <c r="C372" s="14" t="inlineStr">
        <is>
          <t>Referencia y contrarreferencia</t>
        </is>
      </c>
      <c r="D372" s="14" t="inlineStr">
        <is>
          <t>Tecnico</t>
        </is>
      </c>
      <c r="E372" s="14" t="inlineStr">
        <is>
          <t>C124</t>
        </is>
      </c>
      <c r="F372" s="14" t="inlineStr">
        <is>
          <t>Caso 124</t>
        </is>
      </c>
      <c r="G372" s="14" t="inlineStr">
        <is>
          <t>A las 03:20 ingresa por urgencias un hombre politraumatizado en un accidente de tránsito. El vehículo no tenía póliza del seguro obligatorio vigente. El paciente requiere manejo en una institución de tercer nivel que el hospital no presta. El auxiliar de la oficina de referencia pregunta a quién debe dirigir la solicitud y quién asumirá el costo, porque el conductor asegura que la familia no tiene cómo pagar.</t>
        </is>
      </c>
      <c r="H372" s="14" t="inlineStr">
        <is>
          <t>Al no existir póliza vigente, la atención del accidentado se financia con cargo a:</t>
        </is>
      </c>
      <c r="I372" s="14" t="inlineStr">
        <is>
          <t>El presupuesto de la institución que atiende, que luego lo incluye en su plan de saneamiento</t>
        </is>
      </c>
      <c r="J372" s="14" t="inlineStr">
        <is>
          <t>Los recursos previstos para eventos catastróficos y accidentes de tránsito que administra la ADRES</t>
        </is>
      </c>
      <c r="K372" s="14" t="inlineStr">
        <is>
          <t>Los recursos propios de la entidad territorial donde ocurrió el accidente de tránsito</t>
        </is>
      </c>
      <c r="L372" s="14" t="inlineStr">
        <is>
          <t>b</t>
        </is>
      </c>
      <c r="M372" s="14" t="inlineStr">
        <is>
          <t>Cuando no hay póliza, la atención de las víctimas de accidentes de tránsito se cubre con los recursos del mecanismo previsto para eventos catastróficos y accidentes de tránsito.</t>
        </is>
      </c>
      <c r="N372" s="14" t="inlineStr">
        <is>
          <t>La opción a) traslada al prestador un costo con fuente definida y la opción c) invoca una fuente que no es la aplicable a este evento.</t>
        </is>
      </c>
      <c r="O372" s="14" t="inlineStr">
        <is>
          <t>Ley 100 de 1993, art. 167; Decreto 780 de 2016</t>
        </is>
      </c>
      <c r="P372" s="14" t="inlineStr">
        <is>
          <t>SI</t>
        </is>
      </c>
      <c r="Q372" s="14" t="inlineStr">
        <is>
          <t>Media</t>
        </is>
      </c>
      <c r="R372" s="14" t="inlineStr">
        <is>
          <t>v2</t>
        </is>
      </c>
    </row>
    <row r="373" ht="68.25" customHeight="1" s="12">
      <c r="A373" s="14" t="inlineStr">
        <is>
          <t>F0372</t>
        </is>
      </c>
      <c r="B373" s="14" t="inlineStr">
        <is>
          <t>PS 2782 de 2026 - ESE 2 - HUHMP Neiva</t>
        </is>
      </c>
      <c r="C373" s="14" t="inlineStr">
        <is>
          <t>Referencia y contrarreferencia</t>
        </is>
      </c>
      <c r="D373" s="14" t="inlineStr">
        <is>
          <t>Tecnico</t>
        </is>
      </c>
      <c r="E373" s="14" t="inlineStr">
        <is>
          <t>C124</t>
        </is>
      </c>
      <c r="F373" s="14" t="inlineStr">
        <is>
          <t>Caso 124</t>
        </is>
      </c>
      <c r="G373" s="14" t="inlineStr">
        <is>
          <t>A las 03:20 ingresa por urgencias un hombre politraumatizado en un accidente de tránsito. El vehículo no tenía póliza del seguro obligatorio vigente. El paciente requiere manejo en una institución de tercer nivel que el hospital no presta. El auxiliar de la oficina de referencia pregunta a quién debe dirigir la solicitud y quién asumirá el costo, porque el conductor asegura que la familia no tiene cómo pagar.</t>
        </is>
      </c>
      <c r="H373" s="14" t="inlineStr">
        <is>
          <t>Mientras se define el responsable del pago, la conducta correcta frente al paciente es:</t>
        </is>
      </c>
      <c r="I373" s="14" t="inlineStr">
        <is>
          <t>Mantener la atención y continuar la gestión del traslado en condiciones seguras</t>
        </is>
      </c>
      <c r="J373" s="14" t="inlineStr">
        <is>
          <t>Solicitar a la familia un pagaré que respalde los costos de la atención prestada</t>
        </is>
      </c>
      <c r="K373" s="14" t="inlineStr">
        <is>
          <t>Aplazar el traslado hasta que la aseguradora confirme la cobertura del evento</t>
        </is>
      </c>
      <c r="L373" s="14" t="inlineStr">
        <is>
          <t>a</t>
        </is>
      </c>
      <c r="M373" s="14" t="inlineStr">
        <is>
          <t>La definición del pagador no puede afectar la continuidad de la atención ni la gestión del traslado.</t>
        </is>
      </c>
      <c r="N373" s="14" t="inlineStr">
        <is>
          <t>Las opciones b) y c) condicionan una atención de urgencias a una garantía económica o a una confirmación administrativa.</t>
        </is>
      </c>
      <c r="O373" s="14" t="inlineStr">
        <is>
          <t>Ley 1751 de 2015, art. 14</t>
        </is>
      </c>
      <c r="P373" s="14" t="inlineStr">
        <is>
          <t>SI</t>
        </is>
      </c>
      <c r="Q373" s="14" t="inlineStr">
        <is>
          <t>Media</t>
        </is>
      </c>
      <c r="R373" s="14" t="inlineStr">
        <is>
          <t>v2</t>
        </is>
      </c>
    </row>
    <row r="374" ht="57" customHeight="1" s="12">
      <c r="A374" s="14" t="inlineStr">
        <is>
          <t>F0373</t>
        </is>
      </c>
      <c r="B374" s="14" t="inlineStr">
        <is>
          <t>PS 2782 de 2026 - ESE 2 - HUHMP Neiva</t>
        </is>
      </c>
      <c r="C374" s="14" t="inlineStr">
        <is>
          <t>Urgencias</t>
        </is>
      </c>
      <c r="D374" s="14" t="inlineStr">
        <is>
          <t>Profesional</t>
        </is>
      </c>
      <c r="E374" s="14" t="inlineStr">
        <is>
          <t>C125</t>
        </is>
      </c>
      <c r="F374" s="14" t="inlineStr">
        <is>
          <t>Caso 125</t>
        </is>
      </c>
      <c r="G374" s="14" t="inlineStr">
        <is>
          <t>Un paciente es clasificado como triage II a las 14:10. A las 15:05 aún no ha sido valorado por el médico, porque el único profesional del turno atiende una reanimación. El acompañante graba con su celular, exige atención inmediata y anuncia que instaurará una tutela. Usted es el coordinador del servicio y debe decidir qué hacer en ese momento.</t>
        </is>
      </c>
      <c r="H374" s="14" t="inlineStr">
        <is>
          <t>¿Cuál es su primera actuación?</t>
        </is>
      </c>
      <c r="I374" s="14" t="inlineStr">
        <is>
          <t>Reevaluar al paciente, dejar constancia de la reclasificación y su hora, y reorganizar el recurso disponible</t>
        </is>
      </c>
      <c r="J374" s="14" t="inlineStr">
        <is>
          <t>Explicar al acompañante el motivo de la espera y entregarle el formato de queja del sistema de atención al usuario</t>
        </is>
      </c>
      <c r="K374" s="14" t="inlineStr">
        <is>
          <t>Reportar el hecho por escrito al comité de seguridad del paciente al cierre del turno</t>
        </is>
      </c>
      <c r="L374" s="14" t="inlineStr">
        <is>
          <t>a</t>
        </is>
      </c>
      <c r="M374" s="14" t="inlineStr">
        <is>
          <t>Superado el tiempo previsto para la categoría, el paciente debe ser reevaluado y la actuación registrada, mientras se ajusta la disponibilidad del recurso humano.</t>
        </is>
      </c>
      <c r="N374" s="14" t="inlineStr">
        <is>
          <t>Las opciones b) y c) son actuaciones correctas en otro momento, pero ninguna atiende el riesgo clínico que está corriendo ahora el paciente.</t>
        </is>
      </c>
      <c r="O374" s="14" t="inlineStr">
        <is>
          <t>Resolución 5596 de 2015; Resolución 1995 de 1999</t>
        </is>
      </c>
      <c r="P374" s="14" t="inlineStr">
        <is>
          <t>SI</t>
        </is>
      </c>
      <c r="Q374" s="14" t="inlineStr">
        <is>
          <t>Media</t>
        </is>
      </c>
      <c r="R374" s="14" t="inlineStr">
        <is>
          <t>v2</t>
        </is>
      </c>
    </row>
    <row r="375" ht="57" customHeight="1" s="12">
      <c r="A375" s="14" t="inlineStr">
        <is>
          <t>F0374</t>
        </is>
      </c>
      <c r="B375" s="14" t="inlineStr">
        <is>
          <t>PS 2782 de 2026 - ESE 2 - HUHMP Neiva</t>
        </is>
      </c>
      <c r="C375" s="14" t="inlineStr">
        <is>
          <t>Urgencias</t>
        </is>
      </c>
      <c r="D375" s="14" t="inlineStr">
        <is>
          <t>Profesional</t>
        </is>
      </c>
      <c r="E375" s="14" t="inlineStr">
        <is>
          <t>C125</t>
        </is>
      </c>
      <c r="F375" s="14" t="inlineStr">
        <is>
          <t>Caso 125</t>
        </is>
      </c>
      <c r="G375" s="14" t="inlineStr">
        <is>
          <t>Un paciente es clasificado como triage II a las 14:10. A las 15:05 aún no ha sido valorado por el médico, porque el único profesional del turno atiende una reanimación. El acompañante graba con su celular, exige atención inmediata y anuncia que instaurará una tutela. Usted es el coordinador del servicio y debe decidir qué hacer en ese momento.</t>
        </is>
      </c>
      <c r="H375" s="14" t="inlineStr">
        <is>
          <t>La clasificación del triage en ese servicio debe ser realizada por:</t>
        </is>
      </c>
      <c r="I375" s="14" t="inlineStr">
        <is>
          <t>El profesional de la salud entrenado que designe la institución en su protocolo</t>
        </is>
      </c>
      <c r="J375" s="14" t="inlineStr">
        <is>
          <t>El médico general del turno, en todos los casos y sin posibilidad de delegación</t>
        </is>
      </c>
      <c r="K375" s="14" t="inlineStr">
        <is>
          <t>El personal de admisiones, que registra el motivo de consulta al ingreso</t>
        </is>
      </c>
      <c r="L375" s="14" t="inlineStr">
        <is>
          <t>a</t>
        </is>
      </c>
      <c r="M375" s="14" t="inlineStr">
        <is>
          <t>La clasificación corresponde a personal de salud entrenado conforme al protocolo institucional adoptado.</t>
        </is>
      </c>
      <c r="N375" s="14" t="inlineStr">
        <is>
          <t>La opción b) restringe la función más allá de la norma y la opción c) asigna una valoración clínica a personal administrativo.</t>
        </is>
      </c>
      <c r="O375" s="14" t="inlineStr">
        <is>
          <t>Resolución 5596 de 2015</t>
        </is>
      </c>
      <c r="P375" s="14" t="inlineStr">
        <is>
          <t>SI</t>
        </is>
      </c>
      <c r="Q375" s="14" t="inlineStr">
        <is>
          <t>Media</t>
        </is>
      </c>
      <c r="R375" s="14" t="inlineStr">
        <is>
          <t>v2</t>
        </is>
      </c>
    </row>
    <row r="376" ht="57" customHeight="1" s="12">
      <c r="A376" s="14" t="inlineStr">
        <is>
          <t>F0375</t>
        </is>
      </c>
      <c r="B376" s="14" t="inlineStr">
        <is>
          <t>PS 2782 de 2026 - ESE 2 - HUHMP Neiva</t>
        </is>
      </c>
      <c r="C376" s="14" t="inlineStr">
        <is>
          <t>Urgencias</t>
        </is>
      </c>
      <c r="D376" s="14" t="inlineStr">
        <is>
          <t>Profesional</t>
        </is>
      </c>
      <c r="E376" s="14" t="inlineStr">
        <is>
          <t>C125</t>
        </is>
      </c>
      <c r="F376" s="14" t="inlineStr">
        <is>
          <t>Caso 125</t>
        </is>
      </c>
      <c r="G376" s="14" t="inlineStr">
        <is>
          <t>Un paciente es clasificado como triage II a las 14:10. A las 15:05 aún no ha sido valorado por el médico, porque el único profesional del turno atiende una reanimación. El acompañante graba con su celular, exige atención inmediata y anuncia que instaurará una tutela. Usted es el coordinador del servicio y debe decidir qué hacer en ese momento.</t>
        </is>
      </c>
      <c r="H376" s="14" t="inlineStr">
        <is>
          <t>El acompañante graba dentro de la sala, donde hay otros pacientes. La conducta institucional adecuada es:</t>
        </is>
      </c>
      <c r="I376" s="14" t="inlineStr">
        <is>
          <t>Prohibir la grabación dentro de la sala y pedir al acompañante que espere afuera mientras el paciente recibe la atención</t>
        </is>
      </c>
      <c r="J376" s="14" t="inlineStr">
        <is>
          <t>Permitirla sin observación alguna, por tratarse de un espacio abierto al público</t>
        </is>
      </c>
      <c r="K376" s="14" t="inlineStr">
        <is>
          <t>Advertir sobre la intimidad de los demás pacientes y ofrecer un espacio reservado para atender el reclamo</t>
        </is>
      </c>
      <c r="L376" s="14" t="inlineStr">
        <is>
          <t>c</t>
        </is>
      </c>
      <c r="M376" s="14" t="inlineStr">
        <is>
          <t>Se protege la intimidad de terceros y se atiende el reclamo en un espacio adecuado, sin condicionar la atención del paciente.</t>
        </is>
      </c>
      <c r="N376" s="14" t="inlineStr">
        <is>
          <t>La opción a) escala el conflicto y la opción b) desatiende la protección de datos de los demás pacientes presentes.</t>
        </is>
      </c>
      <c r="O376" s="14" t="inlineStr">
        <is>
          <t>Ley 1581 de 2012; Ley 1755 de 2015</t>
        </is>
      </c>
      <c r="P376" s="14" t="inlineStr">
        <is>
          <t>SI</t>
        </is>
      </c>
      <c r="Q376" s="14" t="inlineStr">
        <is>
          <t>Media</t>
        </is>
      </c>
      <c r="R376" s="14" t="inlineStr">
        <is>
          <t>v2</t>
        </is>
      </c>
    </row>
    <row r="377" ht="57" customHeight="1" s="12">
      <c r="A377" s="14" t="inlineStr">
        <is>
          <t>F0376</t>
        </is>
      </c>
      <c r="B377" s="14" t="inlineStr">
        <is>
          <t>PS 2782 de 2026 - ESE 2 - HUHMP Neiva</t>
        </is>
      </c>
      <c r="C377" s="14" t="inlineStr">
        <is>
          <t>Urgencias</t>
        </is>
      </c>
      <c r="D377" s="14" t="inlineStr">
        <is>
          <t>Profesional</t>
        </is>
      </c>
      <c r="E377" s="14" t="inlineStr">
        <is>
          <t>C126</t>
        </is>
      </c>
      <c r="F377" s="14" t="inlineStr">
        <is>
          <t>Caso 126</t>
        </is>
      </c>
      <c r="G377" s="14" t="inlineStr">
        <is>
          <t>A las 23:40 llega a urgencias un hombre de 28 años con agitación psicomotora, traído por su familia. No hay psiquiatra de turno y el servicio de salud mental del hospital no está habilitado para hospitalización. La familia pide que lo dejen internado. El paciente se niega a recibir tratamiento y quiere retirarse. El médico considera que hay riesgo para su integridad.</t>
        </is>
      </c>
      <c r="H377" s="14" t="inlineStr">
        <is>
          <t>Frente a la solicitud de la familia y la negativa del paciente, corresponde:</t>
        </is>
      </c>
      <c r="I377" s="14" t="inlineStr">
        <is>
          <t>Atender la urgencia en salud mental, valorar el riesgo y decidir con criterio clínico documentado en la historia</t>
        </is>
      </c>
      <c r="J377" s="14" t="inlineStr">
        <is>
          <t>Acceder a la petición de la familia e internarlo, por ser quienes conocen los antecedentes del paciente</t>
        </is>
      </c>
      <c r="K377" s="14" t="inlineStr">
        <is>
          <t>Permitir el retiro inmediato del paciente, dejando constancia de que la decisión fue de él</t>
        </is>
      </c>
      <c r="L377" s="14" t="inlineStr">
        <is>
          <t>a</t>
        </is>
      </c>
      <c r="M377" s="14" t="inlineStr">
        <is>
          <t>La urgencia en salud mental integra la atención de urgencias; la valoración del riesgo, con criterio clínico y registro, es la que orienta la conducta.</t>
        </is>
      </c>
      <c r="N377" s="14" t="inlineStr">
        <is>
          <t>La opción b) sustituye el criterio clínico por la voluntad de la familia y la opción c) desatiende un riesgo ya identificado por el médico.</t>
        </is>
      </c>
      <c r="O377" s="14" t="inlineStr">
        <is>
          <t>Ley 1616 de 2013; Ley 1751 de 2015, art. 14</t>
        </is>
      </c>
      <c r="P377" s="14" t="inlineStr">
        <is>
          <t>SI</t>
        </is>
      </c>
      <c r="Q377" s="14" t="inlineStr">
        <is>
          <t>Alta</t>
        </is>
      </c>
      <c r="R377" s="14" t="inlineStr">
        <is>
          <t>v2</t>
        </is>
      </c>
    </row>
    <row r="378" ht="57" customHeight="1" s="12">
      <c r="A378" s="14" t="inlineStr">
        <is>
          <t>F0377</t>
        </is>
      </c>
      <c r="B378" s="14" t="inlineStr">
        <is>
          <t>PS 2782 de 2026 - ESE 2 - HUHMP Neiva</t>
        </is>
      </c>
      <c r="C378" s="14" t="inlineStr">
        <is>
          <t>Urgencias</t>
        </is>
      </c>
      <c r="D378" s="14" t="inlineStr">
        <is>
          <t>Profesional</t>
        </is>
      </c>
      <c r="E378" s="14" t="inlineStr">
        <is>
          <t>C126</t>
        </is>
      </c>
      <c r="F378" s="14" t="inlineStr">
        <is>
          <t>Caso 126</t>
        </is>
      </c>
      <c r="G378" s="14" t="inlineStr">
        <is>
          <t>A las 23:40 llega a urgencias un hombre de 28 años con agitación psicomotora, traído por su familia. No hay psiquiatra de turno y el servicio de salud mental del hospital no está habilitado para hospitalización. La familia pide que lo dejen internado. El paciente se niega a recibir tratamiento y quiere retirarse. El médico considera que hay riesgo para su integridad.</t>
        </is>
      </c>
      <c r="H378" s="14" t="inlineStr">
        <is>
          <t>La hospitalización involuntaria, en este contexto, procede cuando:</t>
        </is>
      </c>
      <c r="I378" s="14" t="inlineStr">
        <is>
          <t>La solicita por escrito el familiar más cercano del paciente y la institución cuenta con cama disponible en el servicio</t>
        </is>
      </c>
      <c r="J378" s="14" t="inlineStr">
        <is>
          <t>Existe indicación clínica y se cumplen las garantías legales, con registro y reevaluación periódica</t>
        </is>
      </c>
      <c r="K378" s="14" t="inlineStr">
        <is>
          <t>El paciente ha tenido episodios similares documentados en atenciones anteriores</t>
        </is>
      </c>
      <c r="L378" s="14" t="inlineStr">
        <is>
          <t>b</t>
        </is>
      </c>
      <c r="M378" s="14" t="inlineStr">
        <is>
          <t>La medida es excepcional y exige indicación clínica, garantías legales y reevaluación periódica documentada.</t>
        </is>
      </c>
      <c r="N378" s="14" t="inlineStr">
        <is>
          <t>La opción a) la hace depender de un tercero y de la logística, y la opción c) convierte el antecedente en causa suficiente.</t>
        </is>
      </c>
      <c r="O378" s="14" t="inlineStr">
        <is>
          <t>Ley 1616 de 2013; Ley 1996 de 2019</t>
        </is>
      </c>
      <c r="P378" s="14" t="inlineStr">
        <is>
          <t>SI</t>
        </is>
      </c>
      <c r="Q378" s="14" t="inlineStr">
        <is>
          <t>Alta</t>
        </is>
      </c>
      <c r="R378" s="14" t="inlineStr">
        <is>
          <t>v2</t>
        </is>
      </c>
    </row>
    <row r="379" ht="57" customHeight="1" s="12">
      <c r="A379" s="14" t="inlineStr">
        <is>
          <t>F0378</t>
        </is>
      </c>
      <c r="B379" s="14" t="inlineStr">
        <is>
          <t>PS 2782 de 2026 - ESE 2 - HUHMP Neiva</t>
        </is>
      </c>
      <c r="C379" s="14" t="inlineStr">
        <is>
          <t>Urgencias</t>
        </is>
      </c>
      <c r="D379" s="14" t="inlineStr">
        <is>
          <t>Profesional</t>
        </is>
      </c>
      <c r="E379" s="14" t="inlineStr">
        <is>
          <t>C126</t>
        </is>
      </c>
      <c r="F379" s="14" t="inlineStr">
        <is>
          <t>Caso 126</t>
        </is>
      </c>
      <c r="G379" s="14" t="inlineStr">
        <is>
          <t>A las 23:40 llega a urgencias un hombre de 28 años con agitación psicomotora, traído por su familia. No hay psiquiatra de turno y el servicio de salud mental del hospital no está habilitado para hospitalización. La familia pide que lo dejen internado. El paciente se niega a recibir tratamiento y quiere retirarse. El médico considera que hay riesgo para su integridad.</t>
        </is>
      </c>
      <c r="H379" s="14" t="inlineStr">
        <is>
          <t>El hospital no tiene habilitada la hospitalización en salud mental. Eso implica que debe:</t>
        </is>
      </c>
      <c r="I379" s="14" t="inlineStr">
        <is>
          <t>Estabilizar, gestionar la remisión a una institución habilitada y sostener la atención hasta el traslado</t>
        </is>
      </c>
      <c r="J379" s="14" t="inlineStr">
        <is>
          <t>Abstenerse de intervenir y orientar a la familia hacia una institución que sí tenga el servicio</t>
        </is>
      </c>
      <c r="K379" s="14" t="inlineStr">
        <is>
          <t>Habilitar transitoriamente una cama en observación mientras se consigue el traslado del paciente</t>
        </is>
      </c>
      <c r="L379" s="14" t="inlineStr">
        <is>
          <t>a</t>
        </is>
      </c>
      <c r="M379" s="14" t="inlineStr">
        <is>
          <t>La ausencia de un servicio habilitado no exime de la atención inicial: se estabiliza, se gestiona la remisión y se mantiene el cuidado hasta el traslado.</t>
        </is>
      </c>
      <c r="N379" s="14" t="inlineStr">
        <is>
          <t>La opción b) deja al paciente sin atención y la opción c) presta un servicio no habilitado, con las consecuencias que ello acarrea.</t>
        </is>
      </c>
      <c r="O379" s="14" t="inlineStr">
        <is>
          <t>Resolución 3100 de 2019; Ley 1751 de 2015, art. 14</t>
        </is>
      </c>
      <c r="P379" s="14" t="inlineStr">
        <is>
          <t>SI</t>
        </is>
      </c>
      <c r="Q379" s="14" t="inlineStr">
        <is>
          <t>Alta</t>
        </is>
      </c>
      <c r="R379" s="14" t="inlineStr">
        <is>
          <t>v2</t>
        </is>
      </c>
    </row>
    <row r="380" ht="57" customHeight="1" s="12">
      <c r="A380" s="14" t="inlineStr">
        <is>
          <t>F0379</t>
        </is>
      </c>
      <c r="B380" s="14" t="inlineStr">
        <is>
          <t>PS 2782 de 2026 - ESE 2 - HUHMP Neiva</t>
        </is>
      </c>
      <c r="C380" s="14" t="inlineStr">
        <is>
          <t>Referencia y contrarreferencia</t>
        </is>
      </c>
      <c r="D380" s="14" t="inlineStr">
        <is>
          <t>Profesional</t>
        </is>
      </c>
      <c r="E380" s="14" t="inlineStr">
        <is>
          <t>C127</t>
        </is>
      </c>
      <c r="F380" s="14" t="inlineStr">
        <is>
          <t>Caso 127</t>
        </is>
      </c>
      <c r="G380" s="14" t="inlineStr">
        <is>
          <t>El hospital recibe en un mes catorce remisiones de un municipio vecino por cuadros que, según la auditoría interna, podían resolverse en el nivel remitente con los servicios que tiene habilitados. El gerente del hospital remitente sostiene que remite por falta de personal en el turno de la noche. La oficina de referencia pregunta si puede devolver las próximas solicitudes.</t>
        </is>
      </c>
      <c r="H380" s="14" t="inlineStr">
        <is>
          <t>¿Qué debe hacer el hospital receptor con las próximas remisiones de ese prestador?</t>
        </is>
      </c>
      <c r="I380" s="14" t="inlineStr">
        <is>
          <t>Evaluarlas caso por caso y aceptar las que lo requieran, con independencia del patrón identificado</t>
        </is>
      </c>
      <c r="J380" s="14" t="inlineStr">
        <is>
          <t>Devolverlas de plano y notificar al remitente que debe resolver en su nivel de complejidad</t>
        </is>
      </c>
      <c r="K380" s="14" t="inlineStr">
        <is>
          <t>Condicionar la aceptación a que el remitente acredite la ausencia de personal esa noche</t>
        </is>
      </c>
      <c r="L380" s="14" t="inlineStr">
        <is>
          <t>a</t>
        </is>
      </c>
      <c r="M380" s="14" t="inlineStr">
        <is>
          <t>La pertinencia se evalúa frente a la condición clínica de cada paciente; un patrón institucional no autoriza a rechazar solicitudes en bloque.</t>
        </is>
      </c>
      <c r="N380" s="14" t="inlineStr">
        <is>
          <t>Las opciones b) y c) trasladan al paciente las consecuencias de un problema de organización entre prestadores.</t>
        </is>
      </c>
      <c r="O380" s="14" t="inlineStr">
        <is>
          <t>Resolución 3047 de 2008; Ley 1438 de 2011</t>
        </is>
      </c>
      <c r="P380" s="14" t="inlineStr">
        <is>
          <t>SI</t>
        </is>
      </c>
      <c r="Q380" s="14" t="inlineStr">
        <is>
          <t>Media</t>
        </is>
      </c>
      <c r="R380" s="14" t="inlineStr">
        <is>
          <t>v2</t>
        </is>
      </c>
    </row>
    <row r="381" ht="57" customHeight="1" s="12">
      <c r="A381" s="14" t="inlineStr">
        <is>
          <t>F0380</t>
        </is>
      </c>
      <c r="B381" s="14" t="inlineStr">
        <is>
          <t>PS 2782 de 2026 - ESE 2 - HUHMP Neiva</t>
        </is>
      </c>
      <c r="C381" s="14" t="inlineStr">
        <is>
          <t>Referencia y contrarreferencia</t>
        </is>
      </c>
      <c r="D381" s="14" t="inlineStr">
        <is>
          <t>Profesional</t>
        </is>
      </c>
      <c r="E381" s="14" t="inlineStr">
        <is>
          <t>C127</t>
        </is>
      </c>
      <c r="F381" s="14" t="inlineStr">
        <is>
          <t>Caso 127</t>
        </is>
      </c>
      <c r="G381" s="14" t="inlineStr">
        <is>
          <t>El hospital recibe en un mes catorce remisiones de un municipio vecino por cuadros que, según la auditoría interna, podían resolverse en el nivel remitente con los servicios que tiene habilitados. El gerente del hospital remitente sostiene que remite por falta de personal en el turno de la noche. La oficina de referencia pregunta si puede devolver las próximas solicitudes.</t>
        </is>
      </c>
      <c r="H381" s="14" t="inlineStr">
        <is>
          <t>El patrón detectado debe gestionarse mediante:</t>
        </is>
      </c>
      <c r="I381" s="14" t="inlineStr">
        <is>
          <t>El reporte a la entidad territorial y la retroalimentación formal al prestador remitente</t>
        </is>
      </c>
      <c r="J381" s="14" t="inlineStr">
        <is>
          <t>La suspensión del acuerdo de voluntades con la entidad responsable de pago</t>
        </is>
      </c>
      <c r="K381" s="14" t="inlineStr">
        <is>
          <t>La denuncia penal contra el gerente de la institución que remite los pacientes</t>
        </is>
      </c>
      <c r="L381" s="14" t="inlineStr">
        <is>
          <t>a</t>
        </is>
      </c>
      <c r="M381" s="14" t="inlineStr">
        <is>
          <t>La falta de capacidad resolutiva en la red se gestiona informando a la entidad territorial y retroalimentando al prestador, que es quien debe corregirla.</t>
        </is>
      </c>
      <c r="N381" s="14" t="inlineStr">
        <is>
          <t>La opción b) afecta la prestación a los usuarios y la opción c) usa una vía que no corresponde a una falla de organización de la red.</t>
        </is>
      </c>
      <c r="O381" s="14" t="inlineStr">
        <is>
          <t>Ley 715 de 2001; Ley 1438 de 2011</t>
        </is>
      </c>
      <c r="P381" s="14" t="inlineStr">
        <is>
          <t>SI</t>
        </is>
      </c>
      <c r="Q381" s="14" t="inlineStr">
        <is>
          <t>Media</t>
        </is>
      </c>
      <c r="R381" s="14" t="inlineStr">
        <is>
          <t>v2</t>
        </is>
      </c>
    </row>
    <row r="382" ht="57" customHeight="1" s="12">
      <c r="A382" s="14" t="inlineStr">
        <is>
          <t>F0381</t>
        </is>
      </c>
      <c r="B382" s="14" t="inlineStr">
        <is>
          <t>PS 2782 de 2026 - ESE 2 - HUHMP Neiva</t>
        </is>
      </c>
      <c r="C382" s="14" t="inlineStr">
        <is>
          <t>Referencia y contrarreferencia</t>
        </is>
      </c>
      <c r="D382" s="14" t="inlineStr">
        <is>
          <t>Profesional</t>
        </is>
      </c>
      <c r="E382" s="14" t="inlineStr">
        <is>
          <t>C127</t>
        </is>
      </c>
      <c r="F382" s="14" t="inlineStr">
        <is>
          <t>Caso 127</t>
        </is>
      </c>
      <c r="G382" s="14" t="inlineStr">
        <is>
          <t>El hospital recibe en un mes catorce remisiones de un municipio vecino por cuadros que, según la auditoría interna, podían resolverse en el nivel remitente con los servicios que tiene habilitados. El gerente del hospital remitente sostiene que remite por falta de personal en el turno de la noche. La oficina de referencia pregunta si puede devolver las próximas solicitudes.</t>
        </is>
      </c>
      <c r="H382" s="14" t="inlineStr">
        <is>
          <t>La pertinencia de una remisión se evalúa frente a:</t>
        </is>
      </c>
      <c r="I382" s="14" t="inlineStr">
        <is>
          <t>La capacidad resolutiva habilitada del remitente y la condición clínica del paciente</t>
        </is>
      </c>
      <c r="J382" s="14" t="inlineStr">
        <is>
          <t>La disponibilidad de camas del receptor en el momento de recibir la solicitud</t>
        </is>
      </c>
      <c r="K382" s="14" t="inlineStr">
        <is>
          <t>El municipio de residencia del usuario y su entidad responsable de pago</t>
        </is>
      </c>
      <c r="L382" s="14" t="inlineStr">
        <is>
          <t>a</t>
        </is>
      </c>
      <c r="M382" s="14" t="inlineStr">
        <is>
          <t>La pertinencia se define comparando lo que el remitente tiene habilitado con lo que el paciente requiere.</t>
        </is>
      </c>
      <c r="N382" s="14" t="inlineStr">
        <is>
          <t>Las opciones b) y c) usan criterios logísticos o administrativos que no determinan la pertinencia clínica.</t>
        </is>
      </c>
      <c r="O382" s="14" t="inlineStr">
        <is>
          <t>Resolución 3047 de 2008</t>
        </is>
      </c>
      <c r="P382" s="14" t="inlineStr">
        <is>
          <t>SI</t>
        </is>
      </c>
      <c r="Q382" s="14" t="inlineStr">
        <is>
          <t>Media</t>
        </is>
      </c>
      <c r="R382" s="14" t="inlineStr">
        <is>
          <t>v2</t>
        </is>
      </c>
    </row>
    <row r="383" ht="68.25" customHeight="1" s="12">
      <c r="A383" s="14" t="inlineStr">
        <is>
          <t>F0382</t>
        </is>
      </c>
      <c r="B383" s="14" t="inlineStr">
        <is>
          <t>PS 2782 de 2026 - ESE 2 - HUHMP Neiva</t>
        </is>
      </c>
      <c r="C383" s="14" t="inlineStr">
        <is>
          <t>Referencia y contrarreferencia</t>
        </is>
      </c>
      <c r="D383" s="14" t="inlineStr">
        <is>
          <t>Tecnico</t>
        </is>
      </c>
      <c r="E383" s="14" t="inlineStr">
        <is>
          <t>C128</t>
        </is>
      </c>
      <c r="F383" s="14" t="inlineStr">
        <is>
          <t>Caso 128</t>
        </is>
      </c>
      <c r="G383" s="14" t="inlineStr">
        <is>
          <t>Un paciente remitido desde un municipio a dos horas de Neiva egresa el viernes a las 18:00, después de nueve días de hospitalización. Queda con tres medicamentos nuevos, curaciones cada tercer día y un control en quince días. El técnico de la oficina de referencia prepara los documentos de salida y el prestador de origen no ha recibido ninguna información durante la hospitalización.</t>
        </is>
      </c>
      <c r="H383" s="14" t="inlineStr">
        <is>
          <t>La contrarreferencia que debe enviarse al prestador de origen contiene:</t>
        </is>
      </c>
      <c r="I383" s="14" t="inlineStr">
        <is>
          <t>Los hallazgos, el manejo realizado y las recomendaciones de seguimiento del paciente</t>
        </is>
      </c>
      <c r="J383" s="14" t="inlineStr">
        <is>
          <t>La copia de la factura y la relación de los insumos utilizados durante la estancia</t>
        </is>
      </c>
      <c r="K383" s="14" t="inlineStr">
        <is>
          <t>El aviso del egreso y la fecha en que el paciente debe asistir a su próximo control</t>
        </is>
      </c>
      <c r="L383" s="14" t="inlineStr">
        <is>
          <t>a</t>
        </is>
      </c>
      <c r="M383" s="14" t="inlineStr">
        <is>
          <t>La contrarreferencia es la respuesta clínica al remitente e incluye hallazgos, manejo y recomendaciones para la continuidad del cuidado.</t>
        </is>
      </c>
      <c r="N383" s="14" t="inlineStr">
        <is>
          <t>La opción b) corresponde al proceso de facturación y la opción c) informa el egreso sin entregar la información que permite continuar el cuidado.</t>
        </is>
      </c>
      <c r="O383" s="14" t="inlineStr">
        <is>
          <t>Resolución 3047 de 2008; Resolución 1995 de 1999</t>
        </is>
      </c>
      <c r="P383" s="14" t="inlineStr">
        <is>
          <t>SI</t>
        </is>
      </c>
      <c r="Q383" s="14" t="inlineStr">
        <is>
          <t>Basica</t>
        </is>
      </c>
      <c r="R383" s="14" t="inlineStr">
        <is>
          <t>v2</t>
        </is>
      </c>
    </row>
    <row r="384" ht="68.25" customHeight="1" s="12">
      <c r="A384" s="14" t="inlineStr">
        <is>
          <t>F0383</t>
        </is>
      </c>
      <c r="B384" s="14" t="inlineStr">
        <is>
          <t>PS 2782 de 2026 - ESE 2 - HUHMP Neiva</t>
        </is>
      </c>
      <c r="C384" s="14" t="inlineStr">
        <is>
          <t>Referencia y contrarreferencia</t>
        </is>
      </c>
      <c r="D384" s="14" t="inlineStr">
        <is>
          <t>Tecnico</t>
        </is>
      </c>
      <c r="E384" s="14" t="inlineStr">
        <is>
          <t>C128</t>
        </is>
      </c>
      <c r="F384" s="14" t="inlineStr">
        <is>
          <t>Caso 128</t>
        </is>
      </c>
      <c r="G384" s="14" t="inlineStr">
        <is>
          <t>Un paciente remitido desde un municipio a dos horas de Neiva egresa el viernes a las 18:00, después de nueve días de hospitalización. Queda con tres medicamentos nuevos, curaciones cada tercer día y un control en quince días. El técnico de la oficina de referencia prepara los documentos de salida y el prestador de origen no ha recibido ninguna información durante la hospitalización.</t>
        </is>
      </c>
      <c r="H384" s="14" t="inlineStr">
        <is>
          <t>El plan de egreso que se entrega al paciente debe precisar:</t>
        </is>
      </c>
      <c r="I384" s="14" t="inlineStr">
        <is>
          <t>Las indicaciones, los signos de alarma, los controles y el responsable del seguimiento</t>
        </is>
      </c>
      <c r="J384" s="14" t="inlineStr">
        <is>
          <t>El nombre del médico tratante y el número de la habitación donde estuvo internado</t>
        </is>
      </c>
      <c r="K384" s="14" t="inlineStr">
        <is>
          <t>La fórmula de los medicamentos y el horario de atención de la consulta externa</t>
        </is>
      </c>
      <c r="L384" s="14" t="inlineStr">
        <is>
          <t>a</t>
        </is>
      </c>
      <c r="M384" s="14" t="inlineStr">
        <is>
          <t>El egreso seguro exige indicaciones claras, signos de alarma, controles y un responsable identificado del seguimiento.</t>
        </is>
      </c>
      <c r="N384" s="14" t="inlineStr">
        <is>
          <t>Las opciones b) y c) entregan datos sueltos que no constituyen un plan de cuidado en casa.</t>
        </is>
      </c>
      <c r="O384" s="14" t="inlineStr">
        <is>
          <t>Resolución 1995 de 1999; SOGCS, Decreto 780 de 2016</t>
        </is>
      </c>
      <c r="P384" s="14" t="inlineStr">
        <is>
          <t>SI</t>
        </is>
      </c>
      <c r="Q384" s="14" t="inlineStr">
        <is>
          <t>Basica</t>
        </is>
      </c>
      <c r="R384" s="14" t="inlineStr">
        <is>
          <t>v2</t>
        </is>
      </c>
    </row>
    <row r="385" ht="68.25" customHeight="1" s="12">
      <c r="A385" s="14" t="inlineStr">
        <is>
          <t>F0384</t>
        </is>
      </c>
      <c r="B385" s="14" t="inlineStr">
        <is>
          <t>PS 2782 de 2026 - ESE 2 - HUHMP Neiva</t>
        </is>
      </c>
      <c r="C385" s="14" t="inlineStr">
        <is>
          <t>Referencia y contrarreferencia</t>
        </is>
      </c>
      <c r="D385" s="14" t="inlineStr">
        <is>
          <t>Tecnico</t>
        </is>
      </c>
      <c r="E385" s="14" t="inlineStr">
        <is>
          <t>C128</t>
        </is>
      </c>
      <c r="F385" s="14" t="inlineStr">
        <is>
          <t>Caso 128</t>
        </is>
      </c>
      <c r="G385" s="14" t="inlineStr">
        <is>
          <t>Un paciente remitido desde un municipio a dos horas de Neiva egresa el viernes a las 18:00, después de nueve días de hospitalización. Queda con tres medicamentos nuevos, curaciones cada tercer día y un control en quince días. El técnico de la oficina de referencia prepara los documentos de salida y el prestador de origen no ha recibido ninguna información durante la hospitalización.</t>
        </is>
      </c>
      <c r="H385" s="14" t="inlineStr">
        <is>
          <t>Como el paciente vive a dos horas y requiere curaciones cada tercer día, corresponde:</t>
        </is>
      </c>
      <c r="I385" s="14" t="inlineStr">
        <is>
          <t>Coordinar con la red y el asegurador el seguimiento en su municipio antes del egreso</t>
        </is>
      </c>
      <c r="J385" s="14" t="inlineStr">
        <is>
          <t>Programar todas las curaciones en el hospital universitario y entregar las citas impresas</t>
        </is>
      </c>
      <c r="K385" s="14" t="inlineStr">
        <is>
          <t>Indicar a la familia que acuda al hospital más cercano cuando lo considere necesario</t>
        </is>
      </c>
      <c r="L385" s="14" t="inlineStr">
        <is>
          <t>a</t>
        </is>
      </c>
      <c r="M385" s="14" t="inlineStr">
        <is>
          <t>El egreso seguro exige coordinar la continuidad en el lugar de residencia del paciente antes de darlo de alta.</t>
        </is>
      </c>
      <c r="N385" s="14" t="inlineStr">
        <is>
          <t>La opción b) impone desplazamientos innecesarios y la opción c) deja la continuidad a criterio de la familia.</t>
        </is>
      </c>
      <c r="O385" s="14" t="inlineStr">
        <is>
          <t>Ley 1438 de 2011; Resolución 3280 de 2018</t>
        </is>
      </c>
      <c r="P385" s="14" t="inlineStr">
        <is>
          <t>SI</t>
        </is>
      </c>
      <c r="Q385" s="14" t="inlineStr">
        <is>
          <t>Basica</t>
        </is>
      </c>
      <c r="R385" s="14" t="inlineStr">
        <is>
          <t>v2</t>
        </is>
      </c>
    </row>
    <row r="386" ht="68.25" customHeight="1" s="12">
      <c r="A386" s="14" t="inlineStr">
        <is>
          <t>F0385</t>
        </is>
      </c>
      <c r="B386" s="14" t="inlineStr">
        <is>
          <t>PS 2782 de 2026 - ESE 2 - HUHMP Neiva</t>
        </is>
      </c>
      <c r="C386" s="14" t="inlineStr">
        <is>
          <t>Referencia y contrarreferencia</t>
        </is>
      </c>
      <c r="D386" s="14" t="inlineStr">
        <is>
          <t>Profesional</t>
        </is>
      </c>
      <c r="E386" s="14" t="inlineStr">
        <is>
          <t>C129</t>
        </is>
      </c>
      <c r="F386" s="14" t="inlineStr">
        <is>
          <t>Caso 129</t>
        </is>
      </c>
      <c r="G386" s="14" t="inlineStr">
        <is>
          <t>Un hospital de primer nivel solicita al hospital universitario, a las 02:15, la recepción de un paciente con sangrado digestivo activo y signos de choque. El médico del hospital universitario responde por teléfono que no hay cama en unidad de cuidados intensivos y no deja registro. Cuatro horas después el paciente fallece en el hospital remitente. La familia solicita copia de las gestiones.</t>
        </is>
      </c>
      <c r="H386" s="14" t="inlineStr">
        <is>
          <t>El principal reproche institucional a la respuesta telefónica es que:</t>
        </is>
      </c>
      <c r="I386" s="14" t="inlineStr">
        <is>
          <t>No quedó documentada, de modo que no hay trazabilidad de la negativa ni de su motivo</t>
        </is>
      </c>
      <c r="J386" s="14" t="inlineStr">
        <is>
          <t>Fue dada por un médico y no por el coordinador, conforme al conducto regular del servicio</t>
        </is>
      </c>
      <c r="K386" s="14" t="inlineStr">
        <is>
          <t>Se dio antes de consultar la disponibilidad de camas en los demás servicios del hospital</t>
        </is>
      </c>
      <c r="L386" s="14" t="inlineStr">
        <is>
          <t>a</t>
        </is>
      </c>
      <c r="M386" s="14" t="inlineStr">
        <is>
          <t>Toda negativa debe quedar documentada con su motivo y su hora; sin registro no hay trazabilidad ni defensa institucional posible.</t>
        </is>
      </c>
      <c r="N386" s="14" t="inlineStr">
        <is>
          <t>La opción b) discute quién responde, cuando el problema es la ausencia de registro; la opción c) supone una verificación que no sustituye la documentación.</t>
        </is>
      </c>
      <c r="O386" s="14" t="inlineStr">
        <is>
          <t>Resolución 1220 de 2010; Resolución 3047 de 2008</t>
        </is>
      </c>
      <c r="P386" s="14" t="inlineStr">
        <is>
          <t>SI</t>
        </is>
      </c>
      <c r="Q386" s="14" t="inlineStr">
        <is>
          <t>Alta</t>
        </is>
      </c>
      <c r="R386" s="14" t="inlineStr">
        <is>
          <t>v2</t>
        </is>
      </c>
    </row>
    <row r="387" ht="68.25" customHeight="1" s="12">
      <c r="A387" s="14" t="inlineStr">
        <is>
          <t>F0386</t>
        </is>
      </c>
      <c r="B387" s="14" t="inlineStr">
        <is>
          <t>PS 2782 de 2026 - ESE 2 - HUHMP Neiva</t>
        </is>
      </c>
      <c r="C387" s="14" t="inlineStr">
        <is>
          <t>Referencia y contrarreferencia</t>
        </is>
      </c>
      <c r="D387" s="14" t="inlineStr">
        <is>
          <t>Profesional</t>
        </is>
      </c>
      <c r="E387" s="14" t="inlineStr">
        <is>
          <t>C129</t>
        </is>
      </c>
      <c r="F387" s="14" t="inlineStr">
        <is>
          <t>Caso 129</t>
        </is>
      </c>
      <c r="G387" s="14" t="inlineStr">
        <is>
          <t>Un hospital de primer nivel solicita al hospital universitario, a las 02:15, la recepción de un paciente con sangrado digestivo activo y signos de choque. El médico del hospital universitario responde por teléfono que no hay cama en unidad de cuidados intensivos y no deja registro. Cuatro horas después el paciente fallece en el hospital remitente. La familia solicita copia de las gestiones.</t>
        </is>
      </c>
      <c r="H387" s="14" t="inlineStr">
        <is>
          <t>Ante la negativa del receptor, el hospital remitente debió:</t>
        </is>
      </c>
      <c r="I387" s="14" t="inlineStr">
        <is>
          <t>Documentar la negativa, informar al centro regulador y continuar la búsqueda de destino asistencial</t>
        </is>
      </c>
      <c r="J387" s="14" t="inlineStr">
        <is>
          <t>Esperar la respuesta escrita del receptor, dejando constancia de la solicitud reiterada</t>
        </is>
      </c>
      <c r="K387" s="14" t="inlineStr">
        <is>
          <t>Remitir al paciente sin aceptación previa, por tratarse de una situación de riesgo vital</t>
        </is>
      </c>
      <c r="L387" s="14" t="inlineStr">
        <is>
          <t>a</t>
        </is>
      </c>
      <c r="M387" s="14" t="inlineStr">
        <is>
          <t>Documentada la negativa, se informa al centro regulador y se mantiene la búsqueda de un destino, sin interrumpir la atención del paciente.</t>
        </is>
      </c>
      <c r="N387" s="14" t="inlineStr">
        <is>
          <t>La opción b) paraliza la gestión y la opción c) traslada sin coordinación, exponiendo al paciente durante el trayecto.</t>
        </is>
      </c>
      <c r="O387" s="14" t="inlineStr">
        <is>
          <t>Resolución 1220 de 2010</t>
        </is>
      </c>
      <c r="P387" s="14" t="inlineStr">
        <is>
          <t>SI</t>
        </is>
      </c>
      <c r="Q387" s="14" t="inlineStr">
        <is>
          <t>Alta</t>
        </is>
      </c>
      <c r="R387" s="14" t="inlineStr">
        <is>
          <t>v2</t>
        </is>
      </c>
    </row>
    <row r="388" ht="68.25" customHeight="1" s="12">
      <c r="A388" s="14" t="inlineStr">
        <is>
          <t>F0387</t>
        </is>
      </c>
      <c r="B388" s="14" t="inlineStr">
        <is>
          <t>PS 2782 de 2026 - ESE 2 - HUHMP Neiva</t>
        </is>
      </c>
      <c r="C388" s="14" t="inlineStr">
        <is>
          <t>Referencia y contrarreferencia</t>
        </is>
      </c>
      <c r="D388" s="14" t="inlineStr">
        <is>
          <t>Profesional</t>
        </is>
      </c>
      <c r="E388" s="14" t="inlineStr">
        <is>
          <t>C129</t>
        </is>
      </c>
      <c r="F388" s="14" t="inlineStr">
        <is>
          <t>Caso 129</t>
        </is>
      </c>
      <c r="G388" s="14" t="inlineStr">
        <is>
          <t>Un hospital de primer nivel solicita al hospital universitario, a las 02:15, la recepción de un paciente con sangrado digestivo activo y signos de choque. El médico del hospital universitario responde por teléfono que no hay cama en unidad de cuidados intensivos y no deja registro. Cuatro horas después el paciente fallece en el hospital remitente. La familia solicita copia de las gestiones.</t>
        </is>
      </c>
      <c r="H388" s="14" t="inlineStr">
        <is>
          <t>La familia pide copia de las gestiones realizadas. El hospital debe:</t>
        </is>
      </c>
      <c r="I388" s="14" t="inlineStr">
        <is>
          <t>Entregar la información de las gestiones administrativas del caso, protegiendo los datos de terceros</t>
        </is>
      </c>
      <c r="J388" s="14" t="inlineStr">
        <is>
          <t>Negar la entrega hasta que un juez lo ordene mediante providencia debidamente notificada</t>
        </is>
      </c>
      <c r="K388" s="14" t="inlineStr">
        <is>
          <t>Remitir la solicitud a la EPS del paciente por tratarse de información de su competencia</t>
        </is>
      </c>
      <c r="L388" s="14" t="inlineStr">
        <is>
          <t>a</t>
        </is>
      </c>
      <c r="M388" s="14" t="inlineStr">
        <is>
          <t>La información sobre las gestiones del caso se entrega a quien acredite interés legítimo, con protección de los datos de otras personas.</t>
        </is>
      </c>
      <c r="N388" s="14" t="inlineStr">
        <is>
          <t>La opción b) exige una orden judicial que la ley no requiere aquí y la opción c) traslada una competencia que es del prestador.</t>
        </is>
      </c>
      <c r="O388" s="14" t="inlineStr">
        <is>
          <t>Ley 1755 de 2015; Ley 1581 de 2012</t>
        </is>
      </c>
      <c r="P388" s="14" t="inlineStr">
        <is>
          <t>SI</t>
        </is>
      </c>
      <c r="Q388" s="14" t="inlineStr">
        <is>
          <t>Alta</t>
        </is>
      </c>
      <c r="R388" s="14" t="inlineStr">
        <is>
          <t>v2</t>
        </is>
      </c>
    </row>
    <row r="389" ht="68.25" customHeight="1" s="12">
      <c r="A389" s="14" t="inlineStr">
        <is>
          <t>F0388</t>
        </is>
      </c>
      <c r="B389" s="14" t="inlineStr">
        <is>
          <t>PS 2782 de 2026 - ESE 2 - HUHMP Neiva</t>
        </is>
      </c>
      <c r="C389" s="14" t="inlineStr">
        <is>
          <t>Urgencias</t>
        </is>
      </c>
      <c r="D389" s="14" t="inlineStr">
        <is>
          <t>Profesional</t>
        </is>
      </c>
      <c r="E389" s="14" t="inlineStr">
        <is>
          <t>C130</t>
        </is>
      </c>
      <c r="F389" s="14" t="inlineStr">
        <is>
          <t>Caso 130</t>
        </is>
      </c>
      <c r="G389" s="14" t="inlineStr">
        <is>
          <t>Una gestante de 36 semanas, remitida desde un municipio sin control prenatal registrado, llega a las 05:50 con cefalea intensa, visión borrosa y presión arterial de 168/110. El hospital tiene habilitados los servicios obstétricos. La auxiliar de admisiones pide primero la autorización de la EPS porque la usuaria aparece con afiliación suspendida en la consulta del sistema.</t>
        </is>
      </c>
      <c r="H389" s="14" t="inlineStr">
        <is>
          <t>La conducta correcta al ingreso es:</t>
        </is>
      </c>
      <c r="I389" s="14" t="inlineStr">
        <is>
          <t>Atender de inmediato y activar la ruta materno perinatal, resolviendo el aseguramiento en paralelo</t>
        </is>
      </c>
      <c r="J389" s="14" t="inlineStr">
        <is>
          <t>Verificar el estado de la afiliación y solicitar la autorización antes de iniciar el manejo clínico</t>
        </is>
      </c>
      <c r="K389" s="14" t="inlineStr">
        <is>
          <t>Remitir a la usuaria a la institución con la que su asegurador tenga contrato vigente</t>
        </is>
      </c>
      <c r="L389" s="14" t="inlineStr">
        <is>
          <t>a</t>
        </is>
      </c>
      <c r="M389" s="14" t="inlineStr">
        <is>
          <t>El cuadro descrito es una urgencia obstétrica: se atiende de inmediato y se activa la ruta, mientras el aseguramiento se gestiona por separado.</t>
        </is>
      </c>
      <c r="N389" s="14" t="inlineStr">
        <is>
          <t>Las opciones b) y c) anteponen un trámite administrativo o contractual a una atención que no admite condicionamientos.</t>
        </is>
      </c>
      <c r="O389" s="14" t="inlineStr">
        <is>
          <t>Ley 1751 de 2015, art. 14; Resolución 3280 de 2018</t>
        </is>
      </c>
      <c r="P389" s="14" t="inlineStr">
        <is>
          <t>SI</t>
        </is>
      </c>
      <c r="Q389" s="14" t="inlineStr">
        <is>
          <t>Media</t>
        </is>
      </c>
      <c r="R389" s="14" t="inlineStr">
        <is>
          <t>v2</t>
        </is>
      </c>
    </row>
    <row r="390" ht="68.25" customHeight="1" s="12">
      <c r="A390" s="14" t="inlineStr">
        <is>
          <t>F0389</t>
        </is>
      </c>
      <c r="B390" s="14" t="inlineStr">
        <is>
          <t>PS 2782 de 2026 - ESE 2 - HUHMP Neiva</t>
        </is>
      </c>
      <c r="C390" s="14" t="inlineStr">
        <is>
          <t>Urgencias</t>
        </is>
      </c>
      <c r="D390" s="14" t="inlineStr">
        <is>
          <t>Profesional</t>
        </is>
      </c>
      <c r="E390" s="14" t="inlineStr">
        <is>
          <t>C130</t>
        </is>
      </c>
      <c r="F390" s="14" t="inlineStr">
        <is>
          <t>Caso 130</t>
        </is>
      </c>
      <c r="G390" s="14" t="inlineStr">
        <is>
          <t>Una gestante de 36 semanas, remitida desde un municipio sin control prenatal registrado, llega a las 05:50 con cefalea intensa, visión borrosa y presión arterial de 168/110. El hospital tiene habilitados los servicios obstétricos. La auxiliar de admisiones pide primero la autorización de la EPS porque la usuaria aparece con afiliación suspendida en la consulta del sistema.</t>
        </is>
      </c>
      <c r="H390" s="14" t="inlineStr">
        <is>
          <t>El caso debe notificarse al sistema de vigilancia en salud pública porque configura:</t>
        </is>
      </c>
      <c r="I390" s="14" t="inlineStr">
        <is>
          <t>Un evento de interés en salud pública por morbilidad materna extrema, según el protocolo</t>
        </is>
      </c>
      <c r="J390" s="14" t="inlineStr">
        <is>
          <t>Un evento adverso, por tratarse de un daño documentado durante la hospitalización</t>
        </is>
      </c>
      <c r="K390" s="14" t="inlineStr">
        <is>
          <t>Un incidente de seguridad del paciente sin daño, por la demora en la admisión</t>
        </is>
      </c>
      <c r="L390" s="14" t="inlineStr">
        <is>
          <t>a</t>
        </is>
      </c>
      <c r="M390" s="14" t="inlineStr">
        <is>
          <t>La morbilidad materna extrema es un evento de interés en salud pública sujeto a notificación conforme al protocolo del Instituto Nacional de Salud.</t>
        </is>
      </c>
      <c r="N390" s="14" t="inlineStr">
        <is>
          <t>Las opciones b) y c) califican el hecho con categorías de seguridad del paciente que no corresponden al origen del cuadro clínico.</t>
        </is>
      </c>
      <c r="O390" s="14" t="inlineStr">
        <is>
          <t>Decreto 780 de 2016; protocolo de vigilancia del INS</t>
        </is>
      </c>
      <c r="P390" s="14" t="inlineStr">
        <is>
          <t>SI</t>
        </is>
      </c>
      <c r="Q390" s="14" t="inlineStr">
        <is>
          <t>Media</t>
        </is>
      </c>
      <c r="R390" s="14" t="inlineStr">
        <is>
          <t>v2</t>
        </is>
      </c>
    </row>
    <row r="391" ht="68.25" customHeight="1" s="12">
      <c r="A391" s="14" t="inlineStr">
        <is>
          <t>F0390</t>
        </is>
      </c>
      <c r="B391" s="14" t="inlineStr">
        <is>
          <t>PS 2782 de 2026 - ESE 2 - HUHMP Neiva</t>
        </is>
      </c>
      <c r="C391" s="14" t="inlineStr">
        <is>
          <t>Urgencias</t>
        </is>
      </c>
      <c r="D391" s="14" t="inlineStr">
        <is>
          <t>Profesional</t>
        </is>
      </c>
      <c r="E391" s="14" t="inlineStr">
        <is>
          <t>C130</t>
        </is>
      </c>
      <c r="F391" s="14" t="inlineStr">
        <is>
          <t>Caso 130</t>
        </is>
      </c>
      <c r="G391" s="14" t="inlineStr">
        <is>
          <t>Una gestante de 36 semanas, remitida desde un municipio sin control prenatal registrado, llega a las 05:50 con cefalea intensa, visión borrosa y presión arterial de 168/110. El hospital tiene habilitados los servicios obstétricos. La auxiliar de admisiones pide primero la autorización de la EPS porque la usuaria aparece con afiliación suspendida en la consulta del sistema.</t>
        </is>
      </c>
      <c r="H391" s="14" t="inlineStr">
        <is>
          <t>Sobre la afiliación suspendida de la usuaria, el hospital debe:</t>
        </is>
      </c>
      <c r="I391" s="14" t="inlineStr">
        <is>
          <t>Orientar la ruta de afiliación con la entidad territorial, sin que ello afecte la atención en curso</t>
        </is>
      </c>
      <c r="J391" s="14" t="inlineStr">
        <is>
          <t>Afiliar a la usuaria de oficio a la entidad promotora que el hospital determine más conveniente</t>
        </is>
      </c>
      <c r="K391" s="14" t="inlineStr">
        <is>
          <t>Registrar la atención como particular y entregar la cuenta de cobro a la usuaria al egreso</t>
        </is>
      </c>
      <c r="L391" s="14" t="inlineStr">
        <is>
          <t>a</t>
        </is>
      </c>
      <c r="M391" s="14" t="inlineStr">
        <is>
          <t>El prestador orienta la ruta de afiliación y la gestiona con la entidad territorial, sin interrumpir ni condicionar la atención.</t>
        </is>
      </c>
      <c r="N391" s="14" t="inlineStr">
        <is>
          <t>La opción b) atribuye al hospital una facultad que no tiene y desconoce la libre elección; la opción c) traslada el costo a la usuaria.</t>
        </is>
      </c>
      <c r="O391" s="14" t="inlineStr">
        <is>
          <t>Decreto 780 de 2016; Ley 1751 de 2015, art. 8</t>
        </is>
      </c>
      <c r="P391" s="14" t="inlineStr">
        <is>
          <t>SI</t>
        </is>
      </c>
      <c r="Q391" s="14" t="inlineStr">
        <is>
          <t>Media</t>
        </is>
      </c>
      <c r="R391" s="14" t="inlineStr">
        <is>
          <t>v2</t>
        </is>
      </c>
    </row>
    <row r="392" ht="57" customHeight="1" s="12">
      <c r="A392" s="14" t="inlineStr">
        <is>
          <t>F0391</t>
        </is>
      </c>
      <c r="B392" s="14" t="inlineStr">
        <is>
          <t>PS 2782 de 2026 - ESE 2 - HUHMP Neiva</t>
        </is>
      </c>
      <c r="C392" s="14" t="inlineStr">
        <is>
          <t>Constitucion Politica y derechos fundamentales</t>
        </is>
      </c>
      <c r="D392" s="14" t="inlineStr">
        <is>
          <t>Profesional</t>
        </is>
      </c>
      <c r="E392" s="14" t="inlineStr">
        <is>
          <t>C131</t>
        </is>
      </c>
      <c r="F392" s="14" t="inlineStr">
        <is>
          <t>Caso 131</t>
        </is>
      </c>
      <c r="G392" s="14" t="inlineStr">
        <is>
          <t>El 4 de mayo un ciudadano radica en la ventanilla del hospital una petición en la que solicita tres cosas: copia de su historia clínica, el concepto del hospital sobre la legalidad de un cobro y copia del contrato de aseo vigente. La dependencia encargada responde el 2 de junio únicamente lo relativo al cobro. El ciudadano anuncia tutela por violación del derecho de petición.</t>
        </is>
      </c>
      <c r="H392" s="14" t="inlineStr">
        <is>
          <t>Los términos que debían aplicarse a cada solicitud son:</t>
        </is>
      </c>
      <c r="I392" s="14" t="inlineStr">
        <is>
          <t>Quince días hábiles para la petición general, diez para documentos e información y treinta para la consulta</t>
        </is>
      </c>
      <c r="J392" s="14" t="inlineStr">
        <is>
          <t>Quince días hábiles para las tres, conforme al término general del derecho de petición</t>
        </is>
      </c>
      <c r="K392" s="14" t="inlineStr">
        <is>
          <t>Diez días hábiles para las tres solicitudes, por tratarse de documentos en poder de la entidad pública</t>
        </is>
      </c>
      <c r="L392" s="14" t="inlineStr">
        <is>
          <t>a</t>
        </is>
      </c>
      <c r="M392" s="14" t="inlineStr">
        <is>
          <t>La ley fija términos distintos según la clase de petición: quince días como regla general, diez para documentos e información y treinta para consultas.</t>
        </is>
      </c>
      <c r="N392" s="14" t="inlineStr">
        <is>
          <t>La opción b) uniforma términos que la norma diferencia y la opción c) aplica a todo el término especial de documentos.</t>
        </is>
      </c>
      <c r="O392" s="14" t="inlineStr">
        <is>
          <t>Constitución Política de 1991, art. 23; Ley 1755 de 2015, art. 14</t>
        </is>
      </c>
      <c r="P392" s="14" t="inlineStr">
        <is>
          <t>SI</t>
        </is>
      </c>
      <c r="Q392" s="14" t="inlineStr">
        <is>
          <t>Media</t>
        </is>
      </c>
      <c r="R392" s="14" t="inlineStr">
        <is>
          <t>v2</t>
        </is>
      </c>
    </row>
    <row r="393" ht="57" customHeight="1" s="12">
      <c r="A393" s="14" t="inlineStr">
        <is>
          <t>F0392</t>
        </is>
      </c>
      <c r="B393" s="14" t="inlineStr">
        <is>
          <t>PS 2782 de 2026 - ESE 2 - HUHMP Neiva</t>
        </is>
      </c>
      <c r="C393" s="14" t="inlineStr">
        <is>
          <t>Constitucion Politica y derechos fundamentales</t>
        </is>
      </c>
      <c r="D393" s="14" t="inlineStr">
        <is>
          <t>Profesional</t>
        </is>
      </c>
      <c r="E393" s="14" t="inlineStr">
        <is>
          <t>C131</t>
        </is>
      </c>
      <c r="F393" s="14" t="inlineStr">
        <is>
          <t>Caso 131</t>
        </is>
      </c>
      <c r="G393" s="14" t="inlineStr">
        <is>
          <t>El 4 de mayo un ciudadano radica en la ventanilla del hospital una petición en la que solicita tres cosas: copia de su historia clínica, el concepto del hospital sobre la legalidad de un cobro y copia del contrato de aseo vigente. La dependencia encargada responde el 2 de junio únicamente lo relativo al cobro. El ciudadano anuncia tutela por violación del derecho de petición.</t>
        </is>
      </c>
      <c r="H393" s="14" t="inlineStr">
        <is>
          <t>Si la entidad no podía responder a tiempo, debía:</t>
        </is>
      </c>
      <c r="I393" s="14" t="inlineStr">
        <is>
          <t>Informar antes del vencimiento los motivos de la demora y señalar el plazo en que responderá</t>
        </is>
      </c>
      <c r="J393" s="14" t="inlineStr">
        <is>
          <t>Radicar una constancia interna de la congestión de la dependencia encargada del trámite</t>
        </is>
      </c>
      <c r="K393" s="14" t="inlineStr">
        <is>
          <t>Responder parcialmente y esperar a que el peticionario insista sobre lo que falta</t>
        </is>
      </c>
      <c r="L393" s="14" t="inlineStr">
        <is>
          <t>a</t>
        </is>
      </c>
      <c r="M393" s="14" t="inlineStr">
        <is>
          <t>Cuando no es posible resolver en el término, la entidad debe informarlo antes del vencimiento, explicar la demora y anunciar el nuevo plazo.</t>
        </is>
      </c>
      <c r="N393" s="14" t="inlineStr">
        <is>
          <t>La opción b) documenta hacia adentro sin informar al ciudadano y la opción c) traslada al peticionario la carga de reclamar lo omitido.</t>
        </is>
      </c>
      <c r="O393" s="14" t="inlineStr">
        <is>
          <t>Ley 1755 de 2015, art. 14, parágrafo</t>
        </is>
      </c>
      <c r="P393" s="14" t="inlineStr">
        <is>
          <t>SI</t>
        </is>
      </c>
      <c r="Q393" s="14" t="inlineStr">
        <is>
          <t>Media</t>
        </is>
      </c>
      <c r="R393" s="14" t="inlineStr">
        <is>
          <t>v2</t>
        </is>
      </c>
    </row>
    <row r="394" ht="57" customHeight="1" s="12">
      <c r="A394" s="14" t="inlineStr">
        <is>
          <t>F0393</t>
        </is>
      </c>
      <c r="B394" s="14" t="inlineStr">
        <is>
          <t>PS 2782 de 2026 - ESE 2 - HUHMP Neiva</t>
        </is>
      </c>
      <c r="C394" s="14" t="inlineStr">
        <is>
          <t>Constitucion Politica y derechos fundamentales</t>
        </is>
      </c>
      <c r="D394" s="14" t="inlineStr">
        <is>
          <t>Profesional</t>
        </is>
      </c>
      <c r="E394" s="14" t="inlineStr">
        <is>
          <t>C131</t>
        </is>
      </c>
      <c r="F394" s="14" t="inlineStr">
        <is>
          <t>Caso 131</t>
        </is>
      </c>
      <c r="G394" s="14" t="inlineStr">
        <is>
          <t>El 4 de mayo un ciudadano radica en la ventanilla del hospital una petición en la que solicita tres cosas: copia de su historia clínica, el concepto del hospital sobre la legalidad de un cobro y copia del contrato de aseo vigente. La dependencia encargada responde el 2 de junio únicamente lo relativo al cobro. El ciudadano anuncia tutela por violación del derecho de petición.</t>
        </is>
      </c>
      <c r="H394" s="14" t="inlineStr">
        <is>
          <t>Respecto de la copia del contrato de aseo, la entidad debe:</t>
        </is>
      </c>
      <c r="I394" s="14" t="inlineStr">
        <is>
          <t>Entregarla, protegiendo con tacha los datos personales de terceros que contenga</t>
        </is>
      </c>
      <c r="J394" s="14" t="inlineStr">
        <is>
          <t>Negarla, porque la información contractual solo se entrega a los oferentes del proceso</t>
        </is>
      </c>
      <c r="K394" s="14" t="inlineStr">
        <is>
          <t>Remitir al ciudadano al SECOP para que la consulte por su cuenta y cierre la petición</t>
        </is>
      </c>
      <c r="L394" s="14" t="inlineStr">
        <is>
          <t>a</t>
        </is>
      </c>
      <c r="M394" s="14" t="inlineStr">
        <is>
          <t>La información contractual es pública y se entrega, protegiendo únicamente los datos amparados por reserva.</t>
        </is>
      </c>
      <c r="N394" s="14" t="inlineStr">
        <is>
          <t>La opción b) invierte el principio de máxima publicidad y la opción c) elude el deber de responder de fondo, aunque la información también esté publicada.</t>
        </is>
      </c>
      <c r="O394" s="14" t="inlineStr">
        <is>
          <t>Constitución Política de 1991, art. 74; Ley 1712 de 2014, arts. 2 y 21</t>
        </is>
      </c>
      <c r="P394" s="14" t="inlineStr">
        <is>
          <t>SI</t>
        </is>
      </c>
      <c r="Q394" s="14" t="inlineStr">
        <is>
          <t>Media</t>
        </is>
      </c>
      <c r="R394" s="14" t="inlineStr">
        <is>
          <t>v2</t>
        </is>
      </c>
    </row>
    <row r="395" ht="57" customHeight="1" s="12">
      <c r="A395" s="14" t="inlineStr">
        <is>
          <t>F0394</t>
        </is>
      </c>
      <c r="B395" s="14" t="inlineStr">
        <is>
          <t>PS 2782 de 2026 - ESE 2 - HUHMP Neiva</t>
        </is>
      </c>
      <c r="C395" s="14" t="inlineStr">
        <is>
          <t>Constitucion Politica y derechos fundamentales</t>
        </is>
      </c>
      <c r="D395" s="14" t="inlineStr">
        <is>
          <t>Profesional</t>
        </is>
      </c>
      <c r="E395" s="14" t="inlineStr">
        <is>
          <t>C132</t>
        </is>
      </c>
      <c r="F395" s="14" t="inlineStr">
        <is>
          <t>Caso 132</t>
        </is>
      </c>
      <c r="G395" s="14" t="inlineStr">
        <is>
          <t>Una funcionaria del hospital consulta la historia clínica de su vecina, con quien tiene un conflicto personal, y comenta el diagnóstico en el grupo de WhatsApp del barrio. La afectada se entera, exige explicaciones y pide que se elimine toda su información de los sistemas del hospital. La oficina jurídica debe conceptuar.</t>
        </is>
      </c>
      <c r="H395" s="14" t="inlineStr">
        <is>
          <t>El derecho vulnerado con la consulta y la divulgación es, en primer lugar:</t>
        </is>
      </c>
      <c r="I395" s="14" t="inlineStr">
        <is>
          <t>La intimidad y el habeas data, por el acceso indebido y la circulación no autorizada del dato</t>
        </is>
      </c>
      <c r="J395" s="14" t="inlineStr">
        <is>
          <t>El buen nombre, porque la información compartida afectó la reputación de la afectada</t>
        </is>
      </c>
      <c r="K395" s="14" t="inlineStr">
        <is>
          <t>El derecho de petición, porque la afectada no obtuvo explicaciones de la institución</t>
        </is>
      </c>
      <c r="L395" s="14" t="inlineStr">
        <is>
          <t>a</t>
        </is>
      </c>
      <c r="M395" s="14" t="inlineStr">
        <is>
          <t>El acceso sin finalidad asistencial y la divulgación de un dato sensible vulneran la intimidad y el derecho a conocer, actualizar y controlar la información personal.</t>
        </is>
      </c>
      <c r="N395" s="14" t="inlineStr">
        <is>
          <t>La opción b) señala un derecho que puede verse afectado de forma derivada y la opción c) alude a un trámite posterior, no al núcleo de la vulneración.</t>
        </is>
      </c>
      <c r="O395" s="14" t="inlineStr">
        <is>
          <t>Constitución Política de 1991, art. 15; Ley 1581 de 2012</t>
        </is>
      </c>
      <c r="P395" s="14" t="inlineStr">
        <is>
          <t>SI</t>
        </is>
      </c>
      <c r="Q395" s="14" t="inlineStr">
        <is>
          <t>Alta</t>
        </is>
      </c>
      <c r="R395" s="14" t="inlineStr">
        <is>
          <t>v2</t>
        </is>
      </c>
    </row>
    <row r="396" ht="57" customHeight="1" s="12">
      <c r="A396" s="14" t="inlineStr">
        <is>
          <t>F0395</t>
        </is>
      </c>
      <c r="B396" s="14" t="inlineStr">
        <is>
          <t>PS 2782 de 2026 - ESE 2 - HUHMP Neiva</t>
        </is>
      </c>
      <c r="C396" s="14" t="inlineStr">
        <is>
          <t>Constitucion Politica y derechos fundamentales</t>
        </is>
      </c>
      <c r="D396" s="14" t="inlineStr">
        <is>
          <t>Profesional</t>
        </is>
      </c>
      <c r="E396" s="14" t="inlineStr">
        <is>
          <t>C132</t>
        </is>
      </c>
      <c r="F396" s="14" t="inlineStr">
        <is>
          <t>Caso 132</t>
        </is>
      </c>
      <c r="G396" s="14" t="inlineStr">
        <is>
          <t>Una funcionaria del hospital consulta la historia clínica de su vecina, con quien tiene un conflicto personal, y comenta el diagnóstico en el grupo de WhatsApp del barrio. La afectada se entera, exige explicaciones y pide que se elimine toda su información de los sistemas del hospital. La oficina jurídica debe conceptuar.</t>
        </is>
      </c>
      <c r="H396" s="14" t="inlineStr">
        <is>
          <t>Frente a la petición de eliminar toda su información de los sistemas, el hospital debe:</t>
        </is>
      </c>
      <c r="I396" s="14" t="inlineStr">
        <is>
          <t>Explicar que la historia clínica debe conservarse por el término legal y atender la reclamación sobre el uso indebido</t>
        </is>
      </c>
      <c r="J396" s="14" t="inlineStr">
        <is>
          <t>Eliminar de inmediato los registros, porque el titular puede revocar en cualquier momento la autorización</t>
        </is>
      </c>
      <c r="K396" s="14" t="inlineStr">
        <is>
          <t>Trasladar la solicitud a la Superintendencia de Industria y Comercio para que ella decida el caso</t>
        </is>
      </c>
      <c r="L396" s="14" t="inlineStr">
        <is>
          <t>a</t>
        </is>
      </c>
      <c r="M396" s="14" t="inlineStr">
        <is>
          <t>El derecho de supresión no alcanza a la historia clínica, cuya conservación es un deber legal; lo que procede es atender el reclamo por el uso indebido.</t>
        </is>
      </c>
      <c r="N396" s="14" t="inlineStr">
        <is>
          <t>La opción b) desconoce el deber de conservación y la opción c) traslada una decisión que corresponde primero al responsable del tratamiento.</t>
        </is>
      </c>
      <c r="O396" s="14" t="inlineStr">
        <is>
          <t>Ley 1581 de 2012, art. 8; Resolución 1995 de 1999, modificada por la Resolución 839 de 2017</t>
        </is>
      </c>
      <c r="P396" s="14" t="inlineStr">
        <is>
          <t>SI</t>
        </is>
      </c>
      <c r="Q396" s="14" t="inlineStr">
        <is>
          <t>Alta</t>
        </is>
      </c>
      <c r="R396" s="14" t="inlineStr">
        <is>
          <t>v2</t>
        </is>
      </c>
    </row>
    <row r="397" ht="57" customHeight="1" s="12">
      <c r="A397" s="14" t="inlineStr">
        <is>
          <t>F0396</t>
        </is>
      </c>
      <c r="B397" s="14" t="inlineStr">
        <is>
          <t>PS 2782 de 2026 - ESE 2 - HUHMP Neiva</t>
        </is>
      </c>
      <c r="C397" s="14" t="inlineStr">
        <is>
          <t>Constitucion Politica y derechos fundamentales</t>
        </is>
      </c>
      <c r="D397" s="14" t="inlineStr">
        <is>
          <t>Profesional</t>
        </is>
      </c>
      <c r="E397" s="14" t="inlineStr">
        <is>
          <t>C132</t>
        </is>
      </c>
      <c r="F397" s="14" t="inlineStr">
        <is>
          <t>Caso 132</t>
        </is>
      </c>
      <c r="G397" s="14" t="inlineStr">
        <is>
          <t>Una funcionaria del hospital consulta la historia clínica de su vecina, con quien tiene un conflicto personal, y comenta el diagnóstico en el grupo de WhatsApp del barrio. La afectada se entera, exige explicaciones y pide que se elimine toda su información de los sistemas del hospital. La oficina jurídica debe conceptuar.</t>
        </is>
      </c>
      <c r="H397" s="14" t="inlineStr">
        <is>
          <t>La conducta de la funcionaria puede comprometer:</t>
        </is>
      </c>
      <c r="I397" s="14" t="inlineStr">
        <is>
          <t>Responsabilidad disciplinaria y, según el caso, responsabilidad penal por la divulgación del dato</t>
        </is>
      </c>
      <c r="J397" s="14" t="inlineStr">
        <is>
          <t>Únicamente responsabilidad disciplinaria, conforme al régimen aplicable a los servidores</t>
        </is>
      </c>
      <c r="K397" s="14" t="inlineStr">
        <is>
          <t>Únicamente responsabilidad civil frente a la afectada, mediante demanda ante el juez ordinario</t>
        </is>
      </c>
      <c r="L397" s="14" t="inlineStr">
        <is>
          <t>a</t>
        </is>
      </c>
      <c r="M397" s="14" t="inlineStr">
        <is>
          <t>El acceso indebido y la divulgación de datos personales comprometen la responsabilidad disciplinaria y pueden tipificar un delito contra la protección de la información.</t>
        </is>
      </c>
      <c r="N397" s="14" t="inlineStr">
        <is>
          <t>Las opciones b) y c) reducen a una sola vía un hecho que compromete varios regímenes de responsabilidad de manera simultánea.</t>
        </is>
      </c>
      <c r="O397" s="14" t="inlineStr">
        <is>
          <t>Ley 1952 de 2019; Código Penal, art. 269F</t>
        </is>
      </c>
      <c r="P397" s="14" t="inlineStr">
        <is>
          <t>SI</t>
        </is>
      </c>
      <c r="Q397" s="14" t="inlineStr">
        <is>
          <t>Alta</t>
        </is>
      </c>
      <c r="R397" s="14" t="inlineStr">
        <is>
          <t>v2</t>
        </is>
      </c>
    </row>
    <row r="398" ht="57" customHeight="1" s="12">
      <c r="A398" s="14" t="inlineStr">
        <is>
          <t>F0397</t>
        </is>
      </c>
      <c r="B398" s="14" t="inlineStr">
        <is>
          <t>PS 2782 de 2026 - ESE 2 - HUHMP Neiva</t>
        </is>
      </c>
      <c r="C398" s="14" t="inlineStr">
        <is>
          <t>Constitucion Politica y derechos fundamentales</t>
        </is>
      </c>
      <c r="D398" s="14" t="inlineStr">
        <is>
          <t>Profesional</t>
        </is>
      </c>
      <c r="E398" s="14" t="inlineStr">
        <is>
          <t>C133</t>
        </is>
      </c>
      <c r="F398" s="14" t="inlineStr">
        <is>
          <t>Caso 133</t>
        </is>
      </c>
      <c r="G398" s="14" t="inlineStr">
        <is>
          <t>Un juez concede una tutela y ordena al hospital practicar un procedimiento dentro de las cuarenta y ocho horas siguientes a la notificación. La gerencia considera que el fallo es equivocado porque la obligación era de la EPS, y el área jurídica propone esperar el resultado de la impugnación antes de programar el procedimiento.</t>
        </is>
      </c>
      <c r="H398" s="14" t="inlineStr">
        <is>
          <t>Frente a la orden judicial, la conducta institucional correcta es:</t>
        </is>
      </c>
      <c r="I398" s="14" t="inlineStr">
        <is>
          <t>Cumplir dentro del término fijado e impugnar en paralelo, pues la impugnación no suspende el cumplimiento</t>
        </is>
      </c>
      <c r="J398" s="14" t="inlineStr">
        <is>
          <t>Esperar la decisión de segunda instancia, porque la impugnación deja el fallo sin efectos mientras se resuelve</t>
        </is>
      </c>
      <c r="K398" s="14" t="inlineStr">
        <is>
          <t>Solicitar al juez una aclaración del fallo y contar el término desde la respuesta que este entregue</t>
        </is>
      </c>
      <c r="L398" s="14" t="inlineStr">
        <is>
          <t>a</t>
        </is>
      </c>
      <c r="M398" s="14" t="inlineStr">
        <is>
          <t>El fallo de tutela es de cumplimiento inmediato y la impugnación se surte ante el superior sin suspender lo ordenado.</t>
        </is>
      </c>
      <c r="N398" s="14" t="inlineStr">
        <is>
          <t>Las opciones b) y c) aplazan un cumplimiento que la ley ordena de manera inmediata.</t>
        </is>
      </c>
      <c r="O398" s="14" t="inlineStr">
        <is>
          <t>Constitución Política de 1991, art. 86; Decreto 2591 de 1991, arts. 27 y 31</t>
        </is>
      </c>
      <c r="P398" s="14" t="inlineStr">
        <is>
          <t>SI</t>
        </is>
      </c>
      <c r="Q398" s="14" t="inlineStr">
        <is>
          <t>Media</t>
        </is>
      </c>
      <c r="R398" s="14" t="inlineStr">
        <is>
          <t>v2</t>
        </is>
      </c>
    </row>
    <row r="399" ht="57" customHeight="1" s="12">
      <c r="A399" s="14" t="inlineStr">
        <is>
          <t>F0398</t>
        </is>
      </c>
      <c r="B399" s="14" t="inlineStr">
        <is>
          <t>PS 2782 de 2026 - ESE 2 - HUHMP Neiva</t>
        </is>
      </c>
      <c r="C399" s="14" t="inlineStr">
        <is>
          <t>Constitucion Politica y derechos fundamentales</t>
        </is>
      </c>
      <c r="D399" s="14" t="inlineStr">
        <is>
          <t>Profesional</t>
        </is>
      </c>
      <c r="E399" s="14" t="inlineStr">
        <is>
          <t>C133</t>
        </is>
      </c>
      <c r="F399" s="14" t="inlineStr">
        <is>
          <t>Caso 133</t>
        </is>
      </c>
      <c r="G399" s="14" t="inlineStr">
        <is>
          <t>Un juez concede una tutela y ordena al hospital practicar un procedimiento dentro de las cuarenta y ocho horas siguientes a la notificación. La gerencia considera que el fallo es equivocado porque la obligación era de la EPS, y el área jurídica propone esperar el resultado de la impugnación antes de programar el procedimiento.</t>
        </is>
      </c>
      <c r="H399" s="14" t="inlineStr">
        <is>
          <t>El término para impugnar el fallo de tutela es de:</t>
        </is>
      </c>
      <c r="I399" s="14" t="inlineStr">
        <is>
          <t>Tres días siguientes a la notificación de la decisión de primera instancia</t>
        </is>
      </c>
      <c r="J399" s="14" t="inlineStr">
        <is>
          <t>Cinco días siguientes a la notificación de la decisión de primera instancia</t>
        </is>
      </c>
      <c r="K399" s="14" t="inlineStr">
        <is>
          <t>Diez días siguientes a la notificación de la decisión de primera instancia</t>
        </is>
      </c>
      <c r="L399" s="14" t="inlineStr">
        <is>
          <t>a</t>
        </is>
      </c>
      <c r="M399" s="14" t="inlineStr">
        <is>
          <t>La impugnación debe presentarse dentro de los tres días siguientes a la notificación del fallo.</t>
        </is>
      </c>
      <c r="N399" s="14" t="inlineStr">
        <is>
          <t>Las opciones b) y c) usan términos propios de otras actuaciones administrativas o judiciales.</t>
        </is>
      </c>
      <c r="O399" s="14" t="inlineStr">
        <is>
          <t>Decreto 2591 de 1991, art. 31</t>
        </is>
      </c>
      <c r="P399" s="14" t="inlineStr">
        <is>
          <t>SI</t>
        </is>
      </c>
      <c r="Q399" s="14" t="inlineStr">
        <is>
          <t>Media</t>
        </is>
      </c>
      <c r="R399" s="14" t="inlineStr">
        <is>
          <t>v2</t>
        </is>
      </c>
    </row>
    <row r="400" ht="57" customHeight="1" s="12">
      <c r="A400" s="14" t="inlineStr">
        <is>
          <t>F0399</t>
        </is>
      </c>
      <c r="B400" s="14" t="inlineStr">
        <is>
          <t>PS 2782 de 2026 - ESE 2 - HUHMP Neiva</t>
        </is>
      </c>
      <c r="C400" s="14" t="inlineStr">
        <is>
          <t>Constitucion Politica y derechos fundamentales</t>
        </is>
      </c>
      <c r="D400" s="14" t="inlineStr">
        <is>
          <t>Profesional</t>
        </is>
      </c>
      <c r="E400" s="14" t="inlineStr">
        <is>
          <t>C133</t>
        </is>
      </c>
      <c r="F400" s="14" t="inlineStr">
        <is>
          <t>Caso 133</t>
        </is>
      </c>
      <c r="G400" s="14" t="inlineStr">
        <is>
          <t>Un juez concede una tutela y ordena al hospital practicar un procedimiento dentro de las cuarenta y ocho horas siguientes a la notificación. La gerencia considera que el fallo es equivocado porque la obligación era de la EPS, y el área jurídica propone esperar el resultado de la impugnación antes de programar el procedimiento.</t>
        </is>
      </c>
      <c r="H400" s="14" t="inlineStr">
        <is>
          <t>Si el hospital no cumple la orden, el mecanismo que puede activar el accionante es:</t>
        </is>
      </c>
      <c r="I400" s="14" t="inlineStr">
        <is>
          <t>El incidente de desacato ante el mismo juez que profirió el fallo de tutela</t>
        </is>
      </c>
      <c r="J400" s="14" t="inlineStr">
        <is>
          <t>La acción de cumplimiento ante la jurisdicción de lo contencioso administrativo</t>
        </is>
      </c>
      <c r="K400" s="14" t="inlineStr">
        <is>
          <t>La queja disciplinaria ante la Procuraduría como único camino frente al incumplimiento</t>
        </is>
      </c>
      <c r="L400" s="14" t="inlineStr">
        <is>
          <t>a</t>
        </is>
      </c>
      <c r="M400" s="14" t="inlineStr">
        <is>
          <t>El desacato lo tramita el juez que dictó el fallo y puede imponer sanción a quien incumple.</t>
        </is>
      </c>
      <c r="N400" s="14" t="inlineStr">
        <is>
          <t>La opción b) está prevista para hacer cumplir leyes y actos administrativos, no fallos de tutela; la opción c) es una vía adicional, no el mecanismo propio.</t>
        </is>
      </c>
      <c r="O400" s="14" t="inlineStr">
        <is>
          <t>Decreto 2591 de 1991, art. 52; Ley 393 de 1997</t>
        </is>
      </c>
      <c r="P400" s="14" t="inlineStr">
        <is>
          <t>SI</t>
        </is>
      </c>
      <c r="Q400" s="14" t="inlineStr">
        <is>
          <t>Media</t>
        </is>
      </c>
      <c r="R400" s="14" t="inlineStr">
        <is>
          <t>v2</t>
        </is>
      </c>
    </row>
    <row r="401" ht="45.75" customHeight="1" s="12">
      <c r="A401" s="14" t="inlineStr">
        <is>
          <t>F0400</t>
        </is>
      </c>
      <c r="B401" s="14" t="inlineStr">
        <is>
          <t>PS 2782 de 2026 - ESE 2 - HUHMP Neiva</t>
        </is>
      </c>
      <c r="C401" s="14" t="inlineStr">
        <is>
          <t>Constitucion Politica y derechos fundamentales</t>
        </is>
      </c>
      <c r="D401" s="14" t="inlineStr">
        <is>
          <t>Tecnico</t>
        </is>
      </c>
      <c r="E401" s="14" t="inlineStr">
        <is>
          <t>C134</t>
        </is>
      </c>
      <c r="F401" s="14" t="inlineStr">
        <is>
          <t>Caso 134</t>
        </is>
      </c>
      <c r="G401" s="14" t="inlineStr">
        <is>
          <t>En el proceso de selección de una auxiliar administrativa, la entidad exige un examen de embarazo dentro de los documentos de la posesión y pregunta a las aspirantes sobre sus planes familiares. Una aspirante lo advierte y pide que se retire el requisito.</t>
        </is>
      </c>
      <c r="H401" s="14" t="inlineStr">
        <is>
          <t>La exigencia descrita constituye:</t>
        </is>
      </c>
      <c r="I401" s="14" t="inlineStr">
        <is>
          <t>Un acto de discriminación que vulnera la igualdad y los derechos de la mujer en el trabajo</t>
        </is>
      </c>
      <c r="J401" s="14" t="inlineStr">
        <is>
          <t>Un requisito válido de la historia laboral, siempre que se aplique a todas las aspirantes</t>
        </is>
      </c>
      <c r="K401" s="14" t="inlineStr">
        <is>
          <t>Una condición admisible cuando el empleo implica riesgo para la salud de la trabajadora</t>
        </is>
      </c>
      <c r="L401" s="14" t="inlineStr">
        <is>
          <t>a</t>
        </is>
      </c>
      <c r="M401" s="14" t="inlineStr">
        <is>
          <t>La prueba de embarazo como condición de acceso al empleo está proscrita y configura un trato discriminatorio.</t>
        </is>
      </c>
      <c r="N401" s="14" t="inlineStr">
        <is>
          <t>La opción b) justifica la exigencia por su generalidad y la opción c) invoca un riesgo que se maneja con medidas de protección, no excluyendo a la aspirante.</t>
        </is>
      </c>
      <c r="O401" s="14" t="inlineStr">
        <is>
          <t>Constitución Política de 1991, arts. 13, 43 y 53</t>
        </is>
      </c>
      <c r="P401" s="14" t="inlineStr">
        <is>
          <t>SI</t>
        </is>
      </c>
      <c r="Q401" s="14" t="inlineStr">
        <is>
          <t>Basica</t>
        </is>
      </c>
      <c r="R401" s="14" t="inlineStr">
        <is>
          <t>v2</t>
        </is>
      </c>
    </row>
    <row r="402" ht="45.75" customHeight="1" s="12">
      <c r="A402" s="14" t="inlineStr">
        <is>
          <t>F0401</t>
        </is>
      </c>
      <c r="B402" s="14" t="inlineStr">
        <is>
          <t>PS 2782 de 2026 - ESE 2 - HUHMP Neiva</t>
        </is>
      </c>
      <c r="C402" s="14" t="inlineStr">
        <is>
          <t>Constitucion Politica y derechos fundamentales</t>
        </is>
      </c>
      <c r="D402" s="14" t="inlineStr">
        <is>
          <t>Tecnico</t>
        </is>
      </c>
      <c r="E402" s="14" t="inlineStr">
        <is>
          <t>C134</t>
        </is>
      </c>
      <c r="F402" s="14" t="inlineStr">
        <is>
          <t>Caso 134</t>
        </is>
      </c>
      <c r="G402" s="14" t="inlineStr">
        <is>
          <t>En el proceso de selección de una auxiliar administrativa, la entidad exige un examen de embarazo dentro de los documentos de la posesión y pregunta a las aspirantes sobre sus planes familiares. Una aspirante lo advierte y pide que se retire el requisito.</t>
        </is>
      </c>
      <c r="H402" s="14" t="inlineStr">
        <is>
          <t>El principio constitucional que rige el acceso a los empleos de carrera es:</t>
        </is>
      </c>
      <c r="I402" s="14" t="inlineStr">
        <is>
          <t>El mérito, comprobado mediante concurso público adelantado conforme a la ley</t>
        </is>
      </c>
      <c r="J402" s="14" t="inlineStr">
        <is>
          <t>La antigüedad de quien haya prestado servicios a la entidad de manera continua</t>
        </is>
      </c>
      <c r="K402" s="14" t="inlineStr">
        <is>
          <t>La discrecionalidad del nominador, motivada por escrito en las necesidades del servicio</t>
        </is>
      </c>
      <c r="L402" s="14" t="inlineStr">
        <is>
          <t>a</t>
        </is>
      </c>
      <c r="M402" s="14" t="inlineStr">
        <is>
          <t>El ingreso y el ascenso en los empleos de carrera se rigen por el mérito, verificado mediante concurso público.</t>
        </is>
      </c>
      <c r="N402" s="14" t="inlineStr">
        <is>
          <t>Las opciones b) y c) usan criterios que la Constitución excluye para la provisión de los empleos de carrera.</t>
        </is>
      </c>
      <c r="O402" s="14" t="inlineStr">
        <is>
          <t>Constitución Política de 1991, art. 125; Ley 909 de 2004</t>
        </is>
      </c>
      <c r="P402" s="14" t="inlineStr">
        <is>
          <t>SI</t>
        </is>
      </c>
      <c r="Q402" s="14" t="inlineStr">
        <is>
          <t>Basica</t>
        </is>
      </c>
      <c r="R402" s="14" t="inlineStr">
        <is>
          <t>v2</t>
        </is>
      </c>
    </row>
    <row r="403" ht="45.75" customHeight="1" s="12">
      <c r="A403" s="14" t="inlineStr">
        <is>
          <t>F0402</t>
        </is>
      </c>
      <c r="B403" s="14" t="inlineStr">
        <is>
          <t>PS 2782 de 2026 - ESE 2 - HUHMP Neiva</t>
        </is>
      </c>
      <c r="C403" s="14" t="inlineStr">
        <is>
          <t>Constitucion Politica y derechos fundamentales</t>
        </is>
      </c>
      <c r="D403" s="14" t="inlineStr">
        <is>
          <t>Tecnico</t>
        </is>
      </c>
      <c r="E403" s="14" t="inlineStr">
        <is>
          <t>C134</t>
        </is>
      </c>
      <c r="F403" s="14" t="inlineStr">
        <is>
          <t>Caso 134</t>
        </is>
      </c>
      <c r="G403" s="14" t="inlineStr">
        <is>
          <t>En el proceso de selección de una auxiliar administrativa, la entidad exige un examen de embarazo dentro de los documentos de la posesión y pregunta a las aspirantes sobre sus planes familiares. Una aspirante lo advierte y pide que se retire el requisito.</t>
        </is>
      </c>
      <c r="H403" s="14" t="inlineStr">
        <is>
          <t>Si la aspirante decide reclamar, la vía inicial adecuada es:</t>
        </is>
      </c>
      <c r="I403" s="14" t="inlineStr">
        <is>
          <t>La reclamación ante la CNSC dentro del proceso de selección, sin perjuicio de otras acciones</t>
        </is>
      </c>
      <c r="J403" s="14" t="inlineStr">
        <is>
          <t>La demanda de nulidad y restablecimiento, conforme al término de caducidad previsto</t>
        </is>
      </c>
      <c r="K403" s="14" t="inlineStr">
        <is>
          <t>La denuncia penal por el delito de discriminación ante la Fiscalía General de la Nación</t>
        </is>
      </c>
      <c r="L403" s="14" t="inlineStr">
        <is>
          <t>a</t>
        </is>
      </c>
      <c r="M403" s="14" t="inlineStr">
        <is>
          <t>Dentro del proceso de selección, las inconformidades se tramitan por las reclamaciones previstas en el acuerdo de convocatoria ante la CNSC.</t>
        </is>
      </c>
      <c r="N403" s="14" t="inlineStr">
        <is>
          <t>Las opciones b) y c) son vías posteriores o paralelas que no reemplazan el trámite propio del proceso.</t>
        </is>
      </c>
      <c r="O403" s="14" t="inlineStr">
        <is>
          <t>Ley 909 de 2004, art. 31; Acuerdo CNSC N° 36 de 2026</t>
        </is>
      </c>
      <c r="P403" s="14" t="inlineStr">
        <is>
          <t>SI</t>
        </is>
      </c>
      <c r="Q403" s="14" t="inlineStr">
        <is>
          <t>Basica</t>
        </is>
      </c>
      <c r="R403" s="14" t="inlineStr">
        <is>
          <t>v2</t>
        </is>
      </c>
    </row>
    <row r="404" ht="68.25" customHeight="1" s="12">
      <c r="A404" s="14" t="inlineStr">
        <is>
          <t>F0403</t>
        </is>
      </c>
      <c r="B404" s="14" t="inlineStr">
        <is>
          <t>PS 2782 de 2026 - ESE 2 - HUHMP Neiva</t>
        </is>
      </c>
      <c r="C404" s="14" t="inlineStr">
        <is>
          <t>Estructura del Estado y niveles de gobierno</t>
        </is>
      </c>
      <c r="D404" s="14" t="inlineStr">
        <is>
          <t>Profesional</t>
        </is>
      </c>
      <c r="E404" s="14" t="inlineStr">
        <is>
          <t>C135</t>
        </is>
      </c>
      <c r="F404" s="14" t="inlineStr">
        <is>
          <t>Caso 135</t>
        </is>
      </c>
      <c r="G404" s="14" t="inlineStr">
        <is>
          <t>El hospital es una E.S.E. del orden departamental. En una reunión de coordinación, el alcalde de un municipio del Huila sostiene que puede impartir instrucciones directas a la gerencia; el secretario departamental de salud afirma que el hospital depende de él como si fuera una dependencia; y un concejal anuncia que el concejo municipal citará al gerente a rendir cuentas.</t>
        </is>
      </c>
      <c r="H404" s="14" t="inlineStr">
        <is>
          <t>Sobre la naturaleza del hospital, lo correcto es afirmar que:</t>
        </is>
      </c>
      <c r="I404" s="14" t="inlineStr">
        <is>
          <t>Es una entidad descentralizada del orden departamental, con autonomía administrativa y patrimonio propio</t>
        </is>
      </c>
      <c r="J404" s="14" t="inlineStr">
        <is>
          <t>Es una dependencia de la secretaría departamental de salud, sujeta a su jerarquía funcional</t>
        </is>
      </c>
      <c r="K404" s="14" t="inlineStr">
        <is>
          <t>Es un establecimiento público del orden municipal donde está ubicada su sede principal</t>
        </is>
      </c>
      <c r="L404" s="14" t="inlineStr">
        <is>
          <t>a</t>
        </is>
      </c>
      <c r="M404" s="14" t="inlineStr">
        <is>
          <t>Las E.S.E. son entidades públicas descentralizadas de categoría especial, con personería jurídica, patrimonio propio y autonomía administrativa.</t>
        </is>
      </c>
      <c r="N404" s="14" t="inlineStr">
        <is>
          <t>Las opciones b) y c) la subordinan jerárquicamente o le asignan un nivel territorial que no corresponde a su creación por ordenanza.</t>
        </is>
      </c>
      <c r="O404" s="14" t="inlineStr">
        <is>
          <t>Ley 100 de 1993, art. 194; Decreto 1876 de 1994</t>
        </is>
      </c>
      <c r="P404" s="14" t="inlineStr">
        <is>
          <t>SI</t>
        </is>
      </c>
      <c r="Q404" s="14" t="inlineStr">
        <is>
          <t>Media</t>
        </is>
      </c>
      <c r="R404" s="14" t="inlineStr">
        <is>
          <t>v2</t>
        </is>
      </c>
    </row>
    <row r="405" ht="68.25" customHeight="1" s="12">
      <c r="A405" s="14" t="inlineStr">
        <is>
          <t>F0404</t>
        </is>
      </c>
      <c r="B405" s="14" t="inlineStr">
        <is>
          <t>PS 2782 de 2026 - ESE 2 - HUHMP Neiva</t>
        </is>
      </c>
      <c r="C405" s="14" t="inlineStr">
        <is>
          <t>Estructura del Estado y niveles de gobierno</t>
        </is>
      </c>
      <c r="D405" s="14" t="inlineStr">
        <is>
          <t>Profesional</t>
        </is>
      </c>
      <c r="E405" s="14" t="inlineStr">
        <is>
          <t>C135</t>
        </is>
      </c>
      <c r="F405" s="14" t="inlineStr">
        <is>
          <t>Caso 135</t>
        </is>
      </c>
      <c r="G405" s="14" t="inlineStr">
        <is>
          <t>El hospital es una E.S.E. del orden departamental. En una reunión de coordinación, el alcalde de un municipio del Huila sostiene que puede impartir instrucciones directas a la gerencia; el secretario departamental de salud afirma que el hospital depende de él como si fuera una dependencia; y un concejal anuncia que el concejo municipal citará al gerente a rendir cuentas.</t>
        </is>
      </c>
      <c r="H405" s="14" t="inlineStr">
        <is>
          <t>La relación entre el departamento y el hospital se ejerce mediante:</t>
        </is>
      </c>
      <c r="I405" s="14" t="inlineStr">
        <is>
          <t>El control de tutela y la dirección del sector, a través de la junta directiva y los instrumentos de vigilancia</t>
        </is>
      </c>
      <c r="J405" s="14" t="inlineStr">
        <is>
          <t>La subordinación jerárquica, que permite revocar directamente los actos que expida la gerencia</t>
        </is>
      </c>
      <c r="K405" s="14" t="inlineStr">
        <is>
          <t>El contrato interadministrativo, único vínculo posible entre el departamento y la entidad</t>
        </is>
      </c>
      <c r="L405" s="14" t="inlineStr">
        <is>
          <t>a</t>
        </is>
      </c>
      <c r="M405" s="14" t="inlineStr">
        <is>
          <t>Sobre las entidades descentralizadas se ejerce control de tutela y orientación sectorial, no jerarquía; la junta directiva es la instancia de dirección.</t>
        </is>
      </c>
      <c r="N405" s="14" t="inlineStr">
        <is>
          <t>La opción b) confunde descentralización con jerarquía y la opción c) reduce la relación a lo contractual.</t>
        </is>
      </c>
      <c r="O405" s="14" t="inlineStr">
        <is>
          <t>Ley 489 de 1998, arts. 68 y 105; Constitución Política de 1991, art. 209</t>
        </is>
      </c>
      <c r="P405" s="14" t="inlineStr">
        <is>
          <t>SI</t>
        </is>
      </c>
      <c r="Q405" s="14" t="inlineStr">
        <is>
          <t>Media</t>
        </is>
      </c>
      <c r="R405" s="14" t="inlineStr">
        <is>
          <t>v2</t>
        </is>
      </c>
    </row>
    <row r="406" ht="68.25" customHeight="1" s="12">
      <c r="A406" s="14" t="inlineStr">
        <is>
          <t>F0405</t>
        </is>
      </c>
      <c r="B406" s="14" t="inlineStr">
        <is>
          <t>PS 2782 de 2026 - ESE 2 - HUHMP Neiva</t>
        </is>
      </c>
      <c r="C406" s="14" t="inlineStr">
        <is>
          <t>Estructura del Estado y niveles de gobierno</t>
        </is>
      </c>
      <c r="D406" s="14" t="inlineStr">
        <is>
          <t>Profesional</t>
        </is>
      </c>
      <c r="E406" s="14" t="inlineStr">
        <is>
          <t>C135</t>
        </is>
      </c>
      <c r="F406" s="14" t="inlineStr">
        <is>
          <t>Caso 135</t>
        </is>
      </c>
      <c r="G406" s="14" t="inlineStr">
        <is>
          <t>El hospital es una E.S.E. del orden departamental. En una reunión de coordinación, el alcalde de un municipio del Huila sostiene que puede impartir instrucciones directas a la gerencia; el secretario departamental de salud afirma que el hospital depende de él como si fuera una dependencia; y un concejal anuncia que el concejo municipal citará al gerente a rendir cuentas.</t>
        </is>
      </c>
      <c r="H406" s="14" t="inlineStr">
        <is>
          <t>La citación del concejo municipal al gerente del hospital departamental:</t>
        </is>
      </c>
      <c r="I406" s="14" t="inlineStr">
        <is>
          <t>Excede su ámbito, pues el control político sobre esa entidad corresponde a la asamblea departamental</t>
        </is>
      </c>
      <c r="J406" s="14" t="inlineStr">
        <is>
          <t>Procede en todos los casos, porque el hospital presta servicios en el territorio del municipio</t>
        </is>
      </c>
      <c r="K406" s="14" t="inlineStr">
        <is>
          <t>Procede solo si el municipio aporta recursos al presupuesto del hospital en la vigencia</t>
        </is>
      </c>
      <c r="L406" s="14" t="inlineStr">
        <is>
          <t>a</t>
        </is>
      </c>
      <c r="M406" s="14" t="inlineStr">
        <is>
          <t>El control político sobre las entidades del orden departamental corresponde a la asamblea; el concejo lo ejerce sobre la administración municipal.</t>
        </is>
      </c>
      <c r="N406" s="14" t="inlineStr">
        <is>
          <t>Las opciones b) y c) derivan la competencia de la ubicación o del aporte de recursos, que no determinan el control político.</t>
        </is>
      </c>
      <c r="O406" s="14" t="inlineStr">
        <is>
          <t>Constitución Política de 1991, arts. 299, 300 y 313</t>
        </is>
      </c>
      <c r="P406" s="14" t="inlineStr">
        <is>
          <t>SI</t>
        </is>
      </c>
      <c r="Q406" s="14" t="inlineStr">
        <is>
          <t>Media</t>
        </is>
      </c>
      <c r="R406" s="14" t="inlineStr">
        <is>
          <t>v2</t>
        </is>
      </c>
    </row>
    <row r="407" ht="57" customHeight="1" s="12">
      <c r="A407" s="14" t="inlineStr">
        <is>
          <t>F0406</t>
        </is>
      </c>
      <c r="B407" s="14" t="inlineStr">
        <is>
          <t>PS 2782 de 2026 - ESE 2 - HUHMP Neiva</t>
        </is>
      </c>
      <c r="C407" s="14" t="inlineStr">
        <is>
          <t>Estructura del Estado y niveles de gobierno</t>
        </is>
      </c>
      <c r="D407" s="14" t="inlineStr">
        <is>
          <t>Profesional</t>
        </is>
      </c>
      <c r="E407" s="14" t="inlineStr">
        <is>
          <t>C136</t>
        </is>
      </c>
      <c r="F407" s="14" t="inlineStr">
        <is>
          <t>Caso 136</t>
        </is>
      </c>
      <c r="G407" s="14" t="inlineStr">
        <is>
          <t>En el comité de dirección se discute quién responde por qué en el sector salud del departamento. Se mencionan la Superintendencia Nacional de Salud, la secretaría departamental, la CNSC, la Contraloría y la Procuraduría, y hay confusión sobre las funciones de cada una frente al hospital.</t>
        </is>
      </c>
      <c r="H407" s="14" t="inlineStr">
        <is>
          <t>La verificación del cumplimiento de las condiciones de habilitación del hospital corresponde a:</t>
        </is>
      </c>
      <c r="I407" s="14" t="inlineStr">
        <is>
          <t>La dirección departamental de salud, sin perjuicio de las competencias de la Superintendencia Nacional de Salud</t>
        </is>
      </c>
      <c r="J407" s="14" t="inlineStr">
        <is>
          <t>La Superintendencia Nacional de Salud de manera exclusiva, por ser la autoridad de vigilancia del sector</t>
        </is>
      </c>
      <c r="K407" s="14" t="inlineStr">
        <is>
          <t>El Ministerio de Salud, conforme a las normas de habilitación que él mismo expide</t>
        </is>
      </c>
      <c r="L407" s="14" t="inlineStr">
        <is>
          <t>a</t>
        </is>
      </c>
      <c r="M407" s="14" t="inlineStr">
        <is>
          <t>La verificación de las condiciones de habilitación es competencia de las direcciones departamentales y distritales de salud.</t>
        </is>
      </c>
      <c r="N407" s="14" t="inlineStr">
        <is>
          <t>La opción b) concentra en la superintendencia una función territorial y la opción c) confunde expedir la norma con verificar su cumplimiento.</t>
        </is>
      </c>
      <c r="O407" s="14" t="inlineStr">
        <is>
          <t>Ley 715 de 2001, art. 43; Resolución 3100 de 2019</t>
        </is>
      </c>
      <c r="P407" s="14" t="inlineStr">
        <is>
          <t>SI</t>
        </is>
      </c>
      <c r="Q407" s="14" t="inlineStr">
        <is>
          <t>Alta</t>
        </is>
      </c>
      <c r="R407" s="14" t="inlineStr">
        <is>
          <t>v2</t>
        </is>
      </c>
    </row>
    <row r="408" ht="57" customHeight="1" s="12">
      <c r="A408" s="14" t="inlineStr">
        <is>
          <t>F0407</t>
        </is>
      </c>
      <c r="B408" s="14" t="inlineStr">
        <is>
          <t>PS 2782 de 2026 - ESE 2 - HUHMP Neiva</t>
        </is>
      </c>
      <c r="C408" s="14" t="inlineStr">
        <is>
          <t>Estructura del Estado y niveles de gobierno</t>
        </is>
      </c>
      <c r="D408" s="14" t="inlineStr">
        <is>
          <t>Profesional</t>
        </is>
      </c>
      <c r="E408" s="14" t="inlineStr">
        <is>
          <t>C136</t>
        </is>
      </c>
      <c r="F408" s="14" t="inlineStr">
        <is>
          <t>Caso 136</t>
        </is>
      </c>
      <c r="G408" s="14" t="inlineStr">
        <is>
          <t>En el comité de dirección se discute quién responde por qué en el sector salud del departamento. Se mencionan la Superintendencia Nacional de Salud, la secretaría departamental, la CNSC, la Contraloría y la Procuraduría, y hay confusión sobre las funciones de cada una frente al hospital.</t>
        </is>
      </c>
      <c r="H408" s="14" t="inlineStr">
        <is>
          <t>El daño al patrimonio público por una compra sobrevalorada se investiga por:</t>
        </is>
      </c>
      <c r="I408" s="14" t="inlineStr">
        <is>
          <t>La Contraloría, mediante el proceso de responsabilidad fiscal</t>
        </is>
      </c>
      <c r="J408" s="14" t="inlineStr">
        <is>
          <t>La Procuraduría, mediante el proceso disciplinario correspondiente</t>
        </is>
      </c>
      <c r="K408" s="14" t="inlineStr">
        <is>
          <t>La Superintendencia Nacional de Salud, mediante su función jurisdiccional</t>
        </is>
      </c>
      <c r="L408" s="14" t="inlineStr">
        <is>
          <t>a</t>
        </is>
      </c>
      <c r="M408" s="14" t="inlineStr">
        <is>
          <t>El daño patrimonial al Estado se investiga en el proceso de responsabilidad fiscal a cargo de los órganos de control fiscal.</t>
        </is>
      </c>
      <c r="N408" s="14" t="inlineStr">
        <is>
          <t>La opción b) juzga la conducta funcional, no el daño patrimonial; la opción c) resuelve conflictos entre actores del sistema de salud.</t>
        </is>
      </c>
      <c r="O408" s="14" t="inlineStr">
        <is>
          <t>Constitución Política de 1991, art. 267; Ley 610 de 2000</t>
        </is>
      </c>
      <c r="P408" s="14" t="inlineStr">
        <is>
          <t>SI</t>
        </is>
      </c>
      <c r="Q408" s="14" t="inlineStr">
        <is>
          <t>Alta</t>
        </is>
      </c>
      <c r="R408" s="14" t="inlineStr">
        <is>
          <t>v2</t>
        </is>
      </c>
    </row>
    <row r="409" ht="57" customHeight="1" s="12">
      <c r="A409" s="14" t="inlineStr">
        <is>
          <t>F0408</t>
        </is>
      </c>
      <c r="B409" s="14" t="inlineStr">
        <is>
          <t>PS 2782 de 2026 - ESE 2 - HUHMP Neiva</t>
        </is>
      </c>
      <c r="C409" s="14" t="inlineStr">
        <is>
          <t>Estructura del Estado y niveles de gobierno</t>
        </is>
      </c>
      <c r="D409" s="14" t="inlineStr">
        <is>
          <t>Profesional</t>
        </is>
      </c>
      <c r="E409" s="14" t="inlineStr">
        <is>
          <t>C136</t>
        </is>
      </c>
      <c r="F409" s="14" t="inlineStr">
        <is>
          <t>Caso 136</t>
        </is>
      </c>
      <c r="G409" s="14" t="inlineStr">
        <is>
          <t>En el comité de dirección se discute quién responde por qué en el sector salud del departamento. Se mencionan la Superintendencia Nacional de Salud, la secretaría departamental, la CNSC, la Contraloría y la Procuraduría, y hay confusión sobre las funciones de cada una frente al hospital.</t>
        </is>
      </c>
      <c r="H409" s="14" t="inlineStr">
        <is>
          <t>La CNSC, dentro de la estructura del Estado, es:</t>
        </is>
      </c>
      <c r="I409" s="14" t="inlineStr">
        <is>
          <t>Un órgano autónomo e independiente, responsable de la administración y vigilancia de las carreras</t>
        </is>
      </c>
      <c r="J409" s="14" t="inlineStr">
        <is>
          <t>Una unidad administrativa especial adscrita al Departamento Administrativo de la Función Pública</t>
        </is>
      </c>
      <c r="K409" s="14" t="inlineStr">
        <is>
          <t>Un organismo de control que integra el Ministerio Público junto con la Procuraduría General</t>
        </is>
      </c>
      <c r="L409" s="14" t="inlineStr">
        <is>
          <t>a</t>
        </is>
      </c>
      <c r="M409" s="14" t="inlineStr">
        <is>
          <t>La Constitución define a la CNSC como un órgano autónomo e independiente, responsable de la administración y vigilancia de las carreras.</t>
        </is>
      </c>
      <c r="N409" s="14" t="inlineStr">
        <is>
          <t>La opción b) la ubica bajo adscripción y la opción c) la incluye en el Ministerio Público, al que no pertenece.</t>
        </is>
      </c>
      <c r="O409" s="14" t="inlineStr">
        <is>
          <t>Constitución Política de 1991, art. 130; Ley 909 de 2004</t>
        </is>
      </c>
      <c r="P409" s="14" t="inlineStr">
        <is>
          <t>SI</t>
        </is>
      </c>
      <c r="Q409" s="14" t="inlineStr">
        <is>
          <t>Alta</t>
        </is>
      </c>
      <c r="R409" s="14" t="inlineStr">
        <is>
          <t>v2</t>
        </is>
      </c>
    </row>
    <row r="410" ht="57" customHeight="1" s="12">
      <c r="A410" s="14" t="inlineStr">
        <is>
          <t>F0409</t>
        </is>
      </c>
      <c r="B410" s="14" t="inlineStr">
        <is>
          <t>PS 2782 de 2026 - ESE 2 - HUHMP Neiva</t>
        </is>
      </c>
      <c r="C410" s="14" t="inlineStr">
        <is>
          <t>Estructura del Estado y niveles de gobierno</t>
        </is>
      </c>
      <c r="D410" s="14" t="inlineStr">
        <is>
          <t>Tecnico</t>
        </is>
      </c>
      <c r="E410" s="14" t="inlineStr">
        <is>
          <t>C137</t>
        </is>
      </c>
      <c r="F410" s="14" t="inlineStr">
        <is>
          <t>Caso 137</t>
        </is>
      </c>
      <c r="G410" s="14" t="inlineStr">
        <is>
          <t>La oficina de planeación prepara el informe sobre las fuentes que financian la operación del hospital y su relación con los niveles de gobierno. Aparecen recursos del Sistema General de Participaciones, recursos propios por venta de servicios, aportes de la gobernación y un proyecto financiado con regalías.</t>
        </is>
      </c>
      <c r="H410" s="14" t="inlineStr">
        <is>
          <t>Los recursos del Sistema General de Participaciones son transferidos por:</t>
        </is>
      </c>
      <c r="I410" s="14" t="inlineStr">
        <is>
          <t>La Nación a las entidades territoriales, conforme a la distribución que fija la ley</t>
        </is>
      </c>
      <c r="J410" s="14" t="inlineStr">
        <is>
          <t>El departamento a los municipios, según la población atendida en cada vigencia</t>
        </is>
      </c>
      <c r="K410" s="14" t="inlineStr">
        <is>
          <t>La ADRES a los prestadores, de acuerdo con los servicios efectivamente facturados</t>
        </is>
      </c>
      <c r="L410" s="14" t="inlineStr">
        <is>
          <t>a</t>
        </is>
      </c>
      <c r="M410" s="14" t="inlineStr">
        <is>
          <t>El Sistema General de Participaciones corresponde a los recursos que la Nación transfiere a las entidades territoriales por mandato constitucional.</t>
        </is>
      </c>
      <c r="N410" s="14" t="inlineStr">
        <is>
          <t>La opción b) describe un reparto interno posterior y la opción c) alude a un flujo del aseguramiento, con otra fuente y otra finalidad.</t>
        </is>
      </c>
      <c r="O410" s="14" t="inlineStr">
        <is>
          <t>Constitución Política de 1991, arts. 356 y 357; Ley 715 de 2001</t>
        </is>
      </c>
      <c r="P410" s="14" t="inlineStr">
        <is>
          <t>SI</t>
        </is>
      </c>
      <c r="Q410" s="14" t="inlineStr">
        <is>
          <t>Media</t>
        </is>
      </c>
      <c r="R410" s="14" t="inlineStr">
        <is>
          <t>v2</t>
        </is>
      </c>
    </row>
    <row r="411" ht="57" customHeight="1" s="12">
      <c r="A411" s="14" t="inlineStr">
        <is>
          <t>F0410</t>
        </is>
      </c>
      <c r="B411" s="14" t="inlineStr">
        <is>
          <t>PS 2782 de 2026 - ESE 2 - HUHMP Neiva</t>
        </is>
      </c>
      <c r="C411" s="14" t="inlineStr">
        <is>
          <t>Estructura del Estado y niveles de gobierno</t>
        </is>
      </c>
      <c r="D411" s="14" t="inlineStr">
        <is>
          <t>Tecnico</t>
        </is>
      </c>
      <c r="E411" s="14" t="inlineStr">
        <is>
          <t>C137</t>
        </is>
      </c>
      <c r="F411" s="14" t="inlineStr">
        <is>
          <t>Caso 137</t>
        </is>
      </c>
      <c r="G411" s="14" t="inlineStr">
        <is>
          <t>La oficina de planeación prepara el informe sobre las fuentes que financian la operación del hospital y su relación con los niveles de gobierno. Aparecen recursos del Sistema General de Participaciones, recursos propios por venta de servicios, aportes de la gobernación y un proyecto financiado con regalías.</t>
        </is>
      </c>
      <c r="H411" s="14" t="inlineStr">
        <is>
          <t>Los proyectos financiados con regalías se aprueban en:</t>
        </is>
      </c>
      <c r="I411" s="14" t="inlineStr">
        <is>
          <t>Los órganos colegiados de administración y decisión del Sistema General de Regalías</t>
        </is>
      </c>
      <c r="J411" s="14" t="inlineStr">
        <is>
          <t>La junta directiva del hospital, por ser la beneficiaria directa del proyecto</t>
        </is>
      </c>
      <c r="K411" s="14" t="inlineStr">
        <is>
          <t>El concejo municipal donde se ejecutará la obra financiada con esos recursos</t>
        </is>
      </c>
      <c r="L411" s="14" t="inlineStr">
        <is>
          <t>a</t>
        </is>
      </c>
      <c r="M411" s="14" t="inlineStr">
        <is>
          <t>La aprobación de los proyectos de inversión financiados con regalías corresponde a los órganos colegiados de administración y decisión.</t>
        </is>
      </c>
      <c r="N411" s="14" t="inlineStr">
        <is>
          <t>Las opciones b) y c) asignan la decisión a instancias que participan en el proceso, pero no aprueban el proyecto.</t>
        </is>
      </c>
      <c r="O411" s="14" t="inlineStr">
        <is>
          <t>Constitución Política de 1991, art. 361; Ley 2056 de 2020</t>
        </is>
      </c>
      <c r="P411" s="14" t="inlineStr">
        <is>
          <t>SI</t>
        </is>
      </c>
      <c r="Q411" s="14" t="inlineStr">
        <is>
          <t>Media</t>
        </is>
      </c>
      <c r="R411" s="14" t="inlineStr">
        <is>
          <t>v2</t>
        </is>
      </c>
    </row>
    <row r="412" ht="57" customHeight="1" s="12">
      <c r="A412" s="14" t="inlineStr">
        <is>
          <t>F0411</t>
        </is>
      </c>
      <c r="B412" s="14" t="inlineStr">
        <is>
          <t>PS 2782 de 2026 - ESE 2 - HUHMP Neiva</t>
        </is>
      </c>
      <c r="C412" s="14" t="inlineStr">
        <is>
          <t>Estructura del Estado y niveles de gobierno</t>
        </is>
      </c>
      <c r="D412" s="14" t="inlineStr">
        <is>
          <t>Tecnico</t>
        </is>
      </c>
      <c r="E412" s="14" t="inlineStr">
        <is>
          <t>C137</t>
        </is>
      </c>
      <c r="F412" s="14" t="inlineStr">
        <is>
          <t>Caso 137</t>
        </is>
      </c>
      <c r="G412" s="14" t="inlineStr">
        <is>
          <t>La oficina de planeación prepara el informe sobre las fuentes que financian la operación del hospital y su relación con los niveles de gobierno. Aparecen recursos del Sistema General de Participaciones, recursos propios por venta de servicios, aportes de la gobernación y un proyecto financiado con regalías.</t>
        </is>
      </c>
      <c r="H412" s="14" t="inlineStr">
        <is>
          <t>La venta de servicios de salud a las entidades responsables de pago constituye para el hospital:</t>
        </is>
      </c>
      <c r="I412" s="14" t="inlineStr">
        <is>
          <t>Un recurso propio, que se presupuesta y ejecuta conforme a su régimen presupuestal</t>
        </is>
      </c>
      <c r="J412" s="14" t="inlineStr">
        <is>
          <t>Una transferencia de la Nación, sujeta a las reglas del Sistema General de Participaciones</t>
        </is>
      </c>
      <c r="K412" s="14" t="inlineStr">
        <is>
          <t>Un aporte del departamento, que se reintegra conforme al cierre de cada vigencia</t>
        </is>
      </c>
      <c r="L412" s="14" t="inlineStr">
        <is>
          <t>a</t>
        </is>
      </c>
      <c r="M412" s="14" t="inlineStr">
        <is>
          <t>Los ingresos por venta de servicios son recursos propios de la E.S.E. y se manejan conforme a su régimen presupuestal.</t>
        </is>
      </c>
      <c r="N412" s="14" t="inlineStr">
        <is>
          <t>Las opciones b) y c) los tratan como transferencias o aportes, con reglas que no les aplican.</t>
        </is>
      </c>
      <c r="O412" s="14" t="inlineStr">
        <is>
          <t>Ley 100 de 1993, art. 195; Decreto 115 de 1996</t>
        </is>
      </c>
      <c r="P412" s="14" t="inlineStr">
        <is>
          <t>SI</t>
        </is>
      </c>
      <c r="Q412" s="14" t="inlineStr">
        <is>
          <t>Media</t>
        </is>
      </c>
      <c r="R412" s="14" t="inlineStr">
        <is>
          <t>v2</t>
        </is>
      </c>
    </row>
    <row r="413" ht="68.25" customHeight="1" s="12">
      <c r="A413" s="14" t="inlineStr">
        <is>
          <t>F0412</t>
        </is>
      </c>
      <c r="B413" s="14" t="inlineStr">
        <is>
          <t>PS 2782 de 2026 - ESE 2 - HUHMP Neiva</t>
        </is>
      </c>
      <c r="C413" s="14" t="inlineStr">
        <is>
          <t>Contratacion estatal</t>
        </is>
      </c>
      <c r="D413" s="14" t="inlineStr">
        <is>
          <t>Profesional</t>
        </is>
      </c>
      <c r="E413" s="14" t="inlineStr">
        <is>
          <t>C138</t>
        </is>
      </c>
      <c r="F413" s="14" t="inlineStr">
        <is>
          <t>Caso 138</t>
        </is>
      </c>
      <c r="G413" s="14" t="inlineStr">
        <is>
          <t>La secretaría departamental de salud, entidad regida por el Estatuto General de Contratación, debe adquirir equipos de cómputo por doscientos salarios mínimos mensuales legales vigentes. Un asesor propone contratación directa alegando urgencia, otro sugiere licitación pública y un tercero recuerda que existen instrumentos de agregación de demanda para ese tipo de bienes.</t>
        </is>
      </c>
      <c r="H413" s="14" t="inlineStr">
        <is>
          <t>Tratándose de bienes de características técnicas uniformes, la modalidad que corresponde es:</t>
        </is>
      </c>
      <c r="I413" s="14" t="inlineStr">
        <is>
          <t>La selección abreviada, mediante subasta inversa o acuerdo marco de precios según el caso</t>
        </is>
      </c>
      <c r="J413" s="14" t="inlineStr">
        <is>
          <t>La licitación pública, conforme al valor del contrato frente a la menor cuantía</t>
        </is>
      </c>
      <c r="K413" s="14" t="inlineStr">
        <is>
          <t>El concurso de méritos, por tratarse de una adquisición con componente técnico especializado</t>
        </is>
      </c>
      <c r="L413" s="14" t="inlineStr">
        <is>
          <t>a</t>
        </is>
      </c>
      <c r="M413" s="14" t="inlineStr">
        <is>
          <t>Los bienes de características técnicas uniformes y de común utilización se adquieren por selección abreviada, con subasta inversa o instrumentos de agregación de demanda.</t>
        </is>
      </c>
      <c r="N413" s="14" t="inlineStr">
        <is>
          <t>La opción b) aplica la modalidad general sin atender la naturaleza del bien y la opción c) está reservada a servicios de consultoría.</t>
        </is>
      </c>
      <c r="O413" s="14" t="inlineStr">
        <is>
          <t>Ley 1150 de 2007, art. 2; Decreto 1082 de 2015</t>
        </is>
      </c>
      <c r="P413" s="14" t="inlineStr">
        <is>
          <t>SI</t>
        </is>
      </c>
      <c r="Q413" s="14" t="inlineStr">
        <is>
          <t>Alta</t>
        </is>
      </c>
      <c r="R413" s="14" t="inlineStr">
        <is>
          <t>v2</t>
        </is>
      </c>
    </row>
    <row r="414" ht="68.25" customHeight="1" s="12">
      <c r="A414" s="14" t="inlineStr">
        <is>
          <t>F0413</t>
        </is>
      </c>
      <c r="B414" s="14" t="inlineStr">
        <is>
          <t>PS 2782 de 2026 - ESE 2 - HUHMP Neiva</t>
        </is>
      </c>
      <c r="C414" s="14" t="inlineStr">
        <is>
          <t>Contratacion estatal</t>
        </is>
      </c>
      <c r="D414" s="14" t="inlineStr">
        <is>
          <t>Profesional</t>
        </is>
      </c>
      <c r="E414" s="14" t="inlineStr">
        <is>
          <t>C138</t>
        </is>
      </c>
      <c r="F414" s="14" t="inlineStr">
        <is>
          <t>Caso 138</t>
        </is>
      </c>
      <c r="G414" s="14" t="inlineStr">
        <is>
          <t>La secretaría departamental de salud, entidad regida por el Estatuto General de Contratación, debe adquirir equipos de cómputo por doscientos salarios mínimos mensuales legales vigentes. Un asesor propone contratación directa alegando urgencia, otro sugiere licitación pública y un tercero recuerda que existen instrumentos de agregación de demanda para ese tipo de bienes.</t>
        </is>
      </c>
      <c r="H414" s="14" t="inlineStr">
        <is>
          <t>La urgencia manifiesta que propone el primer asesor:</t>
        </is>
      </c>
      <c r="I414" s="14" t="inlineStr">
        <is>
          <t>Exige un acto administrativo motivado y hechos que impidan acudir al procedimiento ordinario</t>
        </is>
      </c>
      <c r="J414" s="14" t="inlineStr">
        <is>
          <t>Puede declararse por decisión verbal del ordenador del gasto cuando el plazo apremia</t>
        </is>
      </c>
      <c r="K414" s="14" t="inlineStr">
        <is>
          <t>Procede siempre que la entidad acredite que el bien es necesario para el servicio</t>
        </is>
      </c>
      <c r="L414" s="14" t="inlineStr">
        <is>
          <t>a</t>
        </is>
      </c>
      <c r="M414" s="14" t="inlineStr">
        <is>
          <t>La urgencia manifiesta se declara mediante acto administrativo motivado y solo ante hechos que hagan imposible acudir al procedimiento de selección.</t>
        </is>
      </c>
      <c r="N414" s="14" t="inlineStr">
        <is>
          <t>La opción b) prescinde del acto motivado y la opción c) convierte la necesidad ordinaria en causal excepcional.</t>
        </is>
      </c>
      <c r="O414" s="14" t="inlineStr">
        <is>
          <t>Ley 80 de 1993, arts. 42 y 43</t>
        </is>
      </c>
      <c r="P414" s="14" t="inlineStr">
        <is>
          <t>SI</t>
        </is>
      </c>
      <c r="Q414" s="14" t="inlineStr">
        <is>
          <t>Alta</t>
        </is>
      </c>
      <c r="R414" s="14" t="inlineStr">
        <is>
          <t>v2</t>
        </is>
      </c>
    </row>
    <row r="415" ht="68.25" customHeight="1" s="12">
      <c r="A415" s="14" t="inlineStr">
        <is>
          <t>F0414</t>
        </is>
      </c>
      <c r="B415" s="14" t="inlineStr">
        <is>
          <t>PS 2782 de 2026 - ESE 2 - HUHMP Neiva</t>
        </is>
      </c>
      <c r="C415" s="14" t="inlineStr">
        <is>
          <t>Contratacion estatal</t>
        </is>
      </c>
      <c r="D415" s="14" t="inlineStr">
        <is>
          <t>Profesional</t>
        </is>
      </c>
      <c r="E415" s="14" t="inlineStr">
        <is>
          <t>C138</t>
        </is>
      </c>
      <c r="F415" s="14" t="inlineStr">
        <is>
          <t>Caso 138</t>
        </is>
      </c>
      <c r="G415" s="14" t="inlineStr">
        <is>
          <t>La secretaría departamental de salud, entidad regida por el Estatuto General de Contratación, debe adquirir equipos de cómputo por doscientos salarios mínimos mensuales legales vigentes. Un asesor propone contratación directa alegando urgencia, otro sugiere licitación pública y un tercero recuerda que existen instrumentos de agregación de demanda para ese tipo de bienes.</t>
        </is>
      </c>
      <c r="H415" s="14" t="inlineStr">
        <is>
          <t>Frente a la publicidad del proceso, la entidad debe:</t>
        </is>
      </c>
      <c r="I415" s="14" t="inlineStr">
        <is>
          <t>Publicar los documentos del proceso y de su ejecución en el SECOP, en los términos previstos</t>
        </is>
      </c>
      <c r="J415" s="14" t="inlineStr">
        <is>
          <t>Publicar solo el contrato firmado, una vez surtido el perfeccionamiento y el registro presupuestal</t>
        </is>
      </c>
      <c r="K415" s="14" t="inlineStr">
        <is>
          <t>Publicar en la cartelera de la entidad y en un diario de circulación regional el aviso de apertura</t>
        </is>
      </c>
      <c r="L415" s="14" t="inlineStr">
        <is>
          <t>a</t>
        </is>
      </c>
      <c r="M415" s="14" t="inlineStr">
        <is>
          <t>La actividad contractual se publica en el SECOP, incluidos los documentos del proceso y los de su ejecución.</t>
        </is>
      </c>
      <c r="N415" s="14" t="inlineStr">
        <is>
          <t>Las opciones b) y c) restringen la publicidad a un documento o a medios que no sustituyen la plataforma oficial.</t>
        </is>
      </c>
      <c r="O415" s="14" t="inlineStr">
        <is>
          <t>Ley 1712 de 2014; Ley 2195 de 2022, art. 53</t>
        </is>
      </c>
      <c r="P415" s="14" t="inlineStr">
        <is>
          <t>SI</t>
        </is>
      </c>
      <c r="Q415" s="14" t="inlineStr">
        <is>
          <t>Alta</t>
        </is>
      </c>
      <c r="R415" s="14" t="inlineStr">
        <is>
          <t>v2</t>
        </is>
      </c>
    </row>
    <row r="416" ht="57" customHeight="1" s="12">
      <c r="A416" s="14" t="inlineStr">
        <is>
          <t>F0415</t>
        </is>
      </c>
      <c r="B416" s="14" t="inlineStr">
        <is>
          <t>PS 2782 de 2026 - ESE 2 - HUHMP Neiva</t>
        </is>
      </c>
      <c r="C416" s="14" t="inlineStr">
        <is>
          <t>Contratacion estatal</t>
        </is>
      </c>
      <c r="D416" s="14" t="inlineStr">
        <is>
          <t>Profesional</t>
        </is>
      </c>
      <c r="E416" s="14" t="inlineStr">
        <is>
          <t>C139</t>
        </is>
      </c>
      <c r="F416" s="14" t="inlineStr">
        <is>
          <t>Caso 139</t>
        </is>
      </c>
      <c r="G416" s="14" t="inlineStr">
        <is>
          <t>Usted es supervisor de un contrato de suministro de insumos. En el tercer mes detecta entregas incompletas y un producto que no cumple la ficha técnica. El contratista argumenta desabastecimiento del proveedor y pide que se le reciba igual. El ordenador del gasto está de viaje y el contratista insiste en radicar la factura completa.</t>
        </is>
      </c>
      <c r="H416" s="14" t="inlineStr">
        <is>
          <t>Su primera actuación como supervisor es:</t>
        </is>
      </c>
      <c r="I416" s="14" t="inlineStr">
        <is>
          <t>Requerir por escrito al contratista, dejar constancia del incumplimiento e informar al ordenador del gasto</t>
        </is>
      </c>
      <c r="J416" s="14" t="inlineStr">
        <is>
          <t>Recibir lo entregado y anotar la diferencia en el acta parcial para revisarla en la liquidación</t>
        </is>
      </c>
      <c r="K416" s="14" t="inlineStr">
        <is>
          <t>Autorizar el pago proporcional, dejando constancia del valor descontado por lo no entregado</t>
        </is>
      </c>
      <c r="L416" s="14" t="inlineStr">
        <is>
          <t>a</t>
        </is>
      </c>
      <c r="M416" s="14" t="inlineStr">
        <is>
          <t>La supervisión exige requerir por escrito, documentar el incumplimiento y poner el hecho en conocimiento de quien puede iniciar las actuaciones contractuales.</t>
        </is>
      </c>
      <c r="N416" s="14" t="inlineStr">
        <is>
          <t>La opción b) aplaza el problema hasta el final y la opción c) ejerce una facultad de descuento que no corresponde al supervisor.</t>
        </is>
      </c>
      <c r="O416" s="14" t="inlineStr">
        <is>
          <t>Ley 1474 de 2011, arts. 83 y 84</t>
        </is>
      </c>
      <c r="P416" s="14" t="inlineStr">
        <is>
          <t>SI</t>
        </is>
      </c>
      <c r="Q416" s="14" t="inlineStr">
        <is>
          <t>Media</t>
        </is>
      </c>
      <c r="R416" s="14" t="inlineStr">
        <is>
          <t>v2</t>
        </is>
      </c>
    </row>
    <row r="417" ht="57" customHeight="1" s="12">
      <c r="A417" s="14" t="inlineStr">
        <is>
          <t>F0416</t>
        </is>
      </c>
      <c r="B417" s="14" t="inlineStr">
        <is>
          <t>PS 2782 de 2026 - ESE 2 - HUHMP Neiva</t>
        </is>
      </c>
      <c r="C417" s="14" t="inlineStr">
        <is>
          <t>Contratacion estatal</t>
        </is>
      </c>
      <c r="D417" s="14" t="inlineStr">
        <is>
          <t>Profesional</t>
        </is>
      </c>
      <c r="E417" s="14" t="inlineStr">
        <is>
          <t>C139</t>
        </is>
      </c>
      <c r="F417" s="14" t="inlineStr">
        <is>
          <t>Caso 139</t>
        </is>
      </c>
      <c r="G417" s="14" t="inlineStr">
        <is>
          <t>Usted es supervisor de un contrato de suministro de insumos. En el tercer mes detecta entregas incompletas y un producto que no cumple la ficha técnica. El contratista argumenta desabastecimiento del proveedor y pide que se le reciba igual. El ordenador del gasto está de viaje y el contratista insiste en radicar la factura completa.</t>
        </is>
      </c>
      <c r="H417" s="14" t="inlineStr">
        <is>
          <t>La declaratoria de incumplimiento y la imposición de multas requieren:</t>
        </is>
      </c>
      <c r="I417" s="14" t="inlineStr">
        <is>
          <t>Un procedimiento con audiencia en el que se garantice el debido proceso al contratista</t>
        </is>
      </c>
      <c r="J417" s="14" t="inlineStr">
        <is>
          <t>Un acta suscrita entre el supervisor y el contratista donde este acepte la sanción</t>
        </is>
      </c>
      <c r="K417" s="14" t="inlineStr">
        <is>
          <t>Un concepto previo favorable de la oficina jurídica y del comité de contratación</t>
        </is>
      </c>
      <c r="L417" s="14" t="inlineStr">
        <is>
          <t>a</t>
        </is>
      </c>
      <c r="M417" s="14" t="inlineStr">
        <is>
          <t>La imposición de multas y la declaratoria de incumplimiento se surten en audiencia, con garantía del debido proceso.</t>
        </is>
      </c>
      <c r="N417" s="14" t="inlineStr">
        <is>
          <t>La opción b) sustituye el procedimiento por un acuerdo entre partes y la opción c) convierte conceptos internos en requisito del debido proceso.</t>
        </is>
      </c>
      <c r="O417" s="14" t="inlineStr">
        <is>
          <t>Ley 1474 de 2011, art. 86; Constitución Política de 1991, art. 29</t>
        </is>
      </c>
      <c r="P417" s="14" t="inlineStr">
        <is>
          <t>SI</t>
        </is>
      </c>
      <c r="Q417" s="14" t="inlineStr">
        <is>
          <t>Media</t>
        </is>
      </c>
      <c r="R417" s="14" t="inlineStr">
        <is>
          <t>v2</t>
        </is>
      </c>
    </row>
    <row r="418" ht="57" customHeight="1" s="12">
      <c r="A418" s="14" t="inlineStr">
        <is>
          <t>F0417</t>
        </is>
      </c>
      <c r="B418" s="14" t="inlineStr">
        <is>
          <t>PS 2782 de 2026 - ESE 2 - HUHMP Neiva</t>
        </is>
      </c>
      <c r="C418" s="14" t="inlineStr">
        <is>
          <t>Contratacion estatal</t>
        </is>
      </c>
      <c r="D418" s="14" t="inlineStr">
        <is>
          <t>Profesional</t>
        </is>
      </c>
      <c r="E418" s="14" t="inlineStr">
        <is>
          <t>C139</t>
        </is>
      </c>
      <c r="F418" s="14" t="inlineStr">
        <is>
          <t>Caso 139</t>
        </is>
      </c>
      <c r="G418" s="14" t="inlineStr">
        <is>
          <t>Usted es supervisor de un contrato de suministro de insumos. En el tercer mes detecta entregas incompletas y un producto que no cumple la ficha técnica. El contratista argumenta desabastecimiento del proveedor y pide que se le reciba igual. El ordenador del gasto está de viaje y el contratista insiste en radicar la factura completa.</t>
        </is>
      </c>
      <c r="H418" s="14" t="inlineStr">
        <is>
          <t>Si el supervisor omite el seguimiento y el daño se consuma, puede responder:</t>
        </is>
      </c>
      <c r="I418" s="14" t="inlineStr">
        <is>
          <t>Disciplinaria, fiscal y penalmente, según la conducta y el resultado producido</t>
        </is>
      </c>
      <c r="J418" s="14" t="inlineStr">
        <is>
          <t>Solo disciplinariamente, conforme a la distribución de obligaciones pactada en el contrato</t>
        </is>
      </c>
      <c r="K418" s="14" t="inlineStr">
        <is>
          <t>Solo fiscalmente, y únicamente si el contrato superaba la menor cuantía de la entidad</t>
        </is>
      </c>
      <c r="L418" s="14" t="inlineStr">
        <is>
          <t>a</t>
        </is>
      </c>
      <c r="M418" s="14" t="inlineStr">
        <is>
          <t>La ley prevé responsabilidad disciplinaria, fiscal y penal para los supervisores e interventores que omitan el deber de vigilancia.</t>
        </is>
      </c>
      <c r="N418" s="14" t="inlineStr">
        <is>
          <t>Las opciones b) y c) limitan a un solo régimen o a una cuantía una responsabilidad que la ley no restringe así.</t>
        </is>
      </c>
      <c r="O418" s="14" t="inlineStr">
        <is>
          <t>Ley 1474 de 2011, art. 84</t>
        </is>
      </c>
      <c r="P418" s="14" t="inlineStr">
        <is>
          <t>SI</t>
        </is>
      </c>
      <c r="Q418" s="14" t="inlineStr">
        <is>
          <t>Media</t>
        </is>
      </c>
      <c r="R418" s="14" t="inlineStr">
        <is>
          <t>v2</t>
        </is>
      </c>
    </row>
    <row r="419" ht="57" customHeight="1" s="12">
      <c r="A419" s="14" t="inlineStr">
        <is>
          <t>F0418</t>
        </is>
      </c>
      <c r="B419" s="14" t="inlineStr">
        <is>
          <t>PS 2782 de 2026 - ESE 2 - HUHMP Neiva</t>
        </is>
      </c>
      <c r="C419" s="14" t="inlineStr">
        <is>
          <t>Contratacion estatal</t>
        </is>
      </c>
      <c r="D419" s="14" t="inlineStr">
        <is>
          <t>Tecnico</t>
        </is>
      </c>
      <c r="E419" s="14" t="inlineStr">
        <is>
          <t>C140</t>
        </is>
      </c>
      <c r="F419" s="14" t="inlineStr">
        <is>
          <t>Caso 140</t>
        </is>
      </c>
      <c r="G419" s="14" t="inlineStr">
        <is>
          <t>En un proceso de mínima cuantía se presentan tres propuestas. La más económica proviene de una empresa cuyo representante legal es hermano del jefe de la oficina que estructuró los estudios previos. El comité evaluador pregunta cómo proceder y si el jefe puede seguir participando en la evaluación.</t>
        </is>
      </c>
      <c r="H419" s="14" t="inlineStr">
        <is>
          <t>La situación descrita configura, frente al jefe de la oficina:</t>
        </is>
      </c>
      <c r="I419" s="14" t="inlineStr">
        <is>
          <t>Un conflicto de interés que debe declarar por escrito, apartándose del trámite</t>
        </is>
      </c>
      <c r="J419" s="14" t="inlineStr">
        <is>
          <t>Una incompatibilidad que obliga a declarar desierto el proceso de selección</t>
        </is>
      </c>
      <c r="K419" s="14" t="inlineStr">
        <is>
          <t>Una circunstancia sin efecto, verificado que él no integra el comité evaluador</t>
        </is>
      </c>
      <c r="L419" s="14" t="inlineStr">
        <is>
          <t>a</t>
        </is>
      </c>
      <c r="M419" s="14" t="inlineStr">
        <is>
          <t>Quien tiene un vínculo cercano con un interesado debe declarar el conflicto de interés y apartarse de la actuación.</t>
        </is>
      </c>
      <c r="N419" s="14" t="inlineStr">
        <is>
          <t>La opción b) aplica una consecuencia que recae sobre el proceso y no sobre la persona; la opción c) ignora que él estructuró los estudios previos.</t>
        </is>
      </c>
      <c r="O419" s="14" t="inlineStr">
        <is>
          <t>Ley 2013 de 2019; Ley 1437 de 2011, art. 11</t>
        </is>
      </c>
      <c r="P419" s="14" t="inlineStr">
        <is>
          <t>SI</t>
        </is>
      </c>
      <c r="Q419" s="14" t="inlineStr">
        <is>
          <t>Media</t>
        </is>
      </c>
      <c r="R419" s="14" t="inlineStr">
        <is>
          <t>v2</t>
        </is>
      </c>
    </row>
    <row r="420" ht="57" customHeight="1" s="12">
      <c r="A420" s="14" t="inlineStr">
        <is>
          <t>F0419</t>
        </is>
      </c>
      <c r="B420" s="14" t="inlineStr">
        <is>
          <t>PS 2782 de 2026 - ESE 2 - HUHMP Neiva</t>
        </is>
      </c>
      <c r="C420" s="14" t="inlineStr">
        <is>
          <t>Contratacion estatal</t>
        </is>
      </c>
      <c r="D420" s="14" t="inlineStr">
        <is>
          <t>Tecnico</t>
        </is>
      </c>
      <c r="E420" s="14" t="inlineStr">
        <is>
          <t>C140</t>
        </is>
      </c>
      <c r="F420" s="14" t="inlineStr">
        <is>
          <t>Caso 140</t>
        </is>
      </c>
      <c r="G420" s="14" t="inlineStr">
        <is>
          <t>En un proceso de mínima cuantía se presentan tres propuestas. La más económica proviene de una empresa cuyo representante legal es hermano del jefe de la oficina que estructuró los estudios previos. El comité evaluador pregunta cómo proceder y si el jefe puede seguir participando en la evaluación.</t>
        </is>
      </c>
      <c r="H420" s="14" t="inlineStr">
        <is>
          <t>Respecto de la propuesta presentada por la empresa del hermano:</t>
        </is>
      </c>
      <c r="I420" s="14" t="inlineStr">
        <is>
          <t>Debe verificarse la causal de inhabilidad prevista en la ley antes de evaluarla</t>
        </is>
      </c>
      <c r="J420" s="14" t="inlineStr">
        <is>
          <t>Debe rechazarse de plano, sin necesidad de verificar causal alguna</t>
        </is>
      </c>
      <c r="K420" s="14" t="inlineStr">
        <is>
          <t>Debe evaluarse con normalidad, porque la inhabilidad solo cobija al servidor</t>
        </is>
      </c>
      <c r="L420" s="14" t="inlineStr">
        <is>
          <t>a</t>
        </is>
      </c>
      <c r="M420" s="14" t="inlineStr">
        <is>
          <t>Corresponde verificar si se configura la inhabilidad por parentesco prevista en el estatuto de contratación antes de continuar con la evaluación.</t>
        </is>
      </c>
      <c r="N420" s="14" t="inlineStr">
        <is>
          <t>La opción b) decide sin verificar y la opción c) desconoce que las inhabilidades se extienden a parientes en los grados que fija la ley.</t>
        </is>
      </c>
      <c r="O420" s="14" t="inlineStr">
        <is>
          <t>Ley 80 de 1993, art. 8; Ley 1474 de 2011</t>
        </is>
      </c>
      <c r="P420" s="14" t="inlineStr">
        <is>
          <t>SI</t>
        </is>
      </c>
      <c r="Q420" s="14" t="inlineStr">
        <is>
          <t>Media</t>
        </is>
      </c>
      <c r="R420" s="14" t="inlineStr">
        <is>
          <t>v2</t>
        </is>
      </c>
    </row>
    <row r="421" ht="57" customHeight="1" s="12">
      <c r="A421" s="14" t="inlineStr">
        <is>
          <t>F0420</t>
        </is>
      </c>
      <c r="B421" s="14" t="inlineStr">
        <is>
          <t>PS 2782 de 2026 - ESE 2 - HUHMP Neiva</t>
        </is>
      </c>
      <c r="C421" s="14" t="inlineStr">
        <is>
          <t>Contratacion estatal</t>
        </is>
      </c>
      <c r="D421" s="14" t="inlineStr">
        <is>
          <t>Tecnico</t>
        </is>
      </c>
      <c r="E421" s="14" t="inlineStr">
        <is>
          <t>C140</t>
        </is>
      </c>
      <c r="F421" s="14" t="inlineStr">
        <is>
          <t>Caso 140</t>
        </is>
      </c>
      <c r="G421" s="14" t="inlineStr">
        <is>
          <t>En un proceso de mínima cuantía se presentan tres propuestas. La más económica proviene de una empresa cuyo representante legal es hermano del jefe de la oficina que estructuró los estudios previos. El comité evaluador pregunta cómo proceder y si el jefe puede seguir participando en la evaluación.</t>
        </is>
      </c>
      <c r="H421" s="14" t="inlineStr">
        <is>
          <t>Si el proceso continúa y el contrato se celebra con la inhabilidad configurada, el contrato:</t>
        </is>
      </c>
      <c r="I421" s="14" t="inlineStr">
        <is>
          <t>Está viciado de nulidad absoluta y debe adoptarse la actuación que la ley prevé</t>
        </is>
      </c>
      <c r="J421" s="14" t="inlineStr">
        <is>
          <t>Es válido mientras la ejecución se cumpla a satisfacción de la entidad contratante</t>
        </is>
      </c>
      <c r="K421" s="14" t="inlineStr">
        <is>
          <t>Puede sanearse con la renuncia del servidor que declaró tardíamente el impedimento</t>
        </is>
      </c>
      <c r="L421" s="14" t="inlineStr">
        <is>
          <t>a</t>
        </is>
      </c>
      <c r="M421" s="14" t="inlineStr">
        <is>
          <t>La celebración del contrato contra expresa prohibición legal constituye causal de nulidad absoluta.</t>
        </is>
      </c>
      <c r="N421" s="14" t="inlineStr">
        <is>
          <t>Las opciones b) y c) convalidan por cumplimiento o por renuncia un vicio que la ley no permite sanear.</t>
        </is>
      </c>
      <c r="O421" s="14" t="inlineStr">
        <is>
          <t>Ley 80 de 1993, arts. 44 y 45</t>
        </is>
      </c>
      <c r="P421" s="14" t="inlineStr">
        <is>
          <t>SI</t>
        </is>
      </c>
      <c r="Q421" s="14" t="inlineStr">
        <is>
          <t>Media</t>
        </is>
      </c>
      <c r="R421" s="14" t="inlineStr">
        <is>
          <t>v2</t>
        </is>
      </c>
    </row>
    <row r="422" ht="57" customHeight="1" s="12">
      <c r="A422" s="14" t="inlineStr">
        <is>
          <t>F0421</t>
        </is>
      </c>
      <c r="B422" s="14" t="inlineStr">
        <is>
          <t>PS 2782 de 2026 - ESE 2 - HUHMP Neiva</t>
        </is>
      </c>
      <c r="C422" s="14" t="inlineStr">
        <is>
          <t>Regimen disciplinario y CPACA</t>
        </is>
      </c>
      <c r="D422" s="14" t="inlineStr">
        <is>
          <t>Profesional</t>
        </is>
      </c>
      <c r="E422" s="14" t="inlineStr">
        <is>
          <t>C141</t>
        </is>
      </c>
      <c r="F422" s="14" t="inlineStr">
        <is>
          <t>Caso 141</t>
        </is>
      </c>
      <c r="G422" s="14" t="inlineStr">
        <is>
          <t>Un servidor de carrera del hospital recibe de su jefe la instrucción verbal de entregar a un contratista información del proceso de selección antes de su publicación. El servidor advierte que eso es irregular, pero el jefe insiste y le recuerda que él es el superior. El servidor finalmente entrega la información por correo electrónico.</t>
        </is>
      </c>
      <c r="H422" s="14" t="inlineStr">
        <is>
          <t>La orden del superior, en este caso:</t>
        </is>
      </c>
      <c r="I422" s="14" t="inlineStr">
        <is>
          <t>No exime de responsabilidad, porque se trata de una orden manifiestamente contraria al ordenamiento</t>
        </is>
      </c>
      <c r="J422" s="14" t="inlineStr">
        <is>
          <t>Exime de responsabilidad al subalterno, quien debe obediencia a las órdenes de su jefe</t>
        </is>
      </c>
      <c r="K422" s="14" t="inlineStr">
        <is>
          <t>Exime de responsabilidad si el subalterno deja constancia escrita de su desacuerdo</t>
        </is>
      </c>
      <c r="L422" s="14" t="inlineStr">
        <is>
          <t>a</t>
        </is>
      </c>
      <c r="M422" s="14" t="inlineStr">
        <is>
          <t>La obediencia debida no ampara el cumplimiento de órdenes manifiestamente ilegales; ambos responden por su conducta.</t>
        </is>
      </c>
      <c r="N422" s="14" t="inlineStr">
        <is>
          <t>La opción b) convierte la jerarquía en excusa absoluta y la opción c) reduce la responsabilidad a un requisito formal.</t>
        </is>
      </c>
      <c r="O422" s="14" t="inlineStr">
        <is>
          <t>Constitución Política de 1991, art. 91; Ley 1952 de 2019</t>
        </is>
      </c>
      <c r="P422" s="14" t="inlineStr">
        <is>
          <t>SI</t>
        </is>
      </c>
      <c r="Q422" s="14" t="inlineStr">
        <is>
          <t>Alta</t>
        </is>
      </c>
      <c r="R422" s="14" t="inlineStr">
        <is>
          <t>v2</t>
        </is>
      </c>
    </row>
    <row r="423" ht="57" customHeight="1" s="12">
      <c r="A423" s="14" t="inlineStr">
        <is>
          <t>F0422</t>
        </is>
      </c>
      <c r="B423" s="14" t="inlineStr">
        <is>
          <t>PS 2782 de 2026 - ESE 2 - HUHMP Neiva</t>
        </is>
      </c>
      <c r="C423" s="14" t="inlineStr">
        <is>
          <t>Regimen disciplinario y CPACA</t>
        </is>
      </c>
      <c r="D423" s="14" t="inlineStr">
        <is>
          <t>Profesional</t>
        </is>
      </c>
      <c r="E423" s="14" t="inlineStr">
        <is>
          <t>C141</t>
        </is>
      </c>
      <c r="F423" s="14" t="inlineStr">
        <is>
          <t>Caso 141</t>
        </is>
      </c>
      <c r="G423" s="14" t="inlineStr">
        <is>
          <t>Un servidor de carrera del hospital recibe de su jefe la instrucción verbal de entregar a un contratista información del proceso de selección antes de su publicación. El servidor advierte que eso es irregular, pero el jefe insiste y le recuerda que él es el superior. El servidor finalmente entrega la información por correo electrónico.</t>
        </is>
      </c>
      <c r="H423" s="14" t="inlineStr">
        <is>
          <t>Para que la conducta sea disciplinable se requiere que:</t>
        </is>
      </c>
      <c r="I423" s="14" t="inlineStr">
        <is>
          <t>Afecte sustancialmente el deber funcional sin justificación que la ampare</t>
        </is>
      </c>
      <c r="J423" s="14" t="inlineStr">
        <is>
          <t>Produzca un daño patrimonial cuantificable para la entidad afectada</t>
        </is>
      </c>
      <c r="K423" s="14" t="inlineStr">
        <is>
          <t>Exista denuncia previa del contratista que resultó favorecido con la información</t>
        </is>
      </c>
      <c r="L423" s="14" t="inlineStr">
        <is>
          <t>a</t>
        </is>
      </c>
      <c r="M423" s="14" t="inlineStr">
        <is>
          <t>La ilicitud sustancial exige que la conducta afecte de manera sustancial el deber funcional, sin justificación.</t>
        </is>
      </c>
      <c r="N423" s="14" t="inlineStr">
        <is>
          <t>La opción b) introduce un elemento propio de la responsabilidad fiscal y la opción c) condiciona la actuación a una denuncia que no es requisito.</t>
        </is>
      </c>
      <c r="O423" s="14" t="inlineStr">
        <is>
          <t>Ley 1952 de 2019, art. 9</t>
        </is>
      </c>
      <c r="P423" s="14" t="inlineStr">
        <is>
          <t>SI</t>
        </is>
      </c>
      <c r="Q423" s="14" t="inlineStr">
        <is>
          <t>Alta</t>
        </is>
      </c>
      <c r="R423" s="14" t="inlineStr">
        <is>
          <t>v2</t>
        </is>
      </c>
    </row>
    <row r="424" ht="57" customHeight="1" s="12">
      <c r="A424" s="14" t="inlineStr">
        <is>
          <t>F0423</t>
        </is>
      </c>
      <c r="B424" s="14" t="inlineStr">
        <is>
          <t>PS 2782 de 2026 - ESE 2 - HUHMP Neiva</t>
        </is>
      </c>
      <c r="C424" s="14" t="inlineStr">
        <is>
          <t>Regimen disciplinario y CPACA</t>
        </is>
      </c>
      <c r="D424" s="14" t="inlineStr">
        <is>
          <t>Profesional</t>
        </is>
      </c>
      <c r="E424" s="14" t="inlineStr">
        <is>
          <t>C141</t>
        </is>
      </c>
      <c r="F424" s="14" t="inlineStr">
        <is>
          <t>Caso 141</t>
        </is>
      </c>
      <c r="G424" s="14" t="inlineStr">
        <is>
          <t>Un servidor de carrera del hospital recibe de su jefe la instrucción verbal de entregar a un contratista información del proceso de selección antes de su publicación. El servidor advierte que eso es irregular, pero el jefe insiste y le recuerda que él es el superior. El servidor finalmente entrega la información por correo electrónico.</t>
        </is>
      </c>
      <c r="H424" s="14" t="inlineStr">
        <is>
          <t>Si la falta se califica como gravísima y se comete con dolo, la sanción principal es:</t>
        </is>
      </c>
      <c r="I424" s="14" t="inlineStr">
        <is>
          <t>Destitución e inhabilidad general, en los términos que fija el código disciplinario</t>
        </is>
      </c>
      <c r="J424" s="14" t="inlineStr">
        <is>
          <t>Suspensión en el ejercicio del cargo e inhabilidad especial por el término que se fije</t>
        </is>
      </c>
      <c r="K424" s="14" t="inlineStr">
        <is>
          <t>Multa equivalente a varios salarios devengados al momento de cometer la falta</t>
        </is>
      </c>
      <c r="L424" s="14" t="inlineStr">
        <is>
          <t>a</t>
        </is>
      </c>
      <c r="M424" s="14" t="inlineStr">
        <is>
          <t>A las faltas gravísimas dolosas les corresponde destitución e inhabilidad general.</t>
        </is>
      </c>
      <c r="N424" s="14" t="inlineStr">
        <is>
          <t>La opción b) aplica a faltas graves dolosas o gravísimas culposas y la opción c) a faltas graves culposas.</t>
        </is>
      </c>
      <c r="O424" s="14" t="inlineStr">
        <is>
          <t>Ley 1952 de 2019, art. 48</t>
        </is>
      </c>
      <c r="P424" s="14" t="inlineStr">
        <is>
          <t>SI</t>
        </is>
      </c>
      <c r="Q424" s="14" t="inlineStr">
        <is>
          <t>Alta</t>
        </is>
      </c>
      <c r="R424" s="14" t="inlineStr">
        <is>
          <t>v2</t>
        </is>
      </c>
    </row>
    <row r="425" ht="57" customHeight="1" s="12">
      <c r="A425" s="14" t="inlineStr">
        <is>
          <t>F0424</t>
        </is>
      </c>
      <c r="B425" s="14" t="inlineStr">
        <is>
          <t>PS 2782 de 2026 - ESE 2 - HUHMP Neiva</t>
        </is>
      </c>
      <c r="C425" s="14" t="inlineStr">
        <is>
          <t>Regimen disciplinario y CPACA</t>
        </is>
      </c>
      <c r="D425" s="14" t="inlineStr">
        <is>
          <t>Profesional</t>
        </is>
      </c>
      <c r="E425" s="14" t="inlineStr">
        <is>
          <t>C142</t>
        </is>
      </c>
      <c r="F425" s="14" t="inlineStr">
        <is>
          <t>Caso 142</t>
        </is>
      </c>
      <c r="G425" s="14" t="inlineStr">
        <is>
          <t>En una investigación disciplinaria, el servidor investigado solicita copia del expediente, pide que se practiquen dos testimonios y designa abogado. El operador disciplinario considera que las pruebas son innecesarias porque ya tiene el informe del jefe inmediato y decide continuar sin practicarlas ni motivar el rechazo.</t>
        </is>
      </c>
      <c r="H425" s="14" t="inlineStr">
        <is>
          <t>La decisión de rechazar las pruebas sin motivación afecta:</t>
        </is>
      </c>
      <c r="I425" s="14" t="inlineStr">
        <is>
          <t>El debido proceso, que comprende el derecho de defensa y de contradicción probatoria</t>
        </is>
      </c>
      <c r="J425" s="14" t="inlineStr">
        <is>
          <t>El principio de economía, porque prolonga innecesariamente la actuación disciplinaria</t>
        </is>
      </c>
      <c r="K425" s="14" t="inlineStr">
        <is>
          <t>La reserva del expediente, que impide conocer las pruebas antes del fallo de fondo</t>
        </is>
      </c>
      <c r="L425" s="14" t="inlineStr">
        <is>
          <t>a</t>
        </is>
      </c>
      <c r="M425" s="14" t="inlineStr">
        <is>
          <t>El rechazo de pruebas debe ser motivado; de lo contrario se vulnera el debido proceso y el derecho de defensa.</t>
        </is>
      </c>
      <c r="N425" s="14" t="inlineStr">
        <is>
          <t>La opción b) invoca un principio que no protege al investigado en este punto y la opción c) confunde la reserva con la restricción del derecho de defensa.</t>
        </is>
      </c>
      <c r="O425" s="14" t="inlineStr">
        <is>
          <t>Constitución Política de 1991, art. 29; Ley 1952 de 2019</t>
        </is>
      </c>
      <c r="P425" s="14" t="inlineStr">
        <is>
          <t>SI</t>
        </is>
      </c>
      <c r="Q425" s="14" t="inlineStr">
        <is>
          <t>Media</t>
        </is>
      </c>
      <c r="R425" s="14" t="inlineStr">
        <is>
          <t>v2</t>
        </is>
      </c>
    </row>
    <row r="426" ht="57" customHeight="1" s="12">
      <c r="A426" s="14" t="inlineStr">
        <is>
          <t>F0425</t>
        </is>
      </c>
      <c r="B426" s="14" t="inlineStr">
        <is>
          <t>PS 2782 de 2026 - ESE 2 - HUHMP Neiva</t>
        </is>
      </c>
      <c r="C426" s="14" t="inlineStr">
        <is>
          <t>Regimen disciplinario y CPACA</t>
        </is>
      </c>
      <c r="D426" s="14" t="inlineStr">
        <is>
          <t>Profesional</t>
        </is>
      </c>
      <c r="E426" s="14" t="inlineStr">
        <is>
          <t>C142</t>
        </is>
      </c>
      <c r="F426" s="14" t="inlineStr">
        <is>
          <t>Caso 142</t>
        </is>
      </c>
      <c r="G426" s="14" t="inlineStr">
        <is>
          <t>En una investigación disciplinaria, el servidor investigado solicita copia del expediente, pide que se practiquen dos testimonios y designa abogado. El operador disciplinario considera que las pruebas son innecesarias porque ya tiene el informe del jefe inmediato y decide continuar sin practicarlas ni motivar el rechazo.</t>
        </is>
      </c>
      <c r="H426" s="14" t="inlineStr">
        <is>
          <t>La designación de abogado por el investigado:</t>
        </is>
      </c>
      <c r="I426" s="14" t="inlineStr">
        <is>
          <t>Procede en cualquier etapa de la actuación disciplinaria que se adelante en su contra</t>
        </is>
      </c>
      <c r="J426" s="14" t="inlineStr">
        <is>
          <t>Procede únicamente después de la formulación del pliego de cargos en su contra</t>
        </is>
      </c>
      <c r="K426" s="14" t="inlineStr">
        <is>
          <t>Procede si la falta imputada puede dar lugar a destitución e inhabilidad general</t>
        </is>
      </c>
      <c r="L426" s="14" t="inlineStr">
        <is>
          <t>a</t>
        </is>
      </c>
      <c r="M426" s="14" t="inlineStr">
        <is>
          <t>El investigado puede ejercer su defensa material o designar defensor en cualquier momento de la actuación.</t>
        </is>
      </c>
      <c r="N426" s="14" t="inlineStr">
        <is>
          <t>Las opciones b) y c) condicionan la defensa técnica a una etapa o a la gravedad de la falta, restricciones que la ley no establece.</t>
        </is>
      </c>
      <c r="O426" s="14" t="inlineStr">
        <is>
          <t>Ley 1952 de 2019; Ley 2094 de 2021</t>
        </is>
      </c>
      <c r="P426" s="14" t="inlineStr">
        <is>
          <t>SI</t>
        </is>
      </c>
      <c r="Q426" s="14" t="inlineStr">
        <is>
          <t>Media</t>
        </is>
      </c>
      <c r="R426" s="14" t="inlineStr">
        <is>
          <t>v2</t>
        </is>
      </c>
    </row>
    <row r="427" ht="57" customHeight="1" s="12">
      <c r="A427" s="14" t="inlineStr">
        <is>
          <t>F0426</t>
        </is>
      </c>
      <c r="B427" s="14" t="inlineStr">
        <is>
          <t>PS 2782 de 2026 - ESE 2 - HUHMP Neiva</t>
        </is>
      </c>
      <c r="C427" s="14" t="inlineStr">
        <is>
          <t>Regimen disciplinario y CPACA</t>
        </is>
      </c>
      <c r="D427" s="14" t="inlineStr">
        <is>
          <t>Profesional</t>
        </is>
      </c>
      <c r="E427" s="14" t="inlineStr">
        <is>
          <t>C142</t>
        </is>
      </c>
      <c r="F427" s="14" t="inlineStr">
        <is>
          <t>Caso 142</t>
        </is>
      </c>
      <c r="G427" s="14" t="inlineStr">
        <is>
          <t>En una investigación disciplinaria, el servidor investigado solicita copia del expediente, pide que se practiquen dos testimonios y designa abogado. El operador disciplinario considera que las pruebas son innecesarias porque ya tiene el informe del jefe inmediato y decide continuar sin practicarlas ni motivar el rechazo.</t>
        </is>
      </c>
      <c r="H427" s="14" t="inlineStr">
        <is>
          <t>Frente a la primera decisión sancionatoria, el investigado tiene derecho a:</t>
        </is>
      </c>
      <c r="I427" s="14" t="inlineStr">
        <is>
          <t>Impugnarla ante una autoridad distinta de la que la profirió, en garantía de la doble conformidad</t>
        </is>
      </c>
      <c r="J427" s="14" t="inlineStr">
        <is>
          <t>Solicitar su revocatoria directa ante el mismo funcionario que impuso la sanción</t>
        </is>
      </c>
      <c r="K427" s="14" t="inlineStr">
        <is>
          <t>Demandarla de inmediato ante el juez administrativo sin agotar la vía disciplinaria</t>
        </is>
      </c>
      <c r="L427" s="14" t="inlineStr">
        <is>
          <t>a</t>
        </is>
      </c>
      <c r="M427" s="14" t="inlineStr">
        <is>
          <t>La reforma al régimen disciplinario incorporó la garantía de impugnar la primera decisión sancionatoria ante una autoridad diferente.</t>
        </is>
      </c>
      <c r="N427" s="14" t="inlineStr">
        <is>
          <t>La opción b) describe una figura distinta y la opción c) omite el agotamiento de los recursos previstos en la actuación.</t>
        </is>
      </c>
      <c r="O427" s="14" t="inlineStr">
        <is>
          <t>Ley 2094 de 2021</t>
        </is>
      </c>
      <c r="P427" s="14" t="inlineStr">
        <is>
          <t>SI</t>
        </is>
      </c>
      <c r="Q427" s="14" t="inlineStr">
        <is>
          <t>Media</t>
        </is>
      </c>
      <c r="R427" s="14" t="inlineStr">
        <is>
          <t>v2</t>
        </is>
      </c>
    </row>
    <row r="428" ht="68.25" customHeight="1" s="12">
      <c r="A428" s="14" t="inlineStr">
        <is>
          <t>F0427</t>
        </is>
      </c>
      <c r="B428" s="14" t="inlineStr">
        <is>
          <t>PS 2782 de 2026 - ESE 2 - HUHMP Neiva</t>
        </is>
      </c>
      <c r="C428" s="14" t="inlineStr">
        <is>
          <t>Habilitacion y calidad (Resolucion 3100 de 2019)</t>
        </is>
      </c>
      <c r="D428" s="14" t="inlineStr">
        <is>
          <t>Profesional</t>
        </is>
      </c>
      <c r="E428" s="14" t="inlineStr">
        <is>
          <t>C143</t>
        </is>
      </c>
      <c r="F428" s="14" t="inlineStr">
        <is>
          <t>Caso 143</t>
        </is>
      </c>
      <c r="G428" s="14" t="inlineStr">
        <is>
          <t>El 8 de julio, durante una visita de verificación, la secretaría departamental encuentra que el hospital está atendiendo partos de bajo riesgo en un área adecuada hace dos meses, pero ese servicio no aparece declarado en el REPS. La gerencia explica que se trata de una medida transitoria por el cierre temporal de un municipio vecino y que el servicio cumple todos los estándares.</t>
        </is>
      </c>
      <c r="H428" s="14" t="inlineStr">
        <is>
          <t>La situación descrita se califica como:</t>
        </is>
      </c>
      <c r="I428" s="14" t="inlineStr">
        <is>
          <t>Prestación de un servicio no habilitado, con independencia de que cumpla los estándares</t>
        </is>
      </c>
      <c r="J428" s="14" t="inlineStr">
        <is>
          <t>Novedad no reportada, que se subsana con la inscripción del servicio dentro del mes siguiente</t>
        </is>
      </c>
      <c r="K428" s="14" t="inlineStr">
        <is>
          <t>Contingencia de red autorizada, por existir una causa de fuerza mayor debidamente probada</t>
        </is>
      </c>
      <c r="L428" s="14" t="inlineStr">
        <is>
          <t>a</t>
        </is>
      </c>
      <c r="M428" s="14" t="inlineStr">
        <is>
          <t>La habilitación es condición para ofertar y prestar: sin declaración previa en el registro, el servicio no está habilitado, aunque cumpla los estándares.</t>
        </is>
      </c>
      <c r="N428" s="14" t="inlineStr">
        <is>
          <t>La opción b) trata como retraso formal lo que es una prestación sin habilitación; la opción c) invoca una figura que no exime del deber de declarar el servicio.</t>
        </is>
      </c>
      <c r="O428" s="14" t="inlineStr">
        <is>
          <t>Resolución 3100 de 2019; Decreto 780 de 2016</t>
        </is>
      </c>
      <c r="P428" s="14" t="inlineStr">
        <is>
          <t>SI</t>
        </is>
      </c>
      <c r="Q428" s="14" t="inlineStr">
        <is>
          <t>Alta</t>
        </is>
      </c>
      <c r="R428" s="14" t="inlineStr">
        <is>
          <t>v2</t>
        </is>
      </c>
    </row>
    <row r="429" ht="68.25" customHeight="1" s="12">
      <c r="A429" s="14" t="inlineStr">
        <is>
          <t>F0428</t>
        </is>
      </c>
      <c r="B429" s="14" t="inlineStr">
        <is>
          <t>PS 2782 de 2026 - ESE 2 - HUHMP Neiva</t>
        </is>
      </c>
      <c r="C429" s="14" t="inlineStr">
        <is>
          <t>Habilitacion y calidad (Resolucion 3100 de 2019)</t>
        </is>
      </c>
      <c r="D429" s="14" t="inlineStr">
        <is>
          <t>Profesional</t>
        </is>
      </c>
      <c r="E429" s="14" t="inlineStr">
        <is>
          <t>C143</t>
        </is>
      </c>
      <c r="F429" s="14" t="inlineStr">
        <is>
          <t>Caso 143</t>
        </is>
      </c>
      <c r="G429" s="14" t="inlineStr">
        <is>
          <t>El 8 de julio, durante una visita de verificación, la secretaría departamental encuentra que el hospital está atendiendo partos de bajo riesgo en un área adecuada hace dos meses, pero ese servicio no aparece declarado en el REPS. La gerencia explica que se trata de una medida transitoria por el cierre temporal de un municipio vecino y que el servicio cumple todos los estándares.</t>
        </is>
      </c>
      <c r="H429" s="14" t="inlineStr">
        <is>
          <t>Frente al riesgo detectado, la autoridad sanitaria puede adoptar:</t>
        </is>
      </c>
      <c r="I429" s="14" t="inlineStr">
        <is>
          <t>La suspensión total o parcial del servicio, como medida preventiva de aplicación inmediata</t>
        </is>
      </c>
      <c r="J429" s="14" t="inlineStr">
        <is>
          <t>La sanción de multa, que se impone en el mismo acto que ordena la visita de verificación</t>
        </is>
      </c>
      <c r="K429" s="14" t="inlineStr">
        <is>
          <t>La cancelación de la inscripción del prestador en el registro especial correspondiente</t>
        </is>
      </c>
      <c r="L429" s="14" t="inlineStr">
        <is>
          <t>a</t>
        </is>
      </c>
      <c r="M429" s="14" t="inlineStr">
        <is>
          <t>Las medidas sanitarias de seguridad son preventivas, de ejecución inmediata y transitorias; la suspensión de servicios es una de ellas.</t>
        </is>
      </c>
      <c r="N429" s="14" t="inlineStr">
        <is>
          <t>La opción b) confunde la medida preventiva con la sanción, que requiere procedimiento previo; la opción c) aplica una consecuencia definitiva y desproporcionada.</t>
        </is>
      </c>
      <c r="O429" s="14" t="inlineStr">
        <is>
          <t>Ley 9 de 1979, art. 576; Ley 1437 de 2011, arts. 47 a 50</t>
        </is>
      </c>
      <c r="P429" s="14" t="inlineStr">
        <is>
          <t>SI</t>
        </is>
      </c>
      <c r="Q429" s="14" t="inlineStr">
        <is>
          <t>Alta</t>
        </is>
      </c>
      <c r="R429" s="14" t="inlineStr">
        <is>
          <t>v2</t>
        </is>
      </c>
    </row>
    <row r="430" ht="68.25" customHeight="1" s="12">
      <c r="A430" s="14" t="inlineStr">
        <is>
          <t>F0429</t>
        </is>
      </c>
      <c r="B430" s="14" t="inlineStr">
        <is>
          <t>PS 2782 de 2026 - ESE 2 - HUHMP Neiva</t>
        </is>
      </c>
      <c r="C430" s="14" t="inlineStr">
        <is>
          <t>Habilitacion y calidad (Resolucion 3100 de 2019)</t>
        </is>
      </c>
      <c r="D430" s="14" t="inlineStr">
        <is>
          <t>Profesional</t>
        </is>
      </c>
      <c r="E430" s="14" t="inlineStr">
        <is>
          <t>C143</t>
        </is>
      </c>
      <c r="F430" s="14" t="inlineStr">
        <is>
          <t>Caso 143</t>
        </is>
      </c>
      <c r="G430" s="14" t="inlineStr">
        <is>
          <t>El 8 de julio, durante una visita de verificación, la secretaría departamental encuentra que el hospital está atendiendo partos de bajo riesgo en un área adecuada hace dos meses, pero ese servicio no aparece declarado en el REPS. La gerencia explica que se trata de una medida transitoria por el cierre temporal de un municipio vecino y que el servicio cumple todos los estándares.</t>
        </is>
      </c>
      <c r="H430" s="14" t="inlineStr">
        <is>
          <t>Para regularizar la situación, el hospital debe:</t>
        </is>
      </c>
      <c r="I430" s="14" t="inlineStr">
        <is>
          <t>Autoevaluar el servicio, declararlo en el REPS y abstenerse de prestarlo hasta completar el trámite</t>
        </is>
      </c>
      <c r="J430" s="14" t="inlineStr">
        <is>
          <t>Solicitar a la secretaría una autorización provisional mientras adelanta la inscripción del servicio</t>
        </is>
      </c>
      <c r="K430" s="14" t="inlineStr">
        <is>
          <t>Acreditar el servicio ante la entidad acreditadora para demostrar que supera los estándares mínimos</t>
        </is>
      </c>
      <c r="L430" s="14" t="inlineStr">
        <is>
          <t>a</t>
        </is>
      </c>
      <c r="M430" s="14" t="inlineStr">
        <is>
          <t>La regularización pasa por la autoevaluación y la declaración en el registro, absteniéndose de prestar el servicio entre tanto.</t>
        </is>
      </c>
      <c r="N430" s="14" t="inlineStr">
        <is>
          <t>La opción b) supone una autorización provisional que la norma no contempla; la opción c) confunde un proceso voluntario de calidad superior con el requisito obligatorio de entrada.</t>
        </is>
      </c>
      <c r="O430" s="14" t="inlineStr">
        <is>
          <t>Resolución 3100 de 2019</t>
        </is>
      </c>
      <c r="P430" s="14" t="inlineStr">
        <is>
          <t>SI</t>
        </is>
      </c>
      <c r="Q430" s="14" t="inlineStr">
        <is>
          <t>Alta</t>
        </is>
      </c>
      <c r="R430" s="14" t="inlineStr">
        <is>
          <t>v2</t>
        </is>
      </c>
    </row>
    <row r="431" ht="68.25" customHeight="1" s="12">
      <c r="A431" s="14" t="inlineStr">
        <is>
          <t>F0430</t>
        </is>
      </c>
      <c r="B431" s="14" t="inlineStr">
        <is>
          <t>PS 2782 de 2026 - ESE 2 - HUHMP Neiva</t>
        </is>
      </c>
      <c r="C431" s="14" t="inlineStr">
        <is>
          <t>Habilitacion y calidad (Resolucion 3100 de 2019)</t>
        </is>
      </c>
      <c r="D431" s="14" t="inlineStr">
        <is>
          <t>Profesional</t>
        </is>
      </c>
      <c r="E431" s="14" t="inlineStr">
        <is>
          <t>C144</t>
        </is>
      </c>
      <c r="F431" s="14" t="inlineStr">
        <is>
          <t>Caso 144</t>
        </is>
      </c>
      <c r="G431" s="14" t="inlineStr">
        <is>
          <t>En la autoevaluación anual, el líder de calidad encuentra que dos de los cinco anestesiólogos declarados en el REPS se retiraron en marzo y no fueron reemplazados. El servicio de cirugía sigue programando cirugías electivas con los tres profesionales restantes y el jefe de quirófanos considera que basta con reportar la novedad cuando se contrate el reemplazo.</t>
        </is>
      </c>
      <c r="H431" s="14" t="inlineStr">
        <is>
          <t>Frente al cambio en el talento humano, la conducta correcta es:</t>
        </is>
      </c>
      <c r="I431" s="14" t="inlineStr">
        <is>
          <t>Reportar la novedad en el REPS y ajustar la programación a la capacidad realmente disponible</t>
        </is>
      </c>
      <c r="J431" s="14" t="inlineStr">
        <is>
          <t>Esperar la contratación del reemplazo y reportar entonces una sola novedad consolidada</t>
        </is>
      </c>
      <c r="K431" s="14" t="inlineStr">
        <is>
          <t>Mantener la declaración vigente, porque el servicio conserva profesionales suficientes</t>
        </is>
      </c>
      <c r="L431" s="14" t="inlineStr">
        <is>
          <t>a</t>
        </is>
      </c>
      <c r="M431" s="14" t="inlineStr">
        <is>
          <t>La información declarada debe mantenerse actualizada mediante el reporte de novedades, y la programación debe corresponder a la capacidad real.</t>
        </is>
      </c>
      <c r="N431" s="14" t="inlineStr">
        <is>
          <t>Las opciones b) y c) dejan desactualizado un registro público del que dependen la vigilancia y la contratación.</t>
        </is>
      </c>
      <c r="O431" s="14" t="inlineStr">
        <is>
          <t>Resolución 3100 de 2019</t>
        </is>
      </c>
      <c r="P431" s="14" t="inlineStr">
        <is>
          <t>SI</t>
        </is>
      </c>
      <c r="Q431" s="14" t="inlineStr">
        <is>
          <t>Media</t>
        </is>
      </c>
      <c r="R431" s="14" t="inlineStr">
        <is>
          <t>v2</t>
        </is>
      </c>
    </row>
    <row r="432" ht="68.25" customHeight="1" s="12">
      <c r="A432" s="14" t="inlineStr">
        <is>
          <t>F0431</t>
        </is>
      </c>
      <c r="B432" s="14" t="inlineStr">
        <is>
          <t>PS 2782 de 2026 - ESE 2 - HUHMP Neiva</t>
        </is>
      </c>
      <c r="C432" s="14" t="inlineStr">
        <is>
          <t>Habilitacion y calidad (Resolucion 3100 de 2019)</t>
        </is>
      </c>
      <c r="D432" s="14" t="inlineStr">
        <is>
          <t>Profesional</t>
        </is>
      </c>
      <c r="E432" s="14" t="inlineStr">
        <is>
          <t>C144</t>
        </is>
      </c>
      <c r="F432" s="14" t="inlineStr">
        <is>
          <t>Caso 144</t>
        </is>
      </c>
      <c r="G432" s="14" t="inlineStr">
        <is>
          <t>En la autoevaluación anual, el líder de calidad encuentra que dos de los cinco anestesiólogos declarados en el REPS se retiraron en marzo y no fueron reemplazados. El servicio de cirugía sigue programando cirugías electivas con los tres profesionales restantes y el jefe de quirófanos considera que basta con reportar la novedad cuando se contrate el reemplazo.</t>
        </is>
      </c>
      <c r="H432" s="14" t="inlineStr">
        <is>
          <t>La responsabilidad por el cumplimiento permanente de los estándares recae en:</t>
        </is>
      </c>
      <c r="I432" s="14" t="inlineStr">
        <is>
          <t>El prestador, que declara bajo su responsabilidad y debe sostener el cumplimiento durante toda la vigencia</t>
        </is>
      </c>
      <c r="J432" s="14" t="inlineStr">
        <is>
          <t>La entidad territorial, que verifica en visita y certifica el cumplimiento de las condiciones</t>
        </is>
      </c>
      <c r="K432" s="14" t="inlineStr">
        <is>
          <t>La entidad responsable de pago, que audita la red con la que tiene acuerdos de voluntades</t>
        </is>
      </c>
      <c r="L432" s="14" t="inlineStr">
        <is>
          <t>a</t>
        </is>
      </c>
      <c r="M432" s="14" t="inlineStr">
        <is>
          <t>La habilitación se basa en la autoevaluación y declaración del prestador, quien debe mantener el cumplimiento de manera permanente.</t>
        </is>
      </c>
      <c r="N432" s="14" t="inlineStr">
        <is>
          <t>La opción b) confunde verificación con responsabilidad y la opción c) alude a una auditoría contractual, de otra naturaleza.</t>
        </is>
      </c>
      <c r="O432" s="14" t="inlineStr">
        <is>
          <t>Resolución 3100 de 2019</t>
        </is>
      </c>
      <c r="P432" s="14" t="inlineStr">
        <is>
          <t>SI</t>
        </is>
      </c>
      <c r="Q432" s="14" t="inlineStr">
        <is>
          <t>Media</t>
        </is>
      </c>
      <c r="R432" s="14" t="inlineStr">
        <is>
          <t>v2</t>
        </is>
      </c>
    </row>
    <row r="433" ht="68.25" customHeight="1" s="12">
      <c r="A433" s="14" t="inlineStr">
        <is>
          <t>F0432</t>
        </is>
      </c>
      <c r="B433" s="14" t="inlineStr">
        <is>
          <t>PS 2782 de 2026 - ESE 2 - HUHMP Neiva</t>
        </is>
      </c>
      <c r="C433" s="14" t="inlineStr">
        <is>
          <t>Habilitacion y calidad (Resolucion 3100 de 2019)</t>
        </is>
      </c>
      <c r="D433" s="14" t="inlineStr">
        <is>
          <t>Profesional</t>
        </is>
      </c>
      <c r="E433" s="14" t="inlineStr">
        <is>
          <t>C144</t>
        </is>
      </c>
      <c r="F433" s="14" t="inlineStr">
        <is>
          <t>Caso 144</t>
        </is>
      </c>
      <c r="G433" s="14" t="inlineStr">
        <is>
          <t>En la autoevaluación anual, el líder de calidad encuentra que dos de los cinco anestesiólogos declarados en el REPS se retiraron en marzo y no fueron reemplazados. El servicio de cirugía sigue programando cirugías electivas con los tres profesionales restantes y el jefe de quirófanos considera que basta con reportar la novedad cuando se contrate el reemplazo.</t>
        </is>
      </c>
      <c r="H433" s="14" t="inlineStr">
        <is>
          <t>Si ocurre un evento adverso en una cirugía programada en esas condiciones, la situación:</t>
        </is>
      </c>
      <c r="I433" s="14" t="inlineStr">
        <is>
          <t>Agrava la posición institucional, pues el servicio operaba con capacidad distinta de la declarada</t>
        </is>
      </c>
      <c r="J433" s="14" t="inlineStr">
        <is>
          <t>Es indiferente para la responsabilidad, si el acto quirúrgico se ajustó a la guía de práctica clínica</t>
        </is>
      </c>
      <c r="K433" s="14" t="inlineStr">
        <is>
          <t>Se resuelve con el reporte al programa de tecnovigilancia dentro de los términos previstos</t>
        </is>
      </c>
      <c r="L433" s="14" t="inlineStr">
        <is>
          <t>a</t>
        </is>
      </c>
      <c r="M433" s="14" t="inlineStr">
        <is>
          <t>Prestar el servicio con una capacidad distinta de la declarada agrava la posición institucional frente a cualquier reclamación.</t>
        </is>
      </c>
      <c r="N433" s="14" t="inlineStr">
        <is>
          <t>La opción b) separa el acto clínico de las condiciones en que se prestó; la opción c) aplica un canal previsto para dispositivos médicos.</t>
        </is>
      </c>
      <c r="O433" s="14" t="inlineStr">
        <is>
          <t>Resolución 3100 de 2019; Resolución 4816 de 2008</t>
        </is>
      </c>
      <c r="P433" s="14" t="inlineStr">
        <is>
          <t>SI</t>
        </is>
      </c>
      <c r="Q433" s="14" t="inlineStr">
        <is>
          <t>Media</t>
        </is>
      </c>
      <c r="R433" s="14" t="inlineStr">
        <is>
          <t>v2</t>
        </is>
      </c>
    </row>
    <row r="434" ht="57" customHeight="1" s="12">
      <c r="A434" s="14" t="inlineStr">
        <is>
          <t>F0433</t>
        </is>
      </c>
      <c r="B434" s="14" t="inlineStr">
        <is>
          <t>PS 2782 de 2026 - ESE 2 - HUHMP Neiva</t>
        </is>
      </c>
      <c r="C434" s="14" t="inlineStr">
        <is>
          <t>Habilitacion y calidad (Resolucion 3100 de 2019)</t>
        </is>
      </c>
      <c r="D434" s="14" t="inlineStr">
        <is>
          <t>Tecnico</t>
        </is>
      </c>
      <c r="E434" s="14" t="inlineStr">
        <is>
          <t>C145</t>
        </is>
      </c>
      <c r="F434" s="14" t="inlineStr">
        <is>
          <t>Caso 145</t>
        </is>
      </c>
      <c r="G434" s="14" t="inlineStr">
        <is>
          <t>El técnico de mantenimiento revisa las hojas de vida de los equipos y encuentra que el monitor de signos vitales de la sala de reanimación tiene el mantenimiento preventivo vencido desde hace cuatro meses y la calibración sin soporte. El jefe del servicio pide seguir usándolo porque es el único disponible y el proveedor demora dos semanas.</t>
        </is>
      </c>
      <c r="H434" s="14" t="inlineStr">
        <is>
          <t>La conducta correcta frente a ese equipo es:</t>
        </is>
      </c>
      <c r="I434" s="14" t="inlineStr">
        <is>
          <t>Retirarlo del uso asistencial, dejar constancia y gestionar de inmediato una alternativa para el servicio</t>
        </is>
      </c>
      <c r="J434" s="14" t="inlineStr">
        <is>
          <t>Continuar usándolo bajo la responsabilidad del jefe del servicio mientras llega el proveedor</t>
        </is>
      </c>
      <c r="K434" s="14" t="inlineStr">
        <is>
          <t>Usarlo solo con pacientes estables y registrar la restricción en la minuta del turno</t>
        </is>
      </c>
      <c r="L434" s="14" t="inlineStr">
        <is>
          <t>a</t>
        </is>
      </c>
      <c r="M434" s="14" t="inlineStr">
        <is>
          <t>Un equipo sin soporte de mantenimiento y calibración vigentes no cumple la condición de habilitación y no debe emplearse en la atención.</t>
        </is>
      </c>
      <c r="N434" s="14" t="inlineStr">
        <is>
          <t>Las opciones b) y c) mantienen en uso un equipo cuya confiabilidad no está soportada y trasladan el riesgo al paciente.</t>
        </is>
      </c>
      <c r="O434" s="14" t="inlineStr">
        <is>
          <t>Resolución 3100 de 2019; Decreto 4725 de 2005</t>
        </is>
      </c>
      <c r="P434" s="14" t="inlineStr">
        <is>
          <t>SI</t>
        </is>
      </c>
      <c r="Q434" s="14" t="inlineStr">
        <is>
          <t>Media</t>
        </is>
      </c>
      <c r="R434" s="14" t="inlineStr">
        <is>
          <t>v2</t>
        </is>
      </c>
    </row>
    <row r="435" ht="57" customHeight="1" s="12">
      <c r="A435" s="14" t="inlineStr">
        <is>
          <t>F0434</t>
        </is>
      </c>
      <c r="B435" s="14" t="inlineStr">
        <is>
          <t>PS 2782 de 2026 - ESE 2 - HUHMP Neiva</t>
        </is>
      </c>
      <c r="C435" s="14" t="inlineStr">
        <is>
          <t>Habilitacion y calidad (Resolucion 3100 de 2019)</t>
        </is>
      </c>
      <c r="D435" s="14" t="inlineStr">
        <is>
          <t>Tecnico</t>
        </is>
      </c>
      <c r="E435" s="14" t="inlineStr">
        <is>
          <t>C145</t>
        </is>
      </c>
      <c r="F435" s="14" t="inlineStr">
        <is>
          <t>Caso 145</t>
        </is>
      </c>
      <c r="G435" s="14" t="inlineStr">
        <is>
          <t>El técnico de mantenimiento revisa las hojas de vida de los equipos y encuentra que el monitor de signos vitales de la sala de reanimación tiene el mantenimiento preventivo vencido desde hace cuatro meses y la calibración sin soporte. El jefe del servicio pide seguir usándolo porque es el único disponible y el proveedor demora dos semanas.</t>
        </is>
      </c>
      <c r="H435" s="14" t="inlineStr">
        <is>
          <t>La calibración del equipo tiene como finalidad:</t>
        </is>
      </c>
      <c r="I435" s="14" t="inlineStr">
        <is>
          <t>Asegurar la exactitud de las mediciones frente a patrones trazables reconocidos</t>
        </is>
      </c>
      <c r="J435" s="14" t="inlineStr">
        <is>
          <t>Prolongar la vida útil del equipo y mantener vigente la garantía del fabricante</t>
        </is>
      </c>
      <c r="K435" s="14" t="inlineStr">
        <is>
          <t>Documentar el inventario de tecnología biomédica de la institución ante el asegurador</t>
        </is>
      </c>
      <c r="L435" s="14" t="inlineStr">
        <is>
          <t>a</t>
        </is>
      </c>
      <c r="M435" s="14" t="inlineStr">
        <is>
          <t>La calibración verifica la exactitud de las mediciones contra patrones trazables y es condición de seguridad clínica.</t>
        </is>
      </c>
      <c r="N435" s="14" t="inlineStr">
        <is>
          <t>Las opciones b) y c) describen efectos administrativos o comerciales que no son el propósito metrológico.</t>
        </is>
      </c>
      <c r="O435" s="14" t="inlineStr">
        <is>
          <t>Resolución 3100 de 2019</t>
        </is>
      </c>
      <c r="P435" s="14" t="inlineStr">
        <is>
          <t>SI</t>
        </is>
      </c>
      <c r="Q435" s="14" t="inlineStr">
        <is>
          <t>Media</t>
        </is>
      </c>
      <c r="R435" s="14" t="inlineStr">
        <is>
          <t>v2</t>
        </is>
      </c>
    </row>
    <row r="436" ht="57" customHeight="1" s="12">
      <c r="A436" s="14" t="inlineStr">
        <is>
          <t>F0435</t>
        </is>
      </c>
      <c r="B436" s="14" t="inlineStr">
        <is>
          <t>PS 2782 de 2026 - ESE 2 - HUHMP Neiva</t>
        </is>
      </c>
      <c r="C436" s="14" t="inlineStr">
        <is>
          <t>Habilitacion y calidad (Resolucion 3100 de 2019)</t>
        </is>
      </c>
      <c r="D436" s="14" t="inlineStr">
        <is>
          <t>Tecnico</t>
        </is>
      </c>
      <c r="E436" s="14" t="inlineStr">
        <is>
          <t>C145</t>
        </is>
      </c>
      <c r="F436" s="14" t="inlineStr">
        <is>
          <t>Caso 145</t>
        </is>
      </c>
      <c r="G436" s="14" t="inlineStr">
        <is>
          <t>El técnico de mantenimiento revisa las hojas de vida de los equipos y encuentra que el monitor de signos vitales de la sala de reanimación tiene el mantenimiento preventivo vencido desde hace cuatro meses y la calibración sin soporte. El jefe del servicio pide seguir usándolo porque es el único disponible y el proveedor demora dos semanas.</t>
        </is>
      </c>
      <c r="H436" s="14" t="inlineStr">
        <is>
          <t>Si el monitor produce una lectura errada que deriva en daño al paciente, el hecho debe:</t>
        </is>
      </c>
      <c r="I436" s="14" t="inlineStr">
        <is>
          <t>Reportarse al programa de tecnovigilancia y analizarse como evento adverso institucional</t>
        </is>
      </c>
      <c r="J436" s="14" t="inlineStr">
        <is>
          <t>Reportarse al sistema de vigilancia en salud pública como evento de notificación obligatoria</t>
        </is>
      </c>
      <c r="K436" s="14" t="inlineStr">
        <is>
          <t>Tramitarse con el proveedor como una reclamación de garantía por el equipo defectuoso</t>
        </is>
      </c>
      <c r="L436" s="14" t="inlineStr">
        <is>
          <t>a</t>
        </is>
      </c>
      <c r="M436" s="14" t="inlineStr">
        <is>
          <t>Los eventos asociados a dispositivos médicos se reportan a tecnovigilancia y, si hubo daño, se analizan como evento adverso.</t>
        </is>
      </c>
      <c r="N436" s="14" t="inlineStr">
        <is>
          <t>La opción b) usa el canal de los eventos de interés en salud pública y la opción c) reduce el hecho a un asunto comercial.</t>
        </is>
      </c>
      <c r="O436" s="14" t="inlineStr">
        <is>
          <t>Resolución 4816 de 2008; Política de Seguridad del Paciente, Minsalud</t>
        </is>
      </c>
      <c r="P436" s="14" t="inlineStr">
        <is>
          <t>SI</t>
        </is>
      </c>
      <c r="Q436" s="14" t="inlineStr">
        <is>
          <t>Media</t>
        </is>
      </c>
      <c r="R436" s="14" t="inlineStr">
        <is>
          <t>v2</t>
        </is>
      </c>
    </row>
    <row r="437" ht="57" customHeight="1" s="12">
      <c r="A437" s="14" t="inlineStr">
        <is>
          <t>F0436</t>
        </is>
      </c>
      <c r="B437" s="14" t="inlineStr">
        <is>
          <t>PS 2782 de 2026 - ESE 2 - HUHMP Neiva</t>
        </is>
      </c>
      <c r="C437" s="14" t="inlineStr">
        <is>
          <t>Habilitacion y calidad (Resolucion 3100 de 2019)</t>
        </is>
      </c>
      <c r="D437" s="14" t="inlineStr">
        <is>
          <t>Profesional</t>
        </is>
      </c>
      <c r="E437" s="14" t="inlineStr">
        <is>
          <t>C146</t>
        </is>
      </c>
      <c r="F437" s="14" t="inlineStr">
        <is>
          <t>Caso 146</t>
        </is>
      </c>
      <c r="G437" s="14" t="inlineStr">
        <is>
          <t>El hospital anuncia en redes sociales una nueva unidad de cardiología intervencionista con fotografías de la sala y la frase «ya estamos atendiendo». La unidad está construida y dotada, pero la declaración en el REPS se radicó hace tres días y aún no se refleja. Un ciudadano pregunta por qué el servicio no aparece en la consulta pública del registro.</t>
        </is>
      </c>
      <c r="H437" s="14" t="inlineStr">
        <is>
          <t>La publicidad del servicio en esas condiciones:</t>
        </is>
      </c>
      <c r="I437" s="14" t="inlineStr">
        <is>
          <t>Es improcedente, porque solo pueden ofertarse los servicios efectivamente habilitados</t>
        </is>
      </c>
      <c r="J437" s="14" t="inlineStr">
        <is>
          <t>Es admisible, porque la declaración ya fue radicada ante la autoridad competente</t>
        </is>
      </c>
      <c r="K437" s="14" t="inlineStr">
        <is>
          <t>Es admisible si se aclara en la publicación que el trámite se encuentra en curso</t>
        </is>
      </c>
      <c r="L437" s="14" t="inlineStr">
        <is>
          <t>a</t>
        </is>
      </c>
      <c r="M437" s="14" t="inlineStr">
        <is>
          <t>Solo pueden ofertarse y prestarse los servicios habilitados; la radicación en trámite no habilita.</t>
        </is>
      </c>
      <c r="N437" s="14" t="inlineStr">
        <is>
          <t>Las opciones b) y c) anticipan la oferta a un trámite inconcluso, lo que induce a error al usuario.</t>
        </is>
      </c>
      <c r="O437" s="14" t="inlineStr">
        <is>
          <t>Resolución 3100 de 2019; Ley 1480 de 2011</t>
        </is>
      </c>
      <c r="P437" s="14" t="inlineStr">
        <is>
          <t>SI</t>
        </is>
      </c>
      <c r="Q437" s="14" t="inlineStr">
        <is>
          <t>Media</t>
        </is>
      </c>
      <c r="R437" s="14" t="inlineStr">
        <is>
          <t>v2</t>
        </is>
      </c>
    </row>
    <row r="438" ht="57" customHeight="1" s="12">
      <c r="A438" s="14" t="inlineStr">
        <is>
          <t>F0437</t>
        </is>
      </c>
      <c r="B438" s="14" t="inlineStr">
        <is>
          <t>PS 2782 de 2026 - ESE 2 - HUHMP Neiva</t>
        </is>
      </c>
      <c r="C438" s="14" t="inlineStr">
        <is>
          <t>Habilitacion y calidad (Resolucion 3100 de 2019)</t>
        </is>
      </c>
      <c r="D438" s="14" t="inlineStr">
        <is>
          <t>Profesional</t>
        </is>
      </c>
      <c r="E438" s="14" t="inlineStr">
        <is>
          <t>C146</t>
        </is>
      </c>
      <c r="F438" s="14" t="inlineStr">
        <is>
          <t>Caso 146</t>
        </is>
      </c>
      <c r="G438" s="14" t="inlineStr">
        <is>
          <t>El hospital anuncia en redes sociales una nueva unidad de cardiología intervencionista con fotografías de la sala y la frase «ya estamos atendiendo». La unidad está construida y dotada, pero la declaración en el REPS se radicó hace tres días y aún no se refleja. Un ciudadano pregunta por qué el servicio no aparece en la consulta pública del registro.</t>
        </is>
      </c>
      <c r="H438" s="14" t="inlineStr">
        <is>
          <t>La consulta pública del REPS le sirve al ciudadano para:</t>
        </is>
      </c>
      <c r="I438" s="14" t="inlineStr">
        <is>
          <t>Verificar qué prestadores están inscritos y qué servicios tienen habilitados</t>
        </is>
      </c>
      <c r="J438" s="14" t="inlineStr">
        <is>
          <t>Conocer las tarifas que cada prestador aplica, conforme a su manual vigente</t>
        </is>
      </c>
      <c r="K438" s="14" t="inlineStr">
        <is>
          <t>Consultar los indicadores de calidad y los tiempos de espera de cada institución</t>
        </is>
      </c>
      <c r="L438" s="14" t="inlineStr">
        <is>
          <t>a</t>
        </is>
      </c>
      <c r="M438" s="14" t="inlineStr">
        <is>
          <t>El registro permite verificar la inscripción del prestador y los servicios que tiene habilitados.</t>
        </is>
      </c>
      <c r="N438" s="14" t="inlineStr">
        <is>
          <t>Las opciones b) y c) describen información que se consulta por otros mecanismos del sistema de calidad.</t>
        </is>
      </c>
      <c r="O438" s="14" t="inlineStr">
        <is>
          <t>Resolución 3100 de 2019</t>
        </is>
      </c>
      <c r="P438" s="14" t="inlineStr">
        <is>
          <t>SI</t>
        </is>
      </c>
      <c r="Q438" s="14" t="inlineStr">
        <is>
          <t>Media</t>
        </is>
      </c>
      <c r="R438" s="14" t="inlineStr">
        <is>
          <t>v2</t>
        </is>
      </c>
    </row>
    <row r="439" ht="57" customHeight="1" s="12">
      <c r="A439" s="14" t="inlineStr">
        <is>
          <t>F0438</t>
        </is>
      </c>
      <c r="B439" s="14" t="inlineStr">
        <is>
          <t>PS 2782 de 2026 - ESE 2 - HUHMP Neiva</t>
        </is>
      </c>
      <c r="C439" s="14" t="inlineStr">
        <is>
          <t>Habilitacion y calidad (Resolucion 3100 de 2019)</t>
        </is>
      </c>
      <c r="D439" s="14" t="inlineStr">
        <is>
          <t>Profesional</t>
        </is>
      </c>
      <c r="E439" s="14" t="inlineStr">
        <is>
          <t>C146</t>
        </is>
      </c>
      <c r="F439" s="14" t="inlineStr">
        <is>
          <t>Caso 146</t>
        </is>
      </c>
      <c r="G439" s="14" t="inlineStr">
        <is>
          <t>El hospital anuncia en redes sociales una nueva unidad de cardiología intervencionista con fotografías de la sala y la frase «ya estamos atendiendo». La unidad está construida y dotada, pero la declaración en el REPS se radicó hace tres días y aún no se refleja. Un ciudadano pregunta por qué el servicio no aparece en la consulta pública del registro.</t>
        </is>
      </c>
      <c r="H439" s="14" t="inlineStr">
        <is>
          <t>El distintivo de habilitación que exhibe el prestador acredita:</t>
        </is>
      </c>
      <c r="I439" s="14" t="inlineStr">
        <is>
          <t>Que está inscrito y que los servicios señalados se encuentran habilitados</t>
        </is>
      </c>
      <c r="J439" s="14" t="inlineStr">
        <is>
          <t>Que superó el proceso de acreditación con estándares superiores de calidad</t>
        </is>
      </c>
      <c r="K439" s="14" t="inlineStr">
        <is>
          <t>Que cuenta con la certificación de su sistema de gestión de la calidad</t>
        </is>
      </c>
      <c r="L439" s="14" t="inlineStr">
        <is>
          <t>a</t>
        </is>
      </c>
      <c r="M439" s="14" t="inlineStr">
        <is>
          <t>El distintivo informa a la ciudadanía la condición de prestador inscrito con servicios habilitados.</t>
        </is>
      </c>
      <c r="N439" s="14" t="inlineStr">
        <is>
          <t>Las opciones b) y c) aluden a reconocimientos voluntarios distintos de la habilitación.</t>
        </is>
      </c>
      <c r="O439" s="14" t="inlineStr">
        <is>
          <t>Resolución 3100 de 2019; Decreto 780 de 2016</t>
        </is>
      </c>
      <c r="P439" s="14" t="inlineStr">
        <is>
          <t>SI</t>
        </is>
      </c>
      <c r="Q439" s="14" t="inlineStr">
        <is>
          <t>Media</t>
        </is>
      </c>
      <c r="R439" s="14" t="inlineStr">
        <is>
          <t>v2</t>
        </is>
      </c>
    </row>
    <row r="440" ht="57" customHeight="1" s="12">
      <c r="A440" s="14" t="inlineStr">
        <is>
          <t>F0439</t>
        </is>
      </c>
      <c r="B440" s="14" t="inlineStr">
        <is>
          <t>PS 2782 de 2026 - ESE 2 - HUHMP Neiva</t>
        </is>
      </c>
      <c r="C440" s="14" t="inlineStr">
        <is>
          <t>Habilitacion y calidad (Resolucion 3100 de 2019)</t>
        </is>
      </c>
      <c r="D440" s="14" t="inlineStr">
        <is>
          <t>Profesional</t>
        </is>
      </c>
      <c r="E440" s="14" t="inlineStr">
        <is>
          <t>C147</t>
        </is>
      </c>
      <c r="F440" s="14" t="inlineStr">
        <is>
          <t>Caso 147</t>
        </is>
      </c>
      <c r="G440" s="14" t="inlineStr">
        <is>
          <t>En agosto de 2026 el comité de calidad discute qué norma aplicar en la autoevaluación, porque circuló la noticia de que la Resolución 3100 de 2019 había sido derogada. Un integrante afirma que ya rige la Resolución 1732 de 2026 y otro sostiene que esa resolución fue revocada. La decisión define todo el plan de trabajo del semestre.</t>
        </is>
      </c>
      <c r="H440" s="14" t="inlineStr">
        <is>
          <t>La norma de habilitación aplicable en ese momento es:</t>
        </is>
      </c>
      <c r="I440" s="14" t="inlineStr">
        <is>
          <t>La Resolución 3100 de 2019 con sus modificaciones, porque la 1732 de 2026 fue revocada por la 2080 de 2026</t>
        </is>
      </c>
      <c r="J440" s="14" t="inlineStr">
        <is>
          <t>La Resolución 1732 de 2026, que derogó de manera expresa la Resolución 3100 de 2019 y sus anexos</t>
        </is>
      </c>
      <c r="K440" s="14" t="inlineStr">
        <is>
          <t>Ambas de manera simultánea, aplicando en cada estándar la disposición que resulte más exigente</t>
        </is>
      </c>
      <c r="L440" s="14" t="inlineStr">
        <is>
          <t>a</t>
        </is>
      </c>
      <c r="M440" s="14" t="inlineStr">
        <is>
          <t>La Resolución 1732 de 2026 fue revocada íntegramente por la Resolución 2080 de 2026, de modo que continúa vigente el marco de la Resolución 3100 de 2019.</t>
        </is>
      </c>
      <c r="N440" s="14" t="inlineStr">
        <is>
          <t>La opción b) aplica una norma revocada antes de producir efectos y la opción c) propone una aplicación simultánea que el ordenamiento no admite.</t>
        </is>
      </c>
      <c r="O440" s="14" t="inlineStr">
        <is>
          <t>Resolución 3100 de 2019; Resolución 2080 de 2026 (Minsalud)</t>
        </is>
      </c>
      <c r="P440" s="14" t="inlineStr">
        <is>
          <t>SI</t>
        </is>
      </c>
      <c r="Q440" s="14" t="inlineStr">
        <is>
          <t>Alta</t>
        </is>
      </c>
      <c r="R440" s="14" t="inlineStr">
        <is>
          <t>v2</t>
        </is>
      </c>
    </row>
    <row r="441" ht="57" customHeight="1" s="12">
      <c r="A441" s="14" t="inlineStr">
        <is>
          <t>F0440</t>
        </is>
      </c>
      <c r="B441" s="14" t="inlineStr">
        <is>
          <t>PS 2782 de 2026 - ESE 2 - HUHMP Neiva</t>
        </is>
      </c>
      <c r="C441" s="14" t="inlineStr">
        <is>
          <t>Habilitacion y calidad (Resolucion 3100 de 2019)</t>
        </is>
      </c>
      <c r="D441" s="14" t="inlineStr">
        <is>
          <t>Profesional</t>
        </is>
      </c>
      <c r="E441" s="14" t="inlineStr">
        <is>
          <t>C147</t>
        </is>
      </c>
      <c r="F441" s="14" t="inlineStr">
        <is>
          <t>Caso 147</t>
        </is>
      </c>
      <c r="G441" s="14" t="inlineStr">
        <is>
          <t>En agosto de 2026 el comité de calidad discute qué norma aplicar en la autoevaluación, porque circuló la noticia de que la Resolución 3100 de 2019 había sido derogada. Un integrante afirma que ya rige la Resolución 1732 de 2026 y otro sostiene que esa resolución fue revocada. La decisión define todo el plan de trabajo del semestre.</t>
        </is>
      </c>
      <c r="H441" s="14" t="inlineStr">
        <is>
          <t>La revocatoria de una resolución que derogaba otra produce como efecto que:</t>
        </is>
      </c>
      <c r="I441" s="14" t="inlineStr">
        <is>
          <t>La norma anterior continúa vigente, sin que se produzca una interrupción de su aplicación</t>
        </is>
      </c>
      <c r="J441" s="14" t="inlineStr">
        <is>
          <t>Se genera un vacío normativo que la entidad llena aplicando la costumbre administrativa</t>
        </is>
      </c>
      <c r="K441" s="14" t="inlineStr">
        <is>
          <t>La norma anterior revive con efectos retroactivos desde la fecha de la derogatoria</t>
        </is>
      </c>
      <c r="L441" s="14" t="inlineStr">
        <is>
          <t>a</t>
        </is>
      </c>
      <c r="M441" s="14" t="inlineStr">
        <is>
          <t>Al revocarse la norma derogatoria antes de producir efectos, la disposición anterior continúa vigente sin interrupción.</t>
        </is>
      </c>
      <c r="N441" s="14" t="inlineStr">
        <is>
          <t>Las opciones b) y c) suponen un vacío o una retroactividad que no se producen en este supuesto.</t>
        </is>
      </c>
      <c r="O441" s="14" t="inlineStr">
        <is>
          <t>Ley 1437 de 2011, art. 93; Ley 153 de 1887</t>
        </is>
      </c>
      <c r="P441" s="14" t="inlineStr">
        <is>
          <t>SI</t>
        </is>
      </c>
      <c r="Q441" s="14" t="inlineStr">
        <is>
          <t>Alta</t>
        </is>
      </c>
      <c r="R441" s="14" t="inlineStr">
        <is>
          <t>v2</t>
        </is>
      </c>
    </row>
    <row r="442" ht="57" customHeight="1" s="12">
      <c r="A442" s="14" t="inlineStr">
        <is>
          <t>F0441</t>
        </is>
      </c>
      <c r="B442" s="14" t="inlineStr">
        <is>
          <t>PS 2782 de 2026 - ESE 2 - HUHMP Neiva</t>
        </is>
      </c>
      <c r="C442" s="14" t="inlineStr">
        <is>
          <t>Habilitacion y calidad (Resolucion 3100 de 2019)</t>
        </is>
      </c>
      <c r="D442" s="14" t="inlineStr">
        <is>
          <t>Profesional</t>
        </is>
      </c>
      <c r="E442" s="14" t="inlineStr">
        <is>
          <t>C147</t>
        </is>
      </c>
      <c r="F442" s="14" t="inlineStr">
        <is>
          <t>Caso 147</t>
        </is>
      </c>
      <c r="G442" s="14" t="inlineStr">
        <is>
          <t>En agosto de 2026 el comité de calidad discute qué norma aplicar en la autoevaluación, porque circuló la noticia de que la Resolución 3100 de 2019 había sido derogada. Un integrante afirma que ya rige la Resolución 1732 de 2026 y otro sostiene que esa resolución fue revocada. La decisión define todo el plan de trabajo del semestre.</t>
        </is>
      </c>
      <c r="H442" s="14" t="inlineStr">
        <is>
          <t>Antes de fijar el plan de trabajo, la verificación mínima que debe hacer el comité es:</t>
        </is>
      </c>
      <c r="I442" s="14" t="inlineStr">
        <is>
          <t>Consultar el texto vigente en la fuente oficial y dejar constancia de la fecha de consulta</t>
        </is>
      </c>
      <c r="J442" s="14" t="inlineStr">
        <is>
          <t>Solicitar concepto a la entidad territorial y esperar su respuesta para iniciar el plan</t>
        </is>
      </c>
      <c r="K442" s="14" t="inlineStr">
        <is>
          <t>Adoptar por escrito la interpretación del asesor externo que acompaña el proceso</t>
        </is>
      </c>
      <c r="L442" s="14" t="inlineStr">
        <is>
          <t>a</t>
        </is>
      </c>
      <c r="M442" s="14" t="inlineStr">
        <is>
          <t>La verificación del texto vigente en la fuente oficial, con constancia de la consulta, es el soporte mínimo de cualquier decisión normativa.</t>
        </is>
      </c>
      <c r="N442" s="14" t="inlineStr">
        <is>
          <t>La opción b) aplaza la gestión y la opción c) sustituye la verificación por una opinión.</t>
        </is>
      </c>
      <c r="O442" s="14" t="inlineStr">
        <is>
          <t>Decreto 1499 de 2017; Ley 1437 de 2011</t>
        </is>
      </c>
      <c r="P442" s="14" t="inlineStr">
        <is>
          <t>SI</t>
        </is>
      </c>
      <c r="Q442" s="14" t="inlineStr">
        <is>
          <t>Alta</t>
        </is>
      </c>
      <c r="R442" s="14" t="inlineStr">
        <is>
          <t>v2</t>
        </is>
      </c>
    </row>
    <row r="443" ht="57" customHeight="1" s="12">
      <c r="A443" s="14" t="inlineStr">
        <is>
          <t>F0442</t>
        </is>
      </c>
      <c r="B443" s="14" t="inlineStr">
        <is>
          <t>PS 2782 de 2026 - ESE 2 - HUHMP Neiva</t>
        </is>
      </c>
      <c r="C443" s="14" t="inlineStr">
        <is>
          <t>Seguridad del paciente</t>
        </is>
      </c>
      <c r="D443" s="14" t="inlineStr">
        <is>
          <t>Profesional</t>
        </is>
      </c>
      <c r="E443" s="14" t="inlineStr">
        <is>
          <t>C148</t>
        </is>
      </c>
      <c r="F443" s="14" t="inlineStr">
        <is>
          <t>Caso 148</t>
        </is>
      </c>
      <c r="G443" s="14" t="inlineStr">
        <is>
          <t>A las 06:40 la auxiliar administra un antibiótico intravenoso a la paciente de la cama 12, cuando estaba prescrito para la de la cama 14. Verificó el número de cama y no la manilla de identificación. La paciente no presenta reacción alguna. El jefe de enfermería propone abrir investigación disciplinaria contra la auxiliar y cerrar el caso con un llamado de atención.</t>
        </is>
      </c>
      <c r="H443" s="14" t="inlineStr">
        <is>
          <t>El hecho, técnicamente, corresponde a:</t>
        </is>
      </c>
      <c r="I443" s="14" t="inlineStr">
        <is>
          <t>Un incidente, porque no alcanzó a generar daño en la paciente que recibió el medicamento</t>
        </is>
      </c>
      <c r="J443" s="14" t="inlineStr">
        <is>
          <t>Un evento adverso, porque hubo administración de un medicamento no prescrito para ella</t>
        </is>
      </c>
      <c r="K443" s="14" t="inlineStr">
        <is>
          <t>Una complicación, porque el efecto del antibiótico no era previsible en esa paciente</t>
        </is>
      </c>
      <c r="L443" s="14" t="inlineStr">
        <is>
          <t>a</t>
        </is>
      </c>
      <c r="M443" s="14" t="inlineStr">
        <is>
          <t>El incidente es el suceso que no alcanza a producir daño; el evento adverso exige daño derivado de la atención.</t>
        </is>
      </c>
      <c r="N443" s="14" t="inlineStr">
        <is>
          <t>La opción b) requiere un daño que no se produjo y la opción c) atribuye a la enfermedad un hecho originado en el proceso de atención.</t>
        </is>
      </c>
      <c r="O443" s="14" t="inlineStr">
        <is>
          <t>Lineamientos de la Política de Seguridad del Paciente, Minsalud</t>
        </is>
      </c>
      <c r="P443" s="14" t="inlineStr">
        <is>
          <t>SI</t>
        </is>
      </c>
      <c r="Q443" s="14" t="inlineStr">
        <is>
          <t>Alta</t>
        </is>
      </c>
      <c r="R443" s="14" t="inlineStr">
        <is>
          <t>v2</t>
        </is>
      </c>
    </row>
    <row r="444" ht="57" customHeight="1" s="12">
      <c r="A444" s="14" t="inlineStr">
        <is>
          <t>F0443</t>
        </is>
      </c>
      <c r="B444" s="14" t="inlineStr">
        <is>
          <t>PS 2782 de 2026 - ESE 2 - HUHMP Neiva</t>
        </is>
      </c>
      <c r="C444" s="14" t="inlineStr">
        <is>
          <t>Seguridad del paciente</t>
        </is>
      </c>
      <c r="D444" s="14" t="inlineStr">
        <is>
          <t>Profesional</t>
        </is>
      </c>
      <c r="E444" s="14" t="inlineStr">
        <is>
          <t>C148</t>
        </is>
      </c>
      <c r="F444" s="14" t="inlineStr">
        <is>
          <t>Caso 148</t>
        </is>
      </c>
      <c r="G444" s="14" t="inlineStr">
        <is>
          <t>A las 06:40 la auxiliar administra un antibiótico intravenoso a la paciente de la cama 12, cuando estaba prescrito para la de la cama 14. Verificó el número de cama y no la manilla de identificación. La paciente no presenta reacción alguna. El jefe de enfermería propone abrir investigación disciplinaria contra la auxiliar y cerrar el caso con un llamado de atención.</t>
        </is>
      </c>
      <c r="H444" s="14" t="inlineStr">
        <is>
          <t>Frente a la propuesta del jefe de enfermería, lo correcto es:</t>
        </is>
      </c>
      <c r="I444" s="14" t="inlineStr">
        <is>
          <t>Analizar las fallas del proceso con metodología causal y definir barreras, sin castigar el reporte</t>
        </is>
      </c>
      <c r="J444" s="14" t="inlineStr">
        <is>
          <t>Adelantar la investigación disciplinaria y, en paralelo, capacitar al personal del servicio</t>
        </is>
      </c>
      <c r="K444" s="14" t="inlineStr">
        <is>
          <t>Registrar el hecho en el formato de eventos y archivarlo por no haberse producido daño</t>
        </is>
      </c>
      <c r="L444" s="14" t="inlineStr">
        <is>
          <t>a</t>
        </is>
      </c>
      <c r="M444" s="14" t="inlineStr">
        <is>
          <t>La cultura de seguridad exige analizar las fallas activas y latentes del proceso y definir barreras, protegiendo el reporte.</t>
        </is>
      </c>
      <c r="N444" s="14" t="inlineStr">
        <is>
          <t>La opción b) inhibe el reporte futuro y la opción c) desaprovecha un incidente que anticipa un evento con daño.</t>
        </is>
      </c>
      <c r="O444" s="14" t="inlineStr">
        <is>
          <t>Política de Seguridad del Paciente, Minsalud</t>
        </is>
      </c>
      <c r="P444" s="14" t="inlineStr">
        <is>
          <t>SI</t>
        </is>
      </c>
      <c r="Q444" s="14" t="inlineStr">
        <is>
          <t>Alta</t>
        </is>
      </c>
      <c r="R444" s="14" t="inlineStr">
        <is>
          <t>v2</t>
        </is>
      </c>
    </row>
    <row r="445" ht="57" customHeight="1" s="12">
      <c r="A445" s="14" t="inlineStr">
        <is>
          <t>F0444</t>
        </is>
      </c>
      <c r="B445" s="14" t="inlineStr">
        <is>
          <t>PS 2782 de 2026 - ESE 2 - HUHMP Neiva</t>
        </is>
      </c>
      <c r="C445" s="14" t="inlineStr">
        <is>
          <t>Seguridad del paciente</t>
        </is>
      </c>
      <c r="D445" s="14" t="inlineStr">
        <is>
          <t>Profesional</t>
        </is>
      </c>
      <c r="E445" s="14" t="inlineStr">
        <is>
          <t>C148</t>
        </is>
      </c>
      <c r="F445" s="14" t="inlineStr">
        <is>
          <t>Caso 148</t>
        </is>
      </c>
      <c r="G445" s="14" t="inlineStr">
        <is>
          <t>A las 06:40 la auxiliar administra un antibiótico intravenoso a la paciente de la cama 12, cuando estaba prescrito para la de la cama 14. Verificó el número de cama y no la manilla de identificación. La paciente no presenta reacción alguna. El jefe de enfermería propone abrir investigación disciplinaria contra la auxiliar y cerrar el caso con un llamado de atención.</t>
        </is>
      </c>
      <c r="H445" s="14" t="inlineStr">
        <is>
          <t>La barrera que habría evitado el hecho es:</t>
        </is>
      </c>
      <c r="I445" s="14" t="inlineStr">
        <is>
          <t>Verificar dos identificadores del paciente, ninguno de los cuales sea el número de cama</t>
        </is>
      </c>
      <c r="J445" s="14" t="inlineStr">
        <is>
          <t>Duplicar el registro de la administración en la historia clínica y en la minuta del turno</t>
        </is>
      </c>
      <c r="K445" s="14" t="inlineStr">
        <is>
          <t>Programar la ronda con dos auxiliares por ala, dejando registro de la verificación cruzada</t>
        </is>
      </c>
      <c r="L445" s="14" t="inlineStr">
        <is>
          <t>a</t>
        </is>
      </c>
      <c r="M445" s="14" t="inlineStr">
        <is>
          <t>La práctica segura exige verificar al menos dos identificadores del paciente, y el número de cama no es uno válido.</t>
        </is>
      </c>
      <c r="N445" s="14" t="inlineStr">
        <is>
          <t>La opción b) documenta el error después de cometido y la opción c) agrega personal sin corregir el punto de falla.</t>
        </is>
      </c>
      <c r="O445" s="14" t="inlineStr">
        <is>
          <t>Paquetes instruccionales de seguridad del paciente, Minsalud</t>
        </is>
      </c>
      <c r="P445" s="14" t="inlineStr">
        <is>
          <t>SI</t>
        </is>
      </c>
      <c r="Q445" s="14" t="inlineStr">
        <is>
          <t>Alta</t>
        </is>
      </c>
      <c r="R445" s="14" t="inlineStr">
        <is>
          <t>v2</t>
        </is>
      </c>
    </row>
    <row r="446" ht="57" customHeight="1" s="12">
      <c r="A446" s="14" t="inlineStr">
        <is>
          <t>F0445</t>
        </is>
      </c>
      <c r="B446" s="14" t="inlineStr">
        <is>
          <t>PS 2782 de 2026 - ESE 2 - HUHMP Neiva</t>
        </is>
      </c>
      <c r="C446" s="14" t="inlineStr">
        <is>
          <t>Seguridad del paciente</t>
        </is>
      </c>
      <c r="D446" s="14" t="inlineStr">
        <is>
          <t>Profesional</t>
        </is>
      </c>
      <c r="E446" s="14" t="inlineStr">
        <is>
          <t>C149</t>
        </is>
      </c>
      <c r="F446" s="14" t="inlineStr">
        <is>
          <t>Caso 149</t>
        </is>
      </c>
      <c r="G446" s="14" t="inlineStr">
        <is>
          <t>Un paciente ingresa para cirugía de rodilla derecha. En el quirófano el cirujano inicia el abordaje de la rodilla izquierda y advierte el error a los pocos minutos. Se suspende el procedimiento, se informa al paciente al despertar y la familia exige explicaciones. El hospital tiene lista de chequeo, pero el registro del día aparece firmado en bloque al final de la jornada.</t>
        </is>
      </c>
      <c r="H446" s="14" t="inlineStr">
        <is>
          <t>El hecho se clasifica como:</t>
        </is>
      </c>
      <c r="I446" s="14" t="inlineStr">
        <is>
          <t>Evento centinela, que exige investigación inmediata y análisis causal documentado</t>
        </is>
      </c>
      <c r="J446" s="14" t="inlineStr">
        <is>
          <t>Incidente sin daño, verificado que el procedimiento se suspendió antes de completarse</t>
        </is>
      </c>
      <c r="K446" s="14" t="inlineStr">
        <is>
          <t>Falla administrativa, porque el origen fue el diligenciamiento tardío del formato</t>
        </is>
      </c>
      <c r="L446" s="14" t="inlineStr">
        <is>
          <t>a</t>
        </is>
      </c>
      <c r="M446" s="14" t="inlineStr">
        <is>
          <t>La cirugía en sitio equivocado es un evento centinela: produce o pudo producir daño grave y obliga a investigación inmediata.</t>
        </is>
      </c>
      <c r="N446" s="14" t="inlineStr">
        <is>
          <t>La opción b) desconoce que hubo abordaje del sitio equivocado y la opción c) traslada el hecho clínico a un problema de formatos.</t>
        </is>
      </c>
      <c r="O446" s="14" t="inlineStr">
        <is>
          <t>Política de Seguridad del Paciente, Minsalud</t>
        </is>
      </c>
      <c r="P446" s="14" t="inlineStr">
        <is>
          <t>SI</t>
        </is>
      </c>
      <c r="Q446" s="14" t="inlineStr">
        <is>
          <t>Alta</t>
        </is>
      </c>
      <c r="R446" s="14" t="inlineStr">
        <is>
          <t>v2</t>
        </is>
      </c>
    </row>
    <row r="447" ht="57" customHeight="1" s="12">
      <c r="A447" s="14" t="inlineStr">
        <is>
          <t>F0446</t>
        </is>
      </c>
      <c r="B447" s="14" t="inlineStr">
        <is>
          <t>PS 2782 de 2026 - ESE 2 - HUHMP Neiva</t>
        </is>
      </c>
      <c r="C447" s="14" t="inlineStr">
        <is>
          <t>Seguridad del paciente</t>
        </is>
      </c>
      <c r="D447" s="14" t="inlineStr">
        <is>
          <t>Profesional</t>
        </is>
      </c>
      <c r="E447" s="14" t="inlineStr">
        <is>
          <t>C149</t>
        </is>
      </c>
      <c r="F447" s="14" t="inlineStr">
        <is>
          <t>Caso 149</t>
        </is>
      </c>
      <c r="G447" s="14" t="inlineStr">
        <is>
          <t>Un paciente ingresa para cirugía de rodilla derecha. En el quirófano el cirujano inicia el abordaje de la rodilla izquierda y advierte el error a los pocos minutos. Se suspende el procedimiento, se informa al paciente al despertar y la familia exige explicaciones. El hospital tiene lista de chequeo, pero el registro del día aparece firmado en bloque al final de la jornada.</t>
        </is>
      </c>
      <c r="H447" s="14" t="inlineStr">
        <is>
          <t>La firma en bloque de la lista de chequeo al final de la jornada indica que:</t>
        </is>
      </c>
      <c r="I447" s="14" t="inlineStr">
        <is>
          <t>La barrera existe en el papel pero no se aplica en los momentos críticos que la norma prevé</t>
        </is>
      </c>
      <c r="J447" s="14" t="inlineStr">
        <is>
          <t>El registro es válido, siempre que lo firme el profesional que estuvo presente en la cirugía</t>
        </is>
      </c>
      <c r="K447" s="14" t="inlineStr">
        <is>
          <t>La institución cumple el estándar, porque el documento reposa completo en la historia clínica</t>
        </is>
      </c>
      <c r="L447" s="14" t="inlineStr">
        <is>
          <t>a</t>
        </is>
      </c>
      <c r="M447" s="14" t="inlineStr">
        <is>
          <t>La lista de chequeo solo funciona si se aplica en los tres momentos críticos; firmarla después la convierte en un trámite sin efecto protector.</t>
        </is>
      </c>
      <c r="N447" s="14" t="inlineStr">
        <is>
          <t>Las opciones b) y c) validan la existencia del documento y no su aplicación efectiva.</t>
        </is>
      </c>
      <c r="O447" s="14" t="inlineStr">
        <is>
          <t>Paquetes instruccionales de seguridad del paciente, Minsalud</t>
        </is>
      </c>
      <c r="P447" s="14" t="inlineStr">
        <is>
          <t>SI</t>
        </is>
      </c>
      <c r="Q447" s="14" t="inlineStr">
        <is>
          <t>Alta</t>
        </is>
      </c>
      <c r="R447" s="14" t="inlineStr">
        <is>
          <t>v2</t>
        </is>
      </c>
    </row>
    <row r="448" ht="57" customHeight="1" s="12">
      <c r="A448" s="14" t="inlineStr">
        <is>
          <t>F0447</t>
        </is>
      </c>
      <c r="B448" s="14" t="inlineStr">
        <is>
          <t>PS 2782 de 2026 - ESE 2 - HUHMP Neiva</t>
        </is>
      </c>
      <c r="C448" s="14" t="inlineStr">
        <is>
          <t>Seguridad del paciente</t>
        </is>
      </c>
      <c r="D448" s="14" t="inlineStr">
        <is>
          <t>Profesional</t>
        </is>
      </c>
      <c r="E448" s="14" t="inlineStr">
        <is>
          <t>C149</t>
        </is>
      </c>
      <c r="F448" s="14" t="inlineStr">
        <is>
          <t>Caso 149</t>
        </is>
      </c>
      <c r="G448" s="14" t="inlineStr">
        <is>
          <t>Un paciente ingresa para cirugía de rodilla derecha. En el quirófano el cirujano inicia el abordaje de la rodilla izquierda y advierte el error a los pocos minutos. Se suspende el procedimiento, se informa al paciente al despertar y la familia exige explicaciones. El hospital tiene lista de chequeo, pero el registro del día aparece firmado en bloque al final de la jornada.</t>
        </is>
      </c>
      <c r="H448" s="14" t="inlineStr">
        <is>
          <t>Frente al paciente y su familia, el deber institucional es:</t>
        </is>
      </c>
      <c r="I448" s="14" t="inlineStr">
        <is>
          <t>Informar lo ocurrido de manera oportuna y comprensible, sin esperar el cierre de la investigación</t>
        </is>
      </c>
      <c r="J448" s="14" t="inlineStr">
        <is>
          <t>Esperar el resultado del análisis causal para entregar una versión definitiva y documentada</t>
        </is>
      </c>
      <c r="K448" s="14" t="inlineStr">
        <is>
          <t>Remitir a la familia a la oficina jurídica para que allí se defina qué información se entrega</t>
        </is>
      </c>
      <c r="L448" s="14" t="inlineStr">
        <is>
          <t>a</t>
        </is>
      </c>
      <c r="M448" s="14" t="inlineStr">
        <is>
          <t>El deber de información exige comunicar lo ocurrido de forma oportuna y comprensible, con independencia del avance de la investigación.</t>
        </is>
      </c>
      <c r="N448" s="14" t="inlineStr">
        <is>
          <t>Las opciones b) y c) dilatan una información a la que el paciente tiene derecho desde el primer momento.</t>
        </is>
      </c>
      <c r="O448" s="14" t="inlineStr">
        <is>
          <t>Ley 1751 de 2015, art. 10; Política de Seguridad del Paciente</t>
        </is>
      </c>
      <c r="P448" s="14" t="inlineStr">
        <is>
          <t>SI</t>
        </is>
      </c>
      <c r="Q448" s="14" t="inlineStr">
        <is>
          <t>Alta</t>
        </is>
      </c>
      <c r="R448" s="14" t="inlineStr">
        <is>
          <t>v2</t>
        </is>
      </c>
    </row>
    <row r="449" ht="57" customHeight="1" s="12">
      <c r="A449" s="14" t="inlineStr">
        <is>
          <t>F0448</t>
        </is>
      </c>
      <c r="B449" s="14" t="inlineStr">
        <is>
          <t>PS 2782 de 2026 - ESE 2 - HUHMP Neiva</t>
        </is>
      </c>
      <c r="C449" s="14" t="inlineStr">
        <is>
          <t>Seguridad del paciente</t>
        </is>
      </c>
      <c r="D449" s="14" t="inlineStr">
        <is>
          <t>Tecnico</t>
        </is>
      </c>
      <c r="E449" s="14" t="inlineStr">
        <is>
          <t>C150</t>
        </is>
      </c>
      <c r="F449" s="14" t="inlineStr">
        <is>
          <t>Caso 150</t>
        </is>
      </c>
      <c r="G449" s="14" t="inlineStr">
        <is>
          <t>Una paciente de 78 años, con antecedente de mareo, se levanta sola al baño a las 02:30 y cae. Sufre fractura de cadera. En la historia clínica no hay valoración del riesgo de caídas al ingreso y la baranda de la cama estaba abajo. La familia pregunta qué pasó y el auxiliar del turno piensa corregir la nota de ingreso para incluir la valoración.</t>
        </is>
      </c>
      <c r="H449" s="14" t="inlineStr">
        <is>
          <t>Sobre la idea de corregir la nota de ingreso, lo correcto es:</t>
        </is>
      </c>
      <c r="I449" s="14" t="inlineStr">
        <is>
          <t>No alterar el registro y consignar los hechos mediante una nota aclaratoria con su fecha y hora</t>
        </is>
      </c>
      <c r="J449" s="14" t="inlineStr">
        <is>
          <t>Reescribir la nota de ingreso para que refleje la valoración que efectivamente debió hacerse</t>
        </is>
      </c>
      <c r="K449" s="14" t="inlineStr">
        <is>
          <t>Elaborar un informe administrativo separado y dejar la historia clínica sin modificación alguna</t>
        </is>
      </c>
      <c r="L449" s="14" t="inlineStr">
        <is>
          <t>a</t>
        </is>
      </c>
      <c r="M449" s="14" t="inlineStr">
        <is>
          <t>La historia clínica no admite enmendaduras; las precisiones se incorporan como nota aclaratoria que conserva el registro original.</t>
        </is>
      </c>
      <c r="N449" s="14" t="inlineStr">
        <is>
          <t>La opción b) constituye alteración de un documento y la opción c) deja por fuera de la historia información asistencial relevante.</t>
        </is>
      </c>
      <c r="O449" s="14" t="inlineStr">
        <is>
          <t>Resolución 1995 de 1999</t>
        </is>
      </c>
      <c r="P449" s="14" t="inlineStr">
        <is>
          <t>SI</t>
        </is>
      </c>
      <c r="Q449" s="14" t="inlineStr">
        <is>
          <t>Media</t>
        </is>
      </c>
      <c r="R449" s="14" t="inlineStr">
        <is>
          <t>v2</t>
        </is>
      </c>
    </row>
    <row r="450" ht="57" customHeight="1" s="12">
      <c r="A450" s="14" t="inlineStr">
        <is>
          <t>F0449</t>
        </is>
      </c>
      <c r="B450" s="14" t="inlineStr">
        <is>
          <t>PS 2782 de 2026 - ESE 2 - HUHMP Neiva</t>
        </is>
      </c>
      <c r="C450" s="14" t="inlineStr">
        <is>
          <t>Seguridad del paciente</t>
        </is>
      </c>
      <c r="D450" s="14" t="inlineStr">
        <is>
          <t>Tecnico</t>
        </is>
      </c>
      <c r="E450" s="14" t="inlineStr">
        <is>
          <t>C150</t>
        </is>
      </c>
      <c r="F450" s="14" t="inlineStr">
        <is>
          <t>Caso 150</t>
        </is>
      </c>
      <c r="G450" s="14" t="inlineStr">
        <is>
          <t>Una paciente de 78 años, con antecedente de mareo, se levanta sola al baño a las 02:30 y cae. Sufre fractura de cadera. En la historia clínica no hay valoración del riesgo de caídas al ingreso y la baranda de la cama estaba abajo. La familia pregunta qué pasó y el auxiliar del turno piensa corregir la nota de ingreso para incluir la valoración.</t>
        </is>
      </c>
      <c r="H450" s="14" t="inlineStr">
        <is>
          <t>La barrera que debió aplicarse al ingreso de la paciente era:</t>
        </is>
      </c>
      <c r="I450" s="14" t="inlineStr">
        <is>
          <t>Valorar el riesgo de caídas con la escala institucional y reevaluarlo según su evolución</t>
        </is>
      </c>
      <c r="J450" s="14" t="inlineStr">
        <is>
          <t>Indicar reposo absoluto en cama durante toda la hospitalización de la paciente</t>
        </is>
      </c>
      <c r="K450" s="14" t="inlineStr">
        <is>
          <t>Solicitar acompañante permanente, dejando constancia de la condición en la historia clínica</t>
        </is>
      </c>
      <c r="L450" s="14" t="inlineStr">
        <is>
          <t>a</t>
        </is>
      </c>
      <c r="M450" s="14" t="inlineStr">
        <is>
          <t>La prevención de caídas se apoya en la valoración del riesgo al ingreso y su reevaluación periódica.</t>
        </is>
      </c>
      <c r="N450" s="14" t="inlineStr">
        <is>
          <t>La opción b) implica una restricción injustificada y la opción c) condiciona la admisión a un recurso de la familia.</t>
        </is>
      </c>
      <c r="O450" s="14" t="inlineStr">
        <is>
          <t>Paquetes instruccionales de seguridad del paciente, Minsalud</t>
        </is>
      </c>
      <c r="P450" s="14" t="inlineStr">
        <is>
          <t>SI</t>
        </is>
      </c>
      <c r="Q450" s="14" t="inlineStr">
        <is>
          <t>Media</t>
        </is>
      </c>
      <c r="R450" s="14" t="inlineStr">
        <is>
          <t>v2</t>
        </is>
      </c>
    </row>
    <row r="451" ht="57" customHeight="1" s="12">
      <c r="A451" s="14" t="inlineStr">
        <is>
          <t>F0450</t>
        </is>
      </c>
      <c r="B451" s="14" t="inlineStr">
        <is>
          <t>PS 2782 de 2026 - ESE 2 - HUHMP Neiva</t>
        </is>
      </c>
      <c r="C451" s="14" t="inlineStr">
        <is>
          <t>Seguridad del paciente</t>
        </is>
      </c>
      <c r="D451" s="14" t="inlineStr">
        <is>
          <t>Tecnico</t>
        </is>
      </c>
      <c r="E451" s="14" t="inlineStr">
        <is>
          <t>C150</t>
        </is>
      </c>
      <c r="F451" s="14" t="inlineStr">
        <is>
          <t>Caso 150</t>
        </is>
      </c>
      <c r="G451" s="14" t="inlineStr">
        <is>
          <t>Una paciente de 78 años, con antecedente de mareo, se levanta sola al baño a las 02:30 y cae. Sufre fractura de cadera. En la historia clínica no hay valoración del riesgo de caídas al ingreso y la baranda de la cama estaba abajo. La familia pregunta qué pasó y el auxiliar del turno piensa corregir la nota de ingreso para incluir la valoración.</t>
        </is>
      </c>
      <c r="H451" s="14" t="inlineStr">
        <is>
          <t>Como hubo daño, el caso debe gestionarse como:</t>
        </is>
      </c>
      <c r="I451" s="14" t="inlineStr">
        <is>
          <t>Evento adverso, con análisis causal y plan de mejora verificable en el tiempo</t>
        </is>
      </c>
      <c r="J451" s="14" t="inlineStr">
        <is>
          <t>Incidente, porque la caída se produjo por una decisión de la propia paciente</t>
        </is>
      </c>
      <c r="K451" s="14" t="inlineStr">
        <is>
          <t>Queja del usuario, tramitada por el sistema de información y atención al usuario</t>
        </is>
      </c>
      <c r="L451" s="14" t="inlineStr">
        <is>
          <t>a</t>
        </is>
      </c>
      <c r="M451" s="14" t="inlineStr">
        <is>
          <t>Hubo daño no intencional derivado de la atención: es un evento adverso y exige análisis causal y plan de mejora con seguimiento.</t>
        </is>
      </c>
      <c r="N451" s="14" t="inlineStr">
        <is>
          <t>La opción b) desconoce el daño producido y la opción c) reduce a un trámite de atención al usuario un hecho de seguridad clínica.</t>
        </is>
      </c>
      <c r="O451" s="14" t="inlineStr">
        <is>
          <t>Política de Seguridad del Paciente; PAMEC, Decreto 780 de 2016</t>
        </is>
      </c>
      <c r="P451" s="14" t="inlineStr">
        <is>
          <t>SI</t>
        </is>
      </c>
      <c r="Q451" s="14" t="inlineStr">
        <is>
          <t>Media</t>
        </is>
      </c>
      <c r="R451" s="14" t="inlineStr">
        <is>
          <t>v2</t>
        </is>
      </c>
    </row>
    <row r="452" ht="57" customHeight="1" s="12">
      <c r="A452" s="14" t="inlineStr">
        <is>
          <t>F0451</t>
        </is>
      </c>
      <c r="B452" s="14" t="inlineStr">
        <is>
          <t>PS 2782 de 2026 - ESE 2 - HUHMP Neiva</t>
        </is>
      </c>
      <c r="C452" s="14" t="inlineStr">
        <is>
          <t>Seguridad del paciente</t>
        </is>
      </c>
      <c r="D452" s="14" t="inlineStr">
        <is>
          <t>Profesional</t>
        </is>
      </c>
      <c r="E452" s="14" t="inlineStr">
        <is>
          <t>C151</t>
        </is>
      </c>
      <c r="F452" s="14" t="inlineStr">
        <is>
          <t>Caso 151</t>
        </is>
      </c>
      <c r="G452" s="14" t="inlineStr">
        <is>
          <t>En la unidad de cuidados intensivos, las infecciones asociadas a catéter pasaron de dos a nueve casos en un trimestre. La adherencia a la higiene de manos medida por observación directa es del 48 por ciento. El comité propone comprar un insumo de mayor costo como primera medida y el jefe de la unidad pide más personal.</t>
        </is>
      </c>
      <c r="H452" s="14" t="inlineStr">
        <is>
          <t>La primera medida que debe adoptarse es:</t>
        </is>
      </c>
      <c r="I452" s="14" t="inlineStr">
        <is>
          <t>Intervenir la adherencia a la higiene de manos con medición, retroalimentación y seguimiento</t>
        </is>
      </c>
      <c r="J452" s="14" t="inlineStr">
        <is>
          <t>Adquirir el insumo de mayor costo y evaluar su impacto al final del siguiente trimestre</t>
        </is>
      </c>
      <c r="K452" s="14" t="inlineStr">
        <is>
          <t>Solicitar la ampliación de la planta de personal de la unidad ante la junta directiva</t>
        </is>
      </c>
      <c r="L452" s="14" t="inlineStr">
        <is>
          <t>a</t>
        </is>
      </c>
      <c r="M452" s="14" t="inlineStr">
        <is>
          <t>La higiene de manos es la medida más costo-efectiva y su adherencia del 48 por ciento explica buena parte del aumento observado.</t>
        </is>
      </c>
      <c r="N452" s="14" t="inlineStr">
        <is>
          <t>Las opciones b) y c) actúan sobre insumos o personal sin corregir la práctica que está fallando.</t>
        </is>
      </c>
      <c r="O452" s="14" t="inlineStr">
        <is>
          <t>Estrategia multimodal de la OMS adoptada por Minsalud</t>
        </is>
      </c>
      <c r="P452" s="14" t="inlineStr">
        <is>
          <t>SI</t>
        </is>
      </c>
      <c r="Q452" s="14" t="inlineStr">
        <is>
          <t>Media</t>
        </is>
      </c>
      <c r="R452" s="14" t="inlineStr">
        <is>
          <t>v2</t>
        </is>
      </c>
    </row>
    <row r="453" ht="57" customHeight="1" s="12">
      <c r="A453" s="14" t="inlineStr">
        <is>
          <t>F0452</t>
        </is>
      </c>
      <c r="B453" s="14" t="inlineStr">
        <is>
          <t>PS 2782 de 2026 - ESE 2 - HUHMP Neiva</t>
        </is>
      </c>
      <c r="C453" s="14" t="inlineStr">
        <is>
          <t>Seguridad del paciente</t>
        </is>
      </c>
      <c r="D453" s="14" t="inlineStr">
        <is>
          <t>Profesional</t>
        </is>
      </c>
      <c r="E453" s="14" t="inlineStr">
        <is>
          <t>C151</t>
        </is>
      </c>
      <c r="F453" s="14" t="inlineStr">
        <is>
          <t>Caso 151</t>
        </is>
      </c>
      <c r="G453" s="14" t="inlineStr">
        <is>
          <t>En la unidad de cuidados intensivos, las infecciones asociadas a catéter pasaron de dos a nueve casos en un trimestre. La adherencia a la higiene de manos medida por observación directa es del 48 por ciento. El comité propone comprar un insumo de mayor costo como primera medida y el jefe de la unidad pide más personal.</t>
        </is>
      </c>
      <c r="H453" s="14" t="inlineStr">
        <is>
          <t>La vigilancia de estas infecciones implica:</t>
        </is>
      </c>
      <c r="I453" s="14" t="inlineStr">
        <is>
          <t>Notificarlas al sistema de vigilancia en salud pública conforme al protocolo aplicable</t>
        </is>
      </c>
      <c r="J453" s="14" t="inlineStr">
        <is>
          <t>Analizarlas únicamente en el comité de infecciones para proteger la reserva institucional</t>
        </is>
      </c>
      <c r="K453" s="14" t="inlineStr">
        <is>
          <t>Reportarlas a la entidad responsable de pago, conforme a los soportes de la factura</t>
        </is>
      </c>
      <c r="L453" s="14" t="inlineStr">
        <is>
          <t>a</t>
        </is>
      </c>
      <c r="M453" s="14" t="inlineStr">
        <is>
          <t>Las infecciones asociadas a la atención sujetas a vigilancia se notifican conforme al protocolo del Instituto Nacional de Salud.</t>
        </is>
      </c>
      <c r="N453" s="14" t="inlineStr">
        <is>
          <t>La opción b) mantiene el dato fuera del sistema de vigilancia y la opción c) convierte un deber sanitario en un trámite de facturación.</t>
        </is>
      </c>
      <c r="O453" s="14" t="inlineStr">
        <is>
          <t>Decreto 780 de 2016; protocolos del INS</t>
        </is>
      </c>
      <c r="P453" s="14" t="inlineStr">
        <is>
          <t>SI</t>
        </is>
      </c>
      <c r="Q453" s="14" t="inlineStr">
        <is>
          <t>Media</t>
        </is>
      </c>
      <c r="R453" s="14" t="inlineStr">
        <is>
          <t>v2</t>
        </is>
      </c>
    </row>
    <row r="454" ht="57" customHeight="1" s="12">
      <c r="A454" s="14" t="inlineStr">
        <is>
          <t>F0453</t>
        </is>
      </c>
      <c r="B454" s="14" t="inlineStr">
        <is>
          <t>PS 2782 de 2026 - ESE 2 - HUHMP Neiva</t>
        </is>
      </c>
      <c r="C454" s="14" t="inlineStr">
        <is>
          <t>Seguridad del paciente</t>
        </is>
      </c>
      <c r="D454" s="14" t="inlineStr">
        <is>
          <t>Profesional</t>
        </is>
      </c>
      <c r="E454" s="14" t="inlineStr">
        <is>
          <t>C151</t>
        </is>
      </c>
      <c r="F454" s="14" t="inlineStr">
        <is>
          <t>Caso 151</t>
        </is>
      </c>
      <c r="G454" s="14" t="inlineStr">
        <is>
          <t>En la unidad de cuidados intensivos, las infecciones asociadas a catéter pasaron de dos a nueve casos en un trimestre. La adherencia a la higiene de manos medida por observación directa es del 48 por ciento. El comité propone comprar un insumo de mayor costo como primera medida y el jefe de la unidad pide más personal.</t>
        </is>
      </c>
      <c r="H454" s="14" t="inlineStr">
        <is>
          <t>Para saber si la intervención funcionó, el comité debe:</t>
        </is>
      </c>
      <c r="I454" s="14" t="inlineStr">
        <is>
          <t>Medir de nuevo la adherencia y la tasa de infección, comparándolas con la línea de base</t>
        </is>
      </c>
      <c r="J454" s="14" t="inlineStr">
        <is>
          <t>Verificar que se realizó la capacitación y que el personal firmó el listado de asistencia</t>
        </is>
      </c>
      <c r="K454" s="14" t="inlineStr">
        <is>
          <t>Revisar que el insumo adquirido esté disponible en todos los turnos de la unidad</t>
        </is>
      </c>
      <c r="L454" s="14" t="inlineStr">
        <is>
          <t>a</t>
        </is>
      </c>
      <c r="M454" s="14" t="inlineStr">
        <is>
          <t>La efectividad se comprueba midiendo de nuevo el indicador frente a la línea de base, no con la ejecución de la actividad.</t>
        </is>
      </c>
      <c r="N454" s="14" t="inlineStr">
        <is>
          <t>Las opciones b) y c) verifican cumplimiento de tareas, no resultados sobre el problema.</t>
        </is>
      </c>
      <c r="O454" s="14" t="inlineStr">
        <is>
          <t>PAMEC, Decreto 780 de 2016; Resolución 256 de 2016</t>
        </is>
      </c>
      <c r="P454" s="14" t="inlineStr">
        <is>
          <t>SI</t>
        </is>
      </c>
      <c r="Q454" s="14" t="inlineStr">
        <is>
          <t>Media</t>
        </is>
      </c>
      <c r="R454" s="14" t="inlineStr">
        <is>
          <t>v2</t>
        </is>
      </c>
    </row>
    <row r="455" ht="57" customHeight="1" s="12">
      <c r="A455" s="14" t="inlineStr">
        <is>
          <t>F0454</t>
        </is>
      </c>
      <c r="B455" s="14" t="inlineStr">
        <is>
          <t>PS 2782 de 2026 - ESE 2 - HUHMP Neiva</t>
        </is>
      </c>
      <c r="C455" s="14" t="inlineStr">
        <is>
          <t>Seguridad del paciente</t>
        </is>
      </c>
      <c r="D455" s="14" t="inlineStr">
        <is>
          <t>Profesional</t>
        </is>
      </c>
      <c r="E455" s="14" t="inlineStr">
        <is>
          <t>C152</t>
        </is>
      </c>
      <c r="F455" s="14" t="inlineStr">
        <is>
          <t>Caso 152</t>
        </is>
      </c>
      <c r="G455" s="14" t="inlineStr">
        <is>
          <t>Un paciente pasa de urgencias a hospitalización con una prescripción manuscrita poco legible. El auxiliar transcribe «10 U» de insulina como «100 U» y el servicio farmacéutico despacha sin verificar. Una enfermera detecta la diferencia antes de administrar y suspende el procedimiento. El paciente no recibió la dosis errada.</t>
        </is>
      </c>
      <c r="H455" s="14" t="inlineStr">
        <is>
          <t>El punto de falla que primero debe corregirse es:</t>
        </is>
      </c>
      <c r="I455" s="14" t="inlineStr">
        <is>
          <t>La prescripción manuscrita ilegible y la ausencia de doble verificación en un medicamento de alto riesgo</t>
        </is>
      </c>
      <c r="J455" s="14" t="inlineStr">
        <is>
          <t>La actuación del auxiliar que transcribió, que debe recibir amonestación escrita por el error</t>
        </is>
      </c>
      <c r="K455" s="14" t="inlineStr">
        <is>
          <t>La omisión del servicio farmacéutico, que debía verificar la orden antes de despachar</t>
        </is>
      </c>
      <c r="L455" s="14" t="inlineStr">
        <is>
          <t>a</t>
        </is>
      </c>
      <c r="M455" s="14" t="inlineStr">
        <is>
          <t>La prescripción legible y completa, junto con la doble verificación en medicamentos de alto riesgo, son las barreras que fallaron.</t>
        </is>
      </c>
      <c r="N455" s="14" t="inlineStr">
        <is>
          <t>La opción b) individualiza un error de sistema y la opción c) señala un eslabón sin corregir el origen de la falla.</t>
        </is>
      </c>
      <c r="O455" s="14" t="inlineStr">
        <is>
          <t>Resolución 1403 de 2007; paquetes instruccionales de Minsalud</t>
        </is>
      </c>
      <c r="P455" s="14" t="inlineStr">
        <is>
          <t>SI</t>
        </is>
      </c>
      <c r="Q455" s="14" t="inlineStr">
        <is>
          <t>Media</t>
        </is>
      </c>
      <c r="R455" s="14" t="inlineStr">
        <is>
          <t>v2</t>
        </is>
      </c>
    </row>
    <row r="456" ht="57" customHeight="1" s="12">
      <c r="A456" s="14" t="inlineStr">
        <is>
          <t>F0455</t>
        </is>
      </c>
      <c r="B456" s="14" t="inlineStr">
        <is>
          <t>PS 2782 de 2026 - ESE 2 - HUHMP Neiva</t>
        </is>
      </c>
      <c r="C456" s="14" t="inlineStr">
        <is>
          <t>Seguridad del paciente</t>
        </is>
      </c>
      <c r="D456" s="14" t="inlineStr">
        <is>
          <t>Profesional</t>
        </is>
      </c>
      <c r="E456" s="14" t="inlineStr">
        <is>
          <t>C152</t>
        </is>
      </c>
      <c r="F456" s="14" t="inlineStr">
        <is>
          <t>Caso 152</t>
        </is>
      </c>
      <c r="G456" s="14" t="inlineStr">
        <is>
          <t>Un paciente pasa de urgencias a hospitalización con una prescripción manuscrita poco legible. El auxiliar transcribe «10 U» de insulina como «100 U» y el servicio farmacéutico despacha sin verificar. Una enfermera detecta la diferencia antes de administrar y suspende el procedimiento. El paciente no recibió la dosis errada.</t>
        </is>
      </c>
      <c r="H456" s="14" t="inlineStr">
        <is>
          <t>La conducta de la enfermera que detectó la diferencia debe:</t>
        </is>
      </c>
      <c r="I456" s="14" t="inlineStr">
        <is>
          <t>Reconocerse y registrarse como barrera efectiva, además de reportar el incidente para su análisis</t>
        </is>
      </c>
      <c r="J456" s="14" t="inlineStr">
        <is>
          <t>Registrarse en la hoja de novedades del turno, sin necesidad de reportar el caso al comité</t>
        </is>
      </c>
      <c r="K456" s="14" t="inlineStr">
        <is>
          <t>Comunicarse verbalmente al médico tratante para que corrija la orden en la historia clínica</t>
        </is>
      </c>
      <c r="L456" s="14" t="inlineStr">
        <is>
          <t>a</t>
        </is>
      </c>
      <c r="M456" s="14" t="inlineStr">
        <is>
          <t>La interceptación del error es una barrera efectiva que debe reconocerse y reportarse para que el análisis alcance a todo el proceso.</t>
        </is>
      </c>
      <c r="N456" s="14" t="inlineStr">
        <is>
          <t>Las opciones b) y c) resuelven el caso puntual y dejan el proceso sin corrección.</t>
        </is>
      </c>
      <c r="O456" s="14" t="inlineStr">
        <is>
          <t>Política de Seguridad del Paciente, Minsalud</t>
        </is>
      </c>
      <c r="P456" s="14" t="inlineStr">
        <is>
          <t>SI</t>
        </is>
      </c>
      <c r="Q456" s="14" t="inlineStr">
        <is>
          <t>Media</t>
        </is>
      </c>
      <c r="R456" s="14" t="inlineStr">
        <is>
          <t>v2</t>
        </is>
      </c>
    </row>
    <row r="457" ht="57" customHeight="1" s="12">
      <c r="A457" s="14" t="inlineStr">
        <is>
          <t>F0456</t>
        </is>
      </c>
      <c r="B457" s="14" t="inlineStr">
        <is>
          <t>PS 2782 de 2026 - ESE 2 - HUHMP Neiva</t>
        </is>
      </c>
      <c r="C457" s="14" t="inlineStr">
        <is>
          <t>Seguridad del paciente</t>
        </is>
      </c>
      <c r="D457" s="14" t="inlineStr">
        <is>
          <t>Profesional</t>
        </is>
      </c>
      <c r="E457" s="14" t="inlineStr">
        <is>
          <t>C152</t>
        </is>
      </c>
      <c r="F457" s="14" t="inlineStr">
        <is>
          <t>Caso 152</t>
        </is>
      </c>
      <c r="G457" s="14" t="inlineStr">
        <is>
          <t>Un paciente pasa de urgencias a hospitalización con una prescripción manuscrita poco legible. El auxiliar transcribe «10 U» de insulina como «100 U» y el servicio farmacéutico despacha sin verificar. Una enfermera detecta la diferencia antes de administrar y suspende el procedimiento. El paciente no recibió la dosis errada.</t>
        </is>
      </c>
      <c r="H457" s="14" t="inlineStr">
        <is>
          <t>La conciliación medicamentosa en el traslado entre servicios busca:</t>
        </is>
      </c>
      <c r="I457" s="14" t="inlineStr">
        <is>
          <t>Evitar omisiones, duplicidades e interacciones al comparar la medicación previa con la actual</t>
        </is>
      </c>
      <c r="J457" s="14" t="inlineStr">
        <is>
          <t>Reducir el costo de la terapia sustituyendo medicamentos por alternativas equivalentes</t>
        </is>
      </c>
      <c r="K457" s="14" t="inlineStr">
        <is>
          <t>Verificar la existencia de los medicamentos en el inventario del servicio que recibe</t>
        </is>
      </c>
      <c r="L457" s="14" t="inlineStr">
        <is>
          <t>a</t>
        </is>
      </c>
      <c r="M457" s="14" t="inlineStr">
        <is>
          <t>La conciliación compara la medicación previa con la nueva para evitar omisiones, duplicidades e interacciones.</t>
        </is>
      </c>
      <c r="N457" s="14" t="inlineStr">
        <is>
          <t>La opción b) responde a un criterio económico y la opción c) a un control de inventario.</t>
        </is>
      </c>
      <c r="O457" s="14" t="inlineStr">
        <is>
          <t>Paquetes instruccionales de seguridad del paciente, Minsalud</t>
        </is>
      </c>
      <c r="P457" s="14" t="inlineStr">
        <is>
          <t>SI</t>
        </is>
      </c>
      <c r="Q457" s="14" t="inlineStr">
        <is>
          <t>Media</t>
        </is>
      </c>
      <c r="R457" s="14" t="inlineStr">
        <is>
          <t>v2</t>
        </is>
      </c>
    </row>
    <row r="458" ht="68.25" customHeight="1" s="12">
      <c r="A458" s="14" t="inlineStr">
        <is>
          <t>F0457</t>
        </is>
      </c>
      <c r="B458" s="14" t="inlineStr">
        <is>
          <t>PS 2782 de 2026 - ESE 2 - HUHMP Neiva</t>
        </is>
      </c>
      <c r="C458" s="14" t="inlineStr">
        <is>
          <t>Historia clinica y proteccion de datos (Ley 1581 de 2012)</t>
        </is>
      </c>
      <c r="D458" s="14" t="inlineStr">
        <is>
          <t>Profesional</t>
        </is>
      </c>
      <c r="E458" s="14" t="inlineStr">
        <is>
          <t>C153</t>
        </is>
      </c>
      <c r="F458" s="14" t="inlineStr">
        <is>
          <t>Caso 153</t>
        </is>
      </c>
      <c r="G458" s="14" t="inlineStr">
        <is>
          <t>El 19 de agosto se presentan tres solicitudes sobre la historia clínica de un paciente fallecido en junio: el hijo mayor pide copia completa, una aseguradora de vida pide el resumen para estudiar una reclamación y un abogado dice representar a la familia, pero solo aporta una carta firmada por la viuda sin poder. La ventanilla las remite a la oficina jurídica para un solo concepto.</t>
        </is>
      </c>
      <c r="H458" s="14" t="inlineStr">
        <is>
          <t>Frente a la solicitud del hijo, corresponde:</t>
        </is>
      </c>
      <c r="I458" s="14" t="inlineStr">
        <is>
          <t>Entregar la copia acreditando su calidad de causahabiente, con la protección de datos de terceros</t>
        </is>
      </c>
      <c r="J458" s="14" t="inlineStr">
        <is>
          <t>Negar la entrega, porque la reserva de la historia clínica se mantiene después del fallecimiento</t>
        </is>
      </c>
      <c r="K458" s="14" t="inlineStr">
        <is>
          <t>Entregar solo el resumen de egreso, que es el documento que la familia necesita para sus trámites</t>
        </is>
      </c>
      <c r="L458" s="14" t="inlineStr">
        <is>
          <t>a</t>
        </is>
      </c>
      <c r="M458" s="14" t="inlineStr">
        <is>
          <t>Los causahabientes pueden acceder a la historia clínica acreditando esa calidad, conservando la reserva frente a terceros.</t>
        </is>
      </c>
      <c r="N458" s="14" t="inlineStr">
        <is>
          <t>La opción b) convierte la reserva en un impedimento absoluto y la opción c) recorta el acceso a un documento parcial sin fundamento.</t>
        </is>
      </c>
      <c r="O458" s="14" t="inlineStr">
        <is>
          <t>Resolución 1995 de 1999, art. 14; Ley 1581 de 2012</t>
        </is>
      </c>
      <c r="P458" s="14" t="inlineStr">
        <is>
          <t>SI</t>
        </is>
      </c>
      <c r="Q458" s="14" t="inlineStr">
        <is>
          <t>Alta</t>
        </is>
      </c>
      <c r="R458" s="14" t="inlineStr">
        <is>
          <t>v2</t>
        </is>
      </c>
    </row>
    <row r="459" ht="68.25" customHeight="1" s="12">
      <c r="A459" s="14" t="inlineStr">
        <is>
          <t>F0458</t>
        </is>
      </c>
      <c r="B459" s="14" t="inlineStr">
        <is>
          <t>PS 2782 de 2026 - ESE 2 - HUHMP Neiva</t>
        </is>
      </c>
      <c r="C459" s="14" t="inlineStr">
        <is>
          <t>Historia clinica y proteccion de datos (Ley 1581 de 2012)</t>
        </is>
      </c>
      <c r="D459" s="14" t="inlineStr">
        <is>
          <t>Profesional</t>
        </is>
      </c>
      <c r="E459" s="14" t="inlineStr">
        <is>
          <t>C153</t>
        </is>
      </c>
      <c r="F459" s="14" t="inlineStr">
        <is>
          <t>Caso 153</t>
        </is>
      </c>
      <c r="G459" s="14" t="inlineStr">
        <is>
          <t>El 19 de agosto se presentan tres solicitudes sobre la historia clínica de un paciente fallecido en junio: el hijo mayor pide copia completa, una aseguradora de vida pide el resumen para estudiar una reclamación y un abogado dice representar a la familia, pero solo aporta una carta firmada por la viuda sin poder. La ventanilla las remite a la oficina jurídica para un solo concepto.</t>
        </is>
      </c>
      <c r="H459" s="14" t="inlineStr">
        <is>
          <t>Frente a la solicitud de la aseguradora de vida, la respuesta correcta es:</t>
        </is>
      </c>
      <c r="I459" s="14" t="inlineStr">
        <is>
          <t>Requerir la autorización del causahabiente o la orden de autoridad competente antes de entregar</t>
        </is>
      </c>
      <c r="J459" s="14" t="inlineStr">
        <is>
          <t>Entregar el resumen, porque la aseguradora tiene un interés legítimo derivado del contrato</t>
        </is>
      </c>
      <c r="K459" s="14" t="inlineStr">
        <is>
          <t>Negar cualquier información, porque los datos de salud no se comparten con particulares</t>
        </is>
      </c>
      <c r="L459" s="14" t="inlineStr">
        <is>
          <t>a</t>
        </is>
      </c>
      <c r="M459" s="14" t="inlineStr">
        <is>
          <t>El acceso de un tercero exige autorización de quien está legitimado o requerimiento de autoridad competente.</t>
        </is>
      </c>
      <c r="N459" s="14" t="inlineStr">
        <is>
          <t>La opción b) presume una legitimación que debe acreditarse y la opción c) niega un acceso que sí procede cuando media autorización.</t>
        </is>
      </c>
      <c r="O459" s="14" t="inlineStr">
        <is>
          <t>Ley 1581 de 2012, arts. 5 y 6; Resolución 1995 de 1999</t>
        </is>
      </c>
      <c r="P459" s="14" t="inlineStr">
        <is>
          <t>SI</t>
        </is>
      </c>
      <c r="Q459" s="14" t="inlineStr">
        <is>
          <t>Alta</t>
        </is>
      </c>
      <c r="R459" s="14" t="inlineStr">
        <is>
          <t>v2</t>
        </is>
      </c>
    </row>
    <row r="460" ht="68.25" customHeight="1" s="12">
      <c r="A460" s="14" t="inlineStr">
        <is>
          <t>F0459</t>
        </is>
      </c>
      <c r="B460" s="14" t="inlineStr">
        <is>
          <t>PS 2782 de 2026 - ESE 2 - HUHMP Neiva</t>
        </is>
      </c>
      <c r="C460" s="14" t="inlineStr">
        <is>
          <t>Historia clinica y proteccion de datos (Ley 1581 de 2012)</t>
        </is>
      </c>
      <c r="D460" s="14" t="inlineStr">
        <is>
          <t>Profesional</t>
        </is>
      </c>
      <c r="E460" s="14" t="inlineStr">
        <is>
          <t>C153</t>
        </is>
      </c>
      <c r="F460" s="14" t="inlineStr">
        <is>
          <t>Caso 153</t>
        </is>
      </c>
      <c r="G460" s="14" t="inlineStr">
        <is>
          <t>El 19 de agosto se presentan tres solicitudes sobre la historia clínica de un paciente fallecido en junio: el hijo mayor pide copia completa, una aseguradora de vida pide el resumen para estudiar una reclamación y un abogado dice representar a la familia, pero solo aporta una carta firmada por la viuda sin poder. La ventanilla las remite a la oficina jurídica para un solo concepto.</t>
        </is>
      </c>
      <c r="H460" s="14" t="inlineStr">
        <is>
          <t>Frente al abogado que aporta una carta sin poder, la actuación adecuada es:</t>
        </is>
      </c>
      <c r="I460" s="14" t="inlineStr">
        <is>
          <t>Responder indicando el documento faltante y el trámite para subsanarlo dentro del término legal</t>
        </is>
      </c>
      <c r="J460" s="14" t="inlineStr">
        <is>
          <t>Archivar la solicitud sin respuesta, por no acreditar la representación que invoca en el escrito</t>
        </is>
      </c>
      <c r="K460" s="14" t="inlineStr">
        <is>
          <t>Entregar la información al considerar suficiente la firma de la viuda que acompaña el escrito</t>
        </is>
      </c>
      <c r="L460" s="14" t="inlineStr">
        <is>
          <t>a</t>
        </is>
      </c>
      <c r="M460" s="14" t="inlineStr">
        <is>
          <t>La entidad debe responder señalando el requisito faltante y cómo subsanarlo, sin entregar información reservada mientras tanto.</t>
        </is>
      </c>
      <c r="N460" s="14" t="inlineStr">
        <is>
          <t>La opción b) desatiende el derecho de petición y la opción c) acepta una legitimación no acreditada.</t>
        </is>
      </c>
      <c r="O460" s="14" t="inlineStr">
        <is>
          <t>Ley 1755 de 2015, art. 17; Resolución 1995 de 1999</t>
        </is>
      </c>
      <c r="P460" s="14" t="inlineStr">
        <is>
          <t>SI</t>
        </is>
      </c>
      <c r="Q460" s="14" t="inlineStr">
        <is>
          <t>Alta</t>
        </is>
      </c>
      <c r="R460" s="14" t="inlineStr">
        <is>
          <t>v2</t>
        </is>
      </c>
    </row>
    <row r="461" ht="57" customHeight="1" s="12">
      <c r="A461" s="14" t="inlineStr">
        <is>
          <t>F0460</t>
        </is>
      </c>
      <c r="B461" s="14" t="inlineStr">
        <is>
          <t>PS 2782 de 2026 - ESE 2 - HUHMP Neiva</t>
        </is>
      </c>
      <c r="C461" s="14" t="inlineStr">
        <is>
          <t>Historia clinica y proteccion de datos (Ley 1581 de 2012)</t>
        </is>
      </c>
      <c r="D461" s="14" t="inlineStr">
        <is>
          <t>Profesional</t>
        </is>
      </c>
      <c r="E461" s="14" t="inlineStr">
        <is>
          <t>C154</t>
        </is>
      </c>
      <c r="F461" s="14" t="inlineStr">
        <is>
          <t>Caso 154</t>
        </is>
      </c>
      <c r="G461" s="14" t="inlineStr">
        <is>
          <t>A las 20:15 falla el sistema de historia clínica electrónica y el servicio de urgencias atiende cuatro horas con registros en papel. Al restablecerse, un médico propone transcribir todo al día siguiente con la hora real de atención y desechar los papeles. Además, durante la contingencia, dos auxiliares usaron el usuario y la contraseña de la enfermera jefe para consultar datos.</t>
        </is>
      </c>
      <c r="H461" s="14" t="inlineStr">
        <is>
          <t>Sobre la transcripción propuesta, lo correcto es:</t>
        </is>
      </c>
      <c r="I461" s="14" t="inlineStr">
        <is>
          <t>Incorporar los registros de la contingencia indicando que corresponden a un plan de continuidad, y conservar los soportes en papel</t>
        </is>
      </c>
      <c r="J461" s="14" t="inlineStr">
        <is>
          <t>Transcribir con la hora real de atención y desechar el papel, porque el registro electrónico ya la contiene</t>
        </is>
      </c>
      <c r="K461" s="14" t="inlineStr">
        <is>
          <t>Dejar los registros solo en papel y anexarlos al final del expediente físico del paciente</t>
        </is>
      </c>
      <c r="L461" s="14" t="inlineStr">
        <is>
          <t>a</t>
        </is>
      </c>
      <c r="M461" s="14" t="inlineStr">
        <is>
          <t>Los registros de la contingencia se incorporan identificando esa condición y los soportes originales se conservan como parte de la historia clínica.</t>
        </is>
      </c>
      <c r="N461" s="14" t="inlineStr">
        <is>
          <t>La opción b) destruye el soporte original y la opción c) fragmenta el registro entre dos medios sin integrarlo.</t>
        </is>
      </c>
      <c r="O461" s="14" t="inlineStr">
        <is>
          <t>Resolución 1995 de 1999; Ley 2015 de 2020</t>
        </is>
      </c>
      <c r="P461" s="14" t="inlineStr">
        <is>
          <t>SI</t>
        </is>
      </c>
      <c r="Q461" s="14" t="inlineStr">
        <is>
          <t>Media</t>
        </is>
      </c>
      <c r="R461" s="14" t="inlineStr">
        <is>
          <t>v2</t>
        </is>
      </c>
    </row>
    <row r="462" ht="57" customHeight="1" s="12">
      <c r="A462" s="14" t="inlineStr">
        <is>
          <t>F0461</t>
        </is>
      </c>
      <c r="B462" s="14" t="inlineStr">
        <is>
          <t>PS 2782 de 2026 - ESE 2 - HUHMP Neiva</t>
        </is>
      </c>
      <c r="C462" s="14" t="inlineStr">
        <is>
          <t>Historia clinica y proteccion de datos (Ley 1581 de 2012)</t>
        </is>
      </c>
      <c r="D462" s="14" t="inlineStr">
        <is>
          <t>Profesional</t>
        </is>
      </c>
      <c r="E462" s="14" t="inlineStr">
        <is>
          <t>C154</t>
        </is>
      </c>
      <c r="F462" s="14" t="inlineStr">
        <is>
          <t>Caso 154</t>
        </is>
      </c>
      <c r="G462" s="14" t="inlineStr">
        <is>
          <t>A las 20:15 falla el sistema de historia clínica electrónica y el servicio de urgencias atiende cuatro horas con registros en papel. Al restablecerse, un médico propone transcribir todo al día siguiente con la hora real de atención y desechar los papeles. Además, durante la contingencia, dos auxiliares usaron el usuario y la contraseña de la enfermera jefe para consultar datos.</t>
        </is>
      </c>
      <c r="H462" s="14" t="inlineStr">
        <is>
          <t>El uso del usuario y la contraseña de otra persona:</t>
        </is>
      </c>
      <c r="I462" s="14" t="inlineStr">
        <is>
          <t>Rompe la trazabilidad de los accesos y compromete responsabilidad disciplinaria de quienes participaron</t>
        </is>
      </c>
      <c r="J462" s="14" t="inlineStr">
        <is>
          <t>Es admisible durante una contingencia, porque garantiza la continuidad de la atención del paciente</t>
        </is>
      </c>
      <c r="K462" s="14" t="inlineStr">
        <is>
          <t>Afecta solo a quien prestó las credenciales, que es la responsable de custodiarlas debidamente</t>
        </is>
      </c>
      <c r="L462" s="14" t="inlineStr">
        <is>
          <t>a</t>
        </is>
      </c>
      <c r="M462" s="14" t="inlineStr">
        <is>
          <t>Las credenciales son personales e intransferibles; su préstamo elimina la trazabilidad y compromete a quien presta y a quien usa.</t>
        </is>
      </c>
      <c r="N462" s="14" t="inlineStr">
        <is>
          <t>La opción b) justifica por la contingencia una práctica que la desnaturaliza y la opción c) exime a quienes usaron credenciales ajenas.</t>
        </is>
      </c>
      <c r="O462" s="14" t="inlineStr">
        <is>
          <t>Ley 1581 de 2012; Resolución 1995 de 1999</t>
        </is>
      </c>
      <c r="P462" s="14" t="inlineStr">
        <is>
          <t>SI</t>
        </is>
      </c>
      <c r="Q462" s="14" t="inlineStr">
        <is>
          <t>Media</t>
        </is>
      </c>
      <c r="R462" s="14" t="inlineStr">
        <is>
          <t>v2</t>
        </is>
      </c>
    </row>
    <row r="463" ht="57" customHeight="1" s="12">
      <c r="A463" s="14" t="inlineStr">
        <is>
          <t>F0462</t>
        </is>
      </c>
      <c r="B463" s="14" t="inlineStr">
        <is>
          <t>PS 2782 de 2026 - ESE 2 - HUHMP Neiva</t>
        </is>
      </c>
      <c r="C463" s="14" t="inlineStr">
        <is>
          <t>Historia clinica y proteccion de datos (Ley 1581 de 2012)</t>
        </is>
      </c>
      <c r="D463" s="14" t="inlineStr">
        <is>
          <t>Profesional</t>
        </is>
      </c>
      <c r="E463" s="14" t="inlineStr">
        <is>
          <t>C154</t>
        </is>
      </c>
      <c r="F463" s="14" t="inlineStr">
        <is>
          <t>Caso 154</t>
        </is>
      </c>
      <c r="G463" s="14" t="inlineStr">
        <is>
          <t>A las 20:15 falla el sistema de historia clínica electrónica y el servicio de urgencias atiende cuatro horas con registros en papel. Al restablecerse, un médico propone transcribir todo al día siguiente con la hora real de atención y desechar los papeles. Además, durante la contingencia, dos auxiliares usaron el usuario y la contraseña de la enfermera jefe para consultar datos.</t>
        </is>
      </c>
      <c r="H463" s="14" t="inlineStr">
        <is>
          <t>Los registros de auditoría del sistema sirven para:</t>
        </is>
      </c>
      <c r="I463" s="14" t="inlineStr">
        <is>
          <t>Establecer quién consultó o modificó cada dato y en qué momento lo hizo</t>
        </is>
      </c>
      <c r="J463" s="14" t="inlineStr">
        <is>
          <t>Recuperar la información cuando se presenta una falla técnica del servidor</t>
        </is>
      </c>
      <c r="K463" s="14" t="inlineStr">
        <is>
          <t>Acelerar la facturación al identificar los servicios prestados en cada turno</t>
        </is>
      </c>
      <c r="L463" s="14" t="inlineStr">
        <is>
          <t>a</t>
        </is>
      </c>
      <c r="M463" s="14" t="inlineStr">
        <is>
          <t>La trazabilidad permite determinar autor y momento de cada consulta o modificación, garantía esencial de confidencialidad e integridad.</t>
        </is>
      </c>
      <c r="N463" s="14" t="inlineStr">
        <is>
          <t>La opción b) corresponde a las copias de respaldo y la opción c) a procesos administrativos ajenos a la auditoría de accesos.</t>
        </is>
      </c>
      <c r="O463" s="14" t="inlineStr">
        <is>
          <t>Ley 2015 de 2020; Ley 1581 de 2012</t>
        </is>
      </c>
      <c r="P463" s="14" t="inlineStr">
        <is>
          <t>SI</t>
        </is>
      </c>
      <c r="Q463" s="14" t="inlineStr">
        <is>
          <t>Media</t>
        </is>
      </c>
      <c r="R463" s="14" t="inlineStr">
        <is>
          <t>v2</t>
        </is>
      </c>
    </row>
    <row r="464" ht="45.75" customHeight="1" s="12">
      <c r="A464" s="14" t="inlineStr">
        <is>
          <t>F0463</t>
        </is>
      </c>
      <c r="B464" s="14" t="inlineStr">
        <is>
          <t>PS 2782 de 2026 - ESE 2 - HUHMP Neiva</t>
        </is>
      </c>
      <c r="C464" s="14" t="inlineStr">
        <is>
          <t>Historia clinica y proteccion de datos (Ley 1581 de 2012)</t>
        </is>
      </c>
      <c r="D464" s="14" t="inlineStr">
        <is>
          <t>Tecnico</t>
        </is>
      </c>
      <c r="E464" s="14" t="inlineStr">
        <is>
          <t>C155</t>
        </is>
      </c>
      <c r="F464" s="14" t="inlineStr">
        <is>
          <t>Caso 155</t>
        </is>
      </c>
      <c r="G464" s="14" t="inlineStr">
        <is>
          <t>El jefe administrativo ordena liberar espacio en el archivo clínico y pide eliminar las historias de pacientes cuya última atención fue hace ocho años, además de las de pacientes fallecidos. Entrega la instrucción por correo y pide que el proceso termine antes del cierre del mes.</t>
        </is>
      </c>
      <c r="H464" s="14" t="inlineStr">
        <is>
          <t>Frente a la instrucción sobre las historias de ocho años, corresponde:</t>
        </is>
      </c>
      <c r="I464" s="14" t="inlineStr">
        <is>
          <t>Advertir que no se cumple el término mínimo de conservación y abstenerse de eliminarlas</t>
        </is>
      </c>
      <c r="J464" s="14" t="inlineStr">
        <is>
          <t>Ejecutar la eliminación, dejando constancia del correo que impartió la instrucción</t>
        </is>
      </c>
      <c r="K464" s="14" t="inlineStr">
        <is>
          <t>Eliminar únicamente las de pacientes fallecidos, cuya reserva se extingue con el deceso</t>
        </is>
      </c>
      <c r="L464" s="14" t="inlineStr">
        <is>
          <t>a</t>
        </is>
      </c>
      <c r="M464" s="14" t="inlineStr">
        <is>
          <t>La historia clínica debe conservarse mínimo quince años desde la última atención, y el fallecimiento no reduce ese término.</t>
        </is>
      </c>
      <c r="N464" s="14" t="inlineStr">
        <is>
          <t>La opción b) cumple una orden contraria a la norma y la opción c) supone una extinción de la reserva que no existe.</t>
        </is>
      </c>
      <c r="O464" s="14" t="inlineStr">
        <is>
          <t>Resolución 1995 de 1999, modificada por la Resolución 839 de 2017</t>
        </is>
      </c>
      <c r="P464" s="14" t="inlineStr">
        <is>
          <t>SI</t>
        </is>
      </c>
      <c r="Q464" s="14" t="inlineStr">
        <is>
          <t>Media</t>
        </is>
      </c>
      <c r="R464" s="14" t="inlineStr">
        <is>
          <t>v2</t>
        </is>
      </c>
    </row>
    <row r="465" ht="45.75" customHeight="1" s="12">
      <c r="A465" s="14" t="inlineStr">
        <is>
          <t>F0464</t>
        </is>
      </c>
      <c r="B465" s="14" t="inlineStr">
        <is>
          <t>PS 2782 de 2026 - ESE 2 - HUHMP Neiva</t>
        </is>
      </c>
      <c r="C465" s="14" t="inlineStr">
        <is>
          <t>Historia clinica y proteccion de datos (Ley 1581 de 2012)</t>
        </is>
      </c>
      <c r="D465" s="14" t="inlineStr">
        <is>
          <t>Tecnico</t>
        </is>
      </c>
      <c r="E465" s="14" t="inlineStr">
        <is>
          <t>C155</t>
        </is>
      </c>
      <c r="F465" s="14" t="inlineStr">
        <is>
          <t>Caso 155</t>
        </is>
      </c>
      <c r="G465" s="14" t="inlineStr">
        <is>
          <t>El jefe administrativo ordena liberar espacio en el archivo clínico y pide eliminar las historias de pacientes cuya última atención fue hace ocho años, además de las de pacientes fallecidos. Entrega la instrucción por correo y pide que el proceso termine antes del cierre del mes.</t>
        </is>
      </c>
      <c r="H465" s="14" t="inlineStr">
        <is>
          <t>Cumplido el término, la eliminación documental exige:</t>
        </is>
      </c>
      <c r="I465" s="14" t="inlineStr">
        <is>
          <t>Aplicar las tablas de retención, con acta del comité de archivo y publicidad del inventario</t>
        </is>
      </c>
      <c r="J465" s="14" t="inlineStr">
        <is>
          <t>La autorización escrita del jefe administrativo y el registro en la minuta del archivo</t>
        </is>
      </c>
      <c r="K465" s="14" t="inlineStr">
        <is>
          <t>La solicitud previa del paciente o de sus causahabientes acreditados ante la institución</t>
        </is>
      </c>
      <c r="L465" s="14" t="inlineStr">
        <is>
          <t>a</t>
        </is>
      </c>
      <c r="M465" s="14" t="inlineStr">
        <is>
          <t>La eliminación procede conforme a las tablas de retención, con decisión del comité, acta y publicidad del inventario.</t>
        </is>
      </c>
      <c r="N465" s="14" t="inlineStr">
        <is>
          <t>La opción b) sustituye el procedimiento archivístico por una orden interna y la opción c) condiciona a una solicitud que no es requisito.</t>
        </is>
      </c>
      <c r="O465" s="14" t="inlineStr">
        <is>
          <t>Ley 594 de 2000; Acuerdo 004 de 2019 del Archivo General de la Nación</t>
        </is>
      </c>
      <c r="P465" s="14" t="inlineStr">
        <is>
          <t>SI</t>
        </is>
      </c>
      <c r="Q465" s="14" t="inlineStr">
        <is>
          <t>Media</t>
        </is>
      </c>
      <c r="R465" s="14" t="inlineStr">
        <is>
          <t>v2</t>
        </is>
      </c>
    </row>
    <row r="466" ht="45.75" customHeight="1" s="12">
      <c r="A466" s="14" t="inlineStr">
        <is>
          <t>F0465</t>
        </is>
      </c>
      <c r="B466" s="14" t="inlineStr">
        <is>
          <t>PS 2782 de 2026 - ESE 2 - HUHMP Neiva</t>
        </is>
      </c>
      <c r="C466" s="14" t="inlineStr">
        <is>
          <t>Historia clinica y proteccion de datos (Ley 1581 de 2012)</t>
        </is>
      </c>
      <c r="D466" s="14" t="inlineStr">
        <is>
          <t>Tecnico</t>
        </is>
      </c>
      <c r="E466" s="14" t="inlineStr">
        <is>
          <t>C155</t>
        </is>
      </c>
      <c r="F466" s="14" t="inlineStr">
        <is>
          <t>Caso 155</t>
        </is>
      </c>
      <c r="G466" s="14" t="inlineStr">
        <is>
          <t>El jefe administrativo ordena liberar espacio en el archivo clínico y pide eliminar las historias de pacientes cuya última atención fue hace ocho años, además de las de pacientes fallecidos. Entrega la instrucción por correo y pide que el proceso termine antes del cierre del mes.</t>
        </is>
      </c>
      <c r="H466" s="14" t="inlineStr">
        <is>
          <t>Si el funcionario ejecuta la orden y se pierden historias aún vigentes, puede responder:</t>
        </is>
      </c>
      <c r="I466" s="14" t="inlineStr">
        <is>
          <t>Disciplinariamente, sin que la orden del superior lo exima por tratarse de una instrucción contraria a la norma</t>
        </is>
      </c>
      <c r="J466" s="14" t="inlineStr">
        <is>
          <t>Solo el jefe que impartió la instrucción, porque el funcionario actuó por obediencia debida</t>
        </is>
      </c>
      <c r="K466" s="14" t="inlineStr">
        <is>
          <t>Solo la institución, que responde patrimonialmente ante los pacientes afectados por la pérdida</t>
        </is>
      </c>
      <c r="L466" s="14" t="inlineStr">
        <is>
          <t>a</t>
        </is>
      </c>
      <c r="M466" s="14" t="inlineStr">
        <is>
          <t>La obediencia debida no ampara el cumplimiento de órdenes contrarias al ordenamiento; ambos responden por su conducta.</t>
        </is>
      </c>
      <c r="N466" s="14" t="inlineStr">
        <is>
          <t>Las opciones b) y c) trasladan íntegramente la responsabilidad a un tercero o a la entidad.</t>
        </is>
      </c>
      <c r="O466" s="14" t="inlineStr">
        <is>
          <t>Constitución Política de 1991, art. 91; Ley 1952 de 2019</t>
        </is>
      </c>
      <c r="P466" s="14" t="inlineStr">
        <is>
          <t>SI</t>
        </is>
      </c>
      <c r="Q466" s="14" t="inlineStr">
        <is>
          <t>Media</t>
        </is>
      </c>
      <c r="R466" s="14" t="inlineStr">
        <is>
          <t>v2</t>
        </is>
      </c>
    </row>
    <row r="467" ht="57" customHeight="1" s="12">
      <c r="A467" s="14" t="inlineStr">
        <is>
          <t>F0466</t>
        </is>
      </c>
      <c r="B467" s="14" t="inlineStr">
        <is>
          <t>PS 2782 de 2026 - ESE 2 - HUHMP Neiva</t>
        </is>
      </c>
      <c r="C467" s="14" t="inlineStr">
        <is>
          <t>Historia clinica y proteccion de datos (Ley 1581 de 2012)</t>
        </is>
      </c>
      <c r="D467" s="14" t="inlineStr">
        <is>
          <t>Profesional</t>
        </is>
      </c>
      <c r="E467" s="14" t="inlineStr">
        <is>
          <t>C156</t>
        </is>
      </c>
      <c r="F467" s="14" t="inlineStr">
        <is>
          <t>Caso 156</t>
        </is>
      </c>
      <c r="G467" s="14" t="inlineStr">
        <is>
          <t>Un grupo de investigación de una universidad propone al hospital un estudio sobre desenlaces en pacientes con enfermedad renal. Pide una base con nombre, documento, diagnóstico y resultados de laboratorio de los últimos tres años, y ofrece firmar un acuerdo de confidencialidad. El comité de ética debe pronunciarse antes del 30 de septiembre.</t>
        </is>
      </c>
      <c r="H467" s="14" t="inlineStr">
        <is>
          <t>La condición mínima para entregar datos con fines de investigación es:</t>
        </is>
      </c>
      <c r="I467" s="14" t="inlineStr">
        <is>
          <t>La autorización previa e informada de los titulares, salvo excepción legal, con medidas de anonimización</t>
        </is>
      </c>
      <c r="J467" s="14" t="inlineStr">
        <is>
          <t>El acuerdo de confidencialidad suscrito por el investigador principal de la universidad</t>
        </is>
      </c>
      <c r="K467" s="14" t="inlineStr">
        <is>
          <t>El aval del comité de ética, que se documenta en acta y sustituye la autorización individual</t>
        </is>
      </c>
      <c r="L467" s="14" t="inlineStr">
        <is>
          <t>a</t>
        </is>
      </c>
      <c r="M467" s="14" t="inlineStr">
        <is>
          <t>Los datos de salud son sensibles: su tratamiento exige autorización previa e informada, además de medidas que reduzcan el riesgo de identificación.</t>
        </is>
      </c>
      <c r="N467" s="14" t="inlineStr">
        <is>
          <t>La opción b) protege frente a terceros pero no legitima el tratamiento y la opción c) atribuye al comité una facultad que no reemplaza el consentimiento.</t>
        </is>
      </c>
      <c r="O467" s="14" t="inlineStr">
        <is>
          <t>Ley 1581 de 2012, arts. 5 y 6; Decreto 1377 de 2013</t>
        </is>
      </c>
      <c r="P467" s="14" t="inlineStr">
        <is>
          <t>SI</t>
        </is>
      </c>
      <c r="Q467" s="14" t="inlineStr">
        <is>
          <t>Alta</t>
        </is>
      </c>
      <c r="R467" s="14" t="inlineStr">
        <is>
          <t>v2</t>
        </is>
      </c>
    </row>
    <row r="468" ht="57" customHeight="1" s="12">
      <c r="A468" s="14" t="inlineStr">
        <is>
          <t>F0467</t>
        </is>
      </c>
      <c r="B468" s="14" t="inlineStr">
        <is>
          <t>PS 2782 de 2026 - ESE 2 - HUHMP Neiva</t>
        </is>
      </c>
      <c r="C468" s="14" t="inlineStr">
        <is>
          <t>Historia clinica y proteccion de datos (Ley 1581 de 2012)</t>
        </is>
      </c>
      <c r="D468" s="14" t="inlineStr">
        <is>
          <t>Profesional</t>
        </is>
      </c>
      <c r="E468" s="14" t="inlineStr">
        <is>
          <t>C156</t>
        </is>
      </c>
      <c r="F468" s="14" t="inlineStr">
        <is>
          <t>Caso 156</t>
        </is>
      </c>
      <c r="G468" s="14" t="inlineStr">
        <is>
          <t>Un grupo de investigación de una universidad propone al hospital un estudio sobre desenlaces en pacientes con enfermedad renal. Pide una base con nombre, documento, diagnóstico y resultados de laboratorio de los últimos tres años, y ofrece firmar un acuerdo de confidencialidad. El comité de ética debe pronunciarse antes del 30 de septiembre.</t>
        </is>
      </c>
      <c r="H468" s="14" t="inlineStr">
        <is>
          <t>Sobre los campos solicitados, la recomendación técnica es:</t>
        </is>
      </c>
      <c r="I468" s="14" t="inlineStr">
        <is>
          <t>Entregar el conjunto mínimo necesario, sin nombre ni documento, usando un código de estudio</t>
        </is>
      </c>
      <c r="J468" s="14" t="inlineStr">
        <is>
          <t>Entregar todos los campos pedidos, porque el estudio requiere identificar a cada paciente</t>
        </is>
      </c>
      <c r="K468" s="14" t="inlineStr">
        <is>
          <t>Entregar la base completa cifrada, dejando la clave en poder del investigador principal</t>
        </is>
      </c>
      <c r="L468" s="14" t="inlineStr">
        <is>
          <t>a</t>
        </is>
      </c>
      <c r="M468" s="14" t="inlineStr">
        <is>
          <t>Los principios de finalidad y necesidad limitan el tratamiento a los datos indispensables; la seudonimización cumple el propósito del estudio.</t>
        </is>
      </c>
      <c r="N468" s="14" t="inlineStr">
        <is>
          <t>La opción b) desconoce esos principios y la opción c) mantiene la identificación, solo que protegida con una clave.</t>
        </is>
      </c>
      <c r="O468" s="14" t="inlineStr">
        <is>
          <t>Ley 1581 de 2012, art. 4</t>
        </is>
      </c>
      <c r="P468" s="14" t="inlineStr">
        <is>
          <t>SI</t>
        </is>
      </c>
      <c r="Q468" s="14" t="inlineStr">
        <is>
          <t>Alta</t>
        </is>
      </c>
      <c r="R468" s="14" t="inlineStr">
        <is>
          <t>v2</t>
        </is>
      </c>
    </row>
    <row r="469" ht="57" customHeight="1" s="12">
      <c r="A469" s="14" t="inlineStr">
        <is>
          <t>F0468</t>
        </is>
      </c>
      <c r="B469" s="14" t="inlineStr">
        <is>
          <t>PS 2782 de 2026 - ESE 2 - HUHMP Neiva</t>
        </is>
      </c>
      <c r="C469" s="14" t="inlineStr">
        <is>
          <t>Historia clinica y proteccion de datos (Ley 1581 de 2012)</t>
        </is>
      </c>
      <c r="D469" s="14" t="inlineStr">
        <is>
          <t>Profesional</t>
        </is>
      </c>
      <c r="E469" s="14" t="inlineStr">
        <is>
          <t>C156</t>
        </is>
      </c>
      <c r="F469" s="14" t="inlineStr">
        <is>
          <t>Caso 156</t>
        </is>
      </c>
      <c r="G469" s="14" t="inlineStr">
        <is>
          <t>Un grupo de investigación de una universidad propone al hospital un estudio sobre desenlaces en pacientes con enfermedad renal. Pide una base con nombre, documento, diagnóstico y resultados de laboratorio de los últimos tres años, y ofrece firmar un acuerdo de confidencialidad. El comité de ética debe pronunciarse antes del 30 de septiembre.</t>
        </is>
      </c>
      <c r="H469" s="14" t="inlineStr">
        <is>
          <t>Si durante el estudio se filtra la base, el hospital debe:</t>
        </is>
      </c>
      <c r="I469" s="14" t="inlineStr">
        <is>
          <t>Informar a la autoridad de protección de datos y adoptar las medidas correctivas del caso</t>
        </is>
      </c>
      <c r="J469" s="14" t="inlineStr">
        <is>
          <t>Solicitar a la universidad que asuma la respuesta ante los titulares afectados por la filtración</t>
        </is>
      </c>
      <c r="K469" s="14" t="inlineStr">
        <is>
          <t>Esperar las reclamaciones de los titulares y documentar el alcance real del incidente</t>
        </is>
      </c>
      <c r="L469" s="14" t="inlineStr">
        <is>
          <t>a</t>
        </is>
      </c>
      <c r="M469" s="14" t="inlineStr">
        <is>
          <t>El responsable debe informar a la autoridad las violaciones a los códigos de seguridad y corregir la causa del incidente.</t>
        </is>
      </c>
      <c r="N469" s="14" t="inlineStr">
        <is>
          <t>La opción b) traslada un deber propio y la opción c) aplaza la actuación hasta que alguien reclame.</t>
        </is>
      </c>
      <c r="O469" s="14" t="inlineStr">
        <is>
          <t>Ley 1581 de 2012, art. 17</t>
        </is>
      </c>
      <c r="P469" s="14" t="inlineStr">
        <is>
          <t>SI</t>
        </is>
      </c>
      <c r="Q469" s="14" t="inlineStr">
        <is>
          <t>Alta</t>
        </is>
      </c>
      <c r="R469" s="14" t="inlineStr">
        <is>
          <t>v2</t>
        </is>
      </c>
    </row>
    <row r="470" ht="45.75" customHeight="1" s="12">
      <c r="A470" s="14" t="inlineStr">
        <is>
          <t>F0469</t>
        </is>
      </c>
      <c r="B470" s="14" t="inlineStr">
        <is>
          <t>PS 2782 de 2026 - ESE 2 - HUHMP Neiva</t>
        </is>
      </c>
      <c r="C470" s="14" t="inlineStr">
        <is>
          <t>Historia clinica y proteccion de datos (Ley 1581 de 2012)</t>
        </is>
      </c>
      <c r="D470" s="14" t="inlineStr">
        <is>
          <t>Tecnico</t>
        </is>
      </c>
      <c r="E470" s="14" t="inlineStr">
        <is>
          <t>C157</t>
        </is>
      </c>
      <c r="F470" s="14" t="inlineStr">
        <is>
          <t>Caso 157</t>
        </is>
      </c>
      <c r="G470" s="14" t="inlineStr">
        <is>
          <t>En admisiones se entrega a cada usuario un formato de autorización de tratamiento de datos. Un usuario pregunta para qué firma, otro se niega a firmar y una madre pregunta si puede firmar por su hija de nueve años. La auxiliar debe resolver las tres situaciones sin demorar la atención.</t>
        </is>
      </c>
      <c r="H470" s="14" t="inlineStr">
        <is>
          <t>La autorización que se solicita al usuario tiene por objeto:</t>
        </is>
      </c>
      <c r="I470" s="14" t="inlineStr">
        <is>
          <t>Habilitar el tratamiento de sus datos para las finalidades informadas por la institución</t>
        </is>
      </c>
      <c r="J470" s="14" t="inlineStr">
        <is>
          <t>Trasladar al usuario la responsabilidad por el uso que se dé a su información clínica</t>
        </is>
      </c>
      <c r="K470" s="14" t="inlineStr">
        <is>
          <t>Autorizar el cobro de los servicios que la institución le preste durante la atención</t>
        </is>
      </c>
      <c r="L470" s="14" t="inlineStr">
        <is>
          <t>a</t>
        </is>
      </c>
      <c r="M470" s="14" t="inlineStr">
        <is>
          <t>La autorización habilita el tratamiento de los datos para las finalidades informadas en el aviso de privacidad.</t>
        </is>
      </c>
      <c r="N470" s="14" t="inlineStr">
        <is>
          <t>La opción b) desnaturaliza la figura y la opción c) la confunde con un compromiso económico.</t>
        </is>
      </c>
      <c r="O470" s="14" t="inlineStr">
        <is>
          <t>Ley 1581 de 2012, art. 9; Decreto 1377 de 2013</t>
        </is>
      </c>
      <c r="P470" s="14" t="inlineStr">
        <is>
          <t>SI</t>
        </is>
      </c>
      <c r="Q470" s="14" t="inlineStr">
        <is>
          <t>Basica</t>
        </is>
      </c>
      <c r="R470" s="14" t="inlineStr">
        <is>
          <t>v2</t>
        </is>
      </c>
    </row>
    <row r="471" ht="45.75" customHeight="1" s="12">
      <c r="A471" s="14" t="inlineStr">
        <is>
          <t>F0470</t>
        </is>
      </c>
      <c r="B471" s="14" t="inlineStr">
        <is>
          <t>PS 2782 de 2026 - ESE 2 - HUHMP Neiva</t>
        </is>
      </c>
      <c r="C471" s="14" t="inlineStr">
        <is>
          <t>Historia clinica y proteccion de datos (Ley 1581 de 2012)</t>
        </is>
      </c>
      <c r="D471" s="14" t="inlineStr">
        <is>
          <t>Tecnico</t>
        </is>
      </c>
      <c r="E471" s="14" t="inlineStr">
        <is>
          <t>C157</t>
        </is>
      </c>
      <c r="F471" s="14" t="inlineStr">
        <is>
          <t>Caso 157</t>
        </is>
      </c>
      <c r="G471" s="14" t="inlineStr">
        <is>
          <t>En admisiones se entrega a cada usuario un formato de autorización de tratamiento de datos. Un usuario pregunta para qué firma, otro se niega a firmar y una madre pregunta si puede firmar por su hija de nueve años. La auxiliar debe resolver las tres situaciones sin demorar la atención.</t>
        </is>
      </c>
      <c r="H471" s="14" t="inlineStr">
        <is>
          <t>Si el usuario se niega a firmar la autorización, la institución debe:</t>
        </is>
      </c>
      <c r="I471" s="14" t="inlineStr">
        <is>
          <t>Atenderlo igualmente y tratar sus datos en lo que resulte necesario para la prestación del servicio</t>
        </is>
      </c>
      <c r="J471" s="14" t="inlineStr">
        <is>
          <t>Abstenerse de prestar el servicio hasta que la autorización quede debidamente suscrita</t>
        </is>
      </c>
      <c r="K471" s="14" t="inlineStr">
        <is>
          <t>Registrar la negativa y suprimir de inmediato los datos ya recolectados del usuario</t>
        </is>
      </c>
      <c r="L471" s="14" t="inlineStr">
        <is>
          <t>a</t>
        </is>
      </c>
      <c r="M471" s="14" t="inlineStr">
        <is>
          <t>La atención no puede condicionarse a la firma; el tratamiento necesario para la prestación y para cumplir deberes legales subsiste.</t>
        </is>
      </c>
      <c r="N471" s="14" t="inlineStr">
        <is>
          <t>La opción b) crea una barrera de acceso y la opción c) desconoce la obligación de conservar la historia clínica.</t>
        </is>
      </c>
      <c r="O471" s="14" t="inlineStr">
        <is>
          <t>Ley 1581 de 2012; Ley 1751 de 2015, art. 14</t>
        </is>
      </c>
      <c r="P471" s="14" t="inlineStr">
        <is>
          <t>SI</t>
        </is>
      </c>
      <c r="Q471" s="14" t="inlineStr">
        <is>
          <t>Basica</t>
        </is>
      </c>
      <c r="R471" s="14" t="inlineStr">
        <is>
          <t>v2</t>
        </is>
      </c>
    </row>
    <row r="472" ht="45.75" customHeight="1" s="12">
      <c r="A472" s="14" t="inlineStr">
        <is>
          <t>F0471</t>
        </is>
      </c>
      <c r="B472" s="14" t="inlineStr">
        <is>
          <t>PS 2782 de 2026 - ESE 2 - HUHMP Neiva</t>
        </is>
      </c>
      <c r="C472" s="14" t="inlineStr">
        <is>
          <t>Historia clinica y proteccion de datos (Ley 1581 de 2012)</t>
        </is>
      </c>
      <c r="D472" s="14" t="inlineStr">
        <is>
          <t>Tecnico</t>
        </is>
      </c>
      <c r="E472" s="14" t="inlineStr">
        <is>
          <t>C157</t>
        </is>
      </c>
      <c r="F472" s="14" t="inlineStr">
        <is>
          <t>Caso 157</t>
        </is>
      </c>
      <c r="G472" s="14" t="inlineStr">
        <is>
          <t>En admisiones se entrega a cada usuario un formato de autorización de tratamiento de datos. Un usuario pregunta para qué firma, otro se niega a firmar y una madre pregunta si puede firmar por su hija de nueve años. La auxiliar debe resolver las tres situaciones sin demorar la atención.</t>
        </is>
      </c>
      <c r="H472" s="14" t="inlineStr">
        <is>
          <t>Tratándose de la niña de nueve años, corresponde:</t>
        </is>
      </c>
      <c r="I472" s="14" t="inlineStr">
        <is>
          <t>Que la madre autorice como representante legal, atendiendo el interés superior de la niña</t>
        </is>
      </c>
      <c r="J472" s="14" t="inlineStr">
        <is>
          <t>Que la niña firme personalmente, porque es la titular de sus propios datos personales</t>
        </is>
      </c>
      <c r="K472" s="14" t="inlineStr">
        <is>
          <t>Que no se recolecte ningún dato hasta que la niña alcance la mayoría de edad</t>
        </is>
      </c>
      <c r="L472" s="14" t="inlineStr">
        <is>
          <t>a</t>
        </is>
      </c>
      <c r="M472" s="14" t="inlineStr">
        <is>
          <t>El tratamiento de datos de menores procede por conducto de su representante legal y atendiendo su interés superior.</t>
        </is>
      </c>
      <c r="N472" s="14" t="inlineStr">
        <is>
          <t>La opción b) desconoce la representación legal y la opción c) impediría la prestación del servicio.</t>
        </is>
      </c>
      <c r="O472" s="14" t="inlineStr">
        <is>
          <t>Ley 1581 de 2012, art. 7; Decreto 1377 de 2013; Ley 1098 de 2006</t>
        </is>
      </c>
      <c r="P472" s="14" t="inlineStr">
        <is>
          <t>SI</t>
        </is>
      </c>
      <c r="Q472" s="14" t="inlineStr">
        <is>
          <t>Basica</t>
        </is>
      </c>
      <c r="R472" s="14" t="inlineStr">
        <is>
          <t>v2</t>
        </is>
      </c>
    </row>
    <row r="473" ht="57" customHeight="1" s="12">
      <c r="A473" s="14" t="inlineStr">
        <is>
          <t>F0472</t>
        </is>
      </c>
      <c r="B473" s="14" t="inlineStr">
        <is>
          <t>PS 2782 de 2026 - ESE 2 - HUHMP Neiva</t>
        </is>
      </c>
      <c r="C473" s="14" t="inlineStr">
        <is>
          <t>Humanizacion y derechos del paciente</t>
        </is>
      </c>
      <c r="D473" s="14" t="inlineStr">
        <is>
          <t>Profesional</t>
        </is>
      </c>
      <c r="E473" s="14" t="inlineStr">
        <is>
          <t>C158</t>
        </is>
      </c>
      <c r="F473" s="14" t="inlineStr">
        <is>
          <t>Caso 158</t>
        </is>
      </c>
      <c r="G473" s="14" t="inlineStr">
        <is>
          <t>Un hombre de 52 años, consciente y orientado, requiere transfusión por sangrado activo y la rechaza por convicciones religiosas. Firma su negativa. El cirujano considera que sin transfusión el riesgo de muerte es alto y pide autorización a la familia, que sí acepta. El comité de ética se reúne de urgencia a las 21:00.</t>
        </is>
      </c>
      <c r="H473" s="14" t="inlineStr">
        <is>
          <t>Frente a la decisión del paciente adulto, consciente e informado:</t>
        </is>
      </c>
      <c r="I473" s="14" t="inlineStr">
        <is>
          <t>Debe respetarse su voluntad, documentarla y ofrecer las alternativas terapéuticas disponibles</t>
        </is>
      </c>
      <c r="J473" s="14" t="inlineStr">
        <is>
          <t>Debe practicarse la transfusión con la autorización de la familia, que representa su mejor interés</t>
        </is>
      </c>
      <c r="K473" s="14" t="inlineStr">
        <is>
          <t>Solicitar autorización judicial, dejando constancia en la historia clínica de la gestión</t>
        </is>
      </c>
      <c r="L473" s="14" t="inlineStr">
        <is>
          <t>a</t>
        </is>
      </c>
      <c r="M473" s="14" t="inlineStr">
        <is>
          <t>La autonomía del paciente capaz e informado prevalece: su decisión se respeta, se documenta y se buscan alternativas.</t>
        </is>
      </c>
      <c r="N473" s="14" t="inlineStr">
        <is>
          <t>La opción b) sustituye la voluntad del titular por la de la familia y la opción c) traslada al juez una decisión clínica y personal.</t>
        </is>
      </c>
      <c r="O473" s="14" t="inlineStr">
        <is>
          <t>Ley 23 de 1981; Ley 1751 de 2015, art. 10</t>
        </is>
      </c>
      <c r="P473" s="14" t="inlineStr">
        <is>
          <t>SI</t>
        </is>
      </c>
      <c r="Q473" s="14" t="inlineStr">
        <is>
          <t>Alta</t>
        </is>
      </c>
      <c r="R473" s="14" t="inlineStr">
        <is>
          <t>v2</t>
        </is>
      </c>
    </row>
    <row r="474" ht="57" customHeight="1" s="12">
      <c r="A474" s="14" t="inlineStr">
        <is>
          <t>F0473</t>
        </is>
      </c>
      <c r="B474" s="14" t="inlineStr">
        <is>
          <t>PS 2782 de 2026 - ESE 2 - HUHMP Neiva</t>
        </is>
      </c>
      <c r="C474" s="14" t="inlineStr">
        <is>
          <t>Humanizacion y derechos del paciente</t>
        </is>
      </c>
      <c r="D474" s="14" t="inlineStr">
        <is>
          <t>Profesional</t>
        </is>
      </c>
      <c r="E474" s="14" t="inlineStr">
        <is>
          <t>C158</t>
        </is>
      </c>
      <c r="F474" s="14" t="inlineStr">
        <is>
          <t>Caso 158</t>
        </is>
      </c>
      <c r="G474" s="14" t="inlineStr">
        <is>
          <t>Un hombre de 52 años, consciente y orientado, requiere transfusión por sangrado activo y la rechaza por convicciones religiosas. Firma su negativa. El cirujano considera que sin transfusión el riesgo de muerte es alto y pide autorización a la familia, que sí acepta. El comité de ética se reúne de urgencia a las 21:00.</t>
        </is>
      </c>
      <c r="H474" s="14" t="inlineStr">
        <is>
          <t>Si el paciente pierde la conciencia durante el procedimiento, el equipo debe:</t>
        </is>
      </c>
      <c r="I474" s="14" t="inlineStr">
        <is>
          <t>Atenerse a la voluntad que dejó documentada mientras estaba en capacidad de decidir</t>
        </is>
      </c>
      <c r="J474" s="14" t="inlineStr">
        <is>
          <t>Aplicar la transfusión, porque al perder la conciencia cesa la vigencia de su negativa</t>
        </is>
      </c>
      <c r="K474" s="14" t="inlineStr">
        <is>
          <t>Consultar de nuevo a la familia y registrar por escrito la decisión que ella adopte</t>
        </is>
      </c>
      <c r="L474" s="14" t="inlineStr">
        <is>
          <t>a</t>
        </is>
      </c>
      <c r="M474" s="14" t="inlineStr">
        <is>
          <t>La voluntad manifestada de manera libre e informada conserva su valor cuando el paciente pierde la capacidad de expresarla.</t>
        </is>
      </c>
      <c r="N474" s="14" t="inlineStr">
        <is>
          <t>Las opciones b) y c) desconocen una decisión previa válida y documentada del titular.</t>
        </is>
      </c>
      <c r="O474" s="14" t="inlineStr">
        <is>
          <t>Ley 1733 de 2014; Resolución 1995 de 1999</t>
        </is>
      </c>
      <c r="P474" s="14" t="inlineStr">
        <is>
          <t>SI</t>
        </is>
      </c>
      <c r="Q474" s="14" t="inlineStr">
        <is>
          <t>Alta</t>
        </is>
      </c>
      <c r="R474" s="14" t="inlineStr">
        <is>
          <t>v2</t>
        </is>
      </c>
    </row>
    <row r="475" ht="57" customHeight="1" s="12">
      <c r="A475" s="14" t="inlineStr">
        <is>
          <t>F0474</t>
        </is>
      </c>
      <c r="B475" s="14" t="inlineStr">
        <is>
          <t>PS 2782 de 2026 - ESE 2 - HUHMP Neiva</t>
        </is>
      </c>
      <c r="C475" s="14" t="inlineStr">
        <is>
          <t>Humanizacion y derechos del paciente</t>
        </is>
      </c>
      <c r="D475" s="14" t="inlineStr">
        <is>
          <t>Profesional</t>
        </is>
      </c>
      <c r="E475" s="14" t="inlineStr">
        <is>
          <t>C158</t>
        </is>
      </c>
      <c r="F475" s="14" t="inlineStr">
        <is>
          <t>Caso 158</t>
        </is>
      </c>
      <c r="G475" s="14" t="inlineStr">
        <is>
          <t>Un hombre de 52 años, consciente y orientado, requiere transfusión por sangrado activo y la rechaza por convicciones religiosas. Firma su negativa. El cirujano considera que sin transfusión el riesgo de muerte es alto y pide autorización a la familia, que sí acepta. El comité de ética se reúne de urgencia a las 21:00.</t>
        </is>
      </c>
      <c r="H475" s="14" t="inlineStr">
        <is>
          <t>Si se tratara de un menor de edad cuyos padres rechazan la transfusión necesaria para salvar su vida:</t>
        </is>
      </c>
      <c r="I475" s="14" t="inlineStr">
        <is>
          <t>Prevalece el interés superior del menor y se activa la ruta de protección ante la autoridad competente</t>
        </is>
      </c>
      <c r="J475" s="14" t="inlineStr">
        <is>
          <t>Prevalece la decisión de los padres, que ejercen la patria potestad sobre el menor de edad</t>
        </is>
      </c>
      <c r="K475" s="14" t="inlineStr">
        <is>
          <t>Prevalece el criterio del médico tratante, que puede proceder sin informar a ninguna autoridad</t>
        </is>
      </c>
      <c r="L475" s="14" t="inlineStr">
        <is>
          <t>a</t>
        </is>
      </c>
      <c r="M475" s="14" t="inlineStr">
        <is>
          <t>En los menores prevalece su interés superior y, ante la negativa de los representantes, se activa la ruta de protección.</t>
        </is>
      </c>
      <c r="N475" s="14" t="inlineStr">
        <is>
          <t>La opción b) subordina la vida del menor a la decisión de terceros y la opción c) omite la actuación de la autoridad competente.</t>
        </is>
      </c>
      <c r="O475" s="14" t="inlineStr">
        <is>
          <t>Constitución Política de 1991, art. 44; Ley 1098 de 2006</t>
        </is>
      </c>
      <c r="P475" s="14" t="inlineStr">
        <is>
          <t>SI</t>
        </is>
      </c>
      <c r="Q475" s="14" t="inlineStr">
        <is>
          <t>Alta</t>
        </is>
      </c>
      <c r="R475" s="14" t="inlineStr">
        <is>
          <t>v2</t>
        </is>
      </c>
    </row>
    <row r="476" ht="57" customHeight="1" s="12">
      <c r="A476" s="14" t="inlineStr">
        <is>
          <t>F0475</t>
        </is>
      </c>
      <c r="B476" s="14" t="inlineStr">
        <is>
          <t>PS 2782 de 2026 - ESE 2 - HUHMP Neiva</t>
        </is>
      </c>
      <c r="C476" s="14" t="inlineStr">
        <is>
          <t>Humanizacion y derechos del paciente</t>
        </is>
      </c>
      <c r="D476" s="14" t="inlineStr">
        <is>
          <t>Profesional</t>
        </is>
      </c>
      <c r="E476" s="14" t="inlineStr">
        <is>
          <t>C159</t>
        </is>
      </c>
      <c r="F476" s="14" t="inlineStr">
        <is>
          <t>Caso 159</t>
        </is>
      </c>
      <c r="G476" s="14" t="inlineStr">
        <is>
          <t>La familia de una paciente con cáncer avanzado pide al equipo que no le informen el diagnóstico ni el pronóstico, porque «se va a deprimir». La paciente, de 68 años, lúcida, pregunta directamente a la enfermera qué tiene y por qué cambiaron su tratamiento. El equipo debe definir su conducta antes de la ronda de la tarde.</t>
        </is>
      </c>
      <c r="H476" s="14" t="inlineStr">
        <is>
          <t>Frente a la petición de la familia, lo correcto es:</t>
        </is>
      </c>
      <c r="I476" s="14" t="inlineStr">
        <is>
          <t>Informar a la paciente, que es la titular del derecho, y explorar con ella cuánto desea saber</t>
        </is>
      </c>
      <c r="J476" s="14" t="inlineStr">
        <is>
          <t>Acceder a la petición de la familia, que conoce mejor la reacción emocional de la paciente</t>
        </is>
      </c>
      <c r="K476" s="14" t="inlineStr">
        <is>
          <t>Aplazar cualquier información hasta que el psicólogo evalúe la capacidad de la paciente</t>
        </is>
      </c>
      <c r="L476" s="14" t="inlineStr">
        <is>
          <t>a</t>
        </is>
      </c>
      <c r="M476" s="14" t="inlineStr">
        <is>
          <t>La titular del derecho a la información es la paciente; corresponde informarle, explorando su disposición a recibir la información.</t>
        </is>
      </c>
      <c r="N476" s="14" t="inlineStr">
        <is>
          <t>La opción b) traslada a la familia una decisión que es de la paciente y la opción c) condiciona el derecho a una evaluación no solicitada.</t>
        </is>
      </c>
      <c r="O476" s="14" t="inlineStr">
        <is>
          <t>Ley 1751 de 2015, art. 10; Ley 23 de 1981</t>
        </is>
      </c>
      <c r="P476" s="14" t="inlineStr">
        <is>
          <t>SI</t>
        </is>
      </c>
      <c r="Q476" s="14" t="inlineStr">
        <is>
          <t>Media</t>
        </is>
      </c>
      <c r="R476" s="14" t="inlineStr">
        <is>
          <t>v2</t>
        </is>
      </c>
    </row>
    <row r="477" ht="57" customHeight="1" s="12">
      <c r="A477" s="14" t="inlineStr">
        <is>
          <t>F0476</t>
        </is>
      </c>
      <c r="B477" s="14" t="inlineStr">
        <is>
          <t>PS 2782 de 2026 - ESE 2 - HUHMP Neiva</t>
        </is>
      </c>
      <c r="C477" s="14" t="inlineStr">
        <is>
          <t>Humanizacion y derechos del paciente</t>
        </is>
      </c>
      <c r="D477" s="14" t="inlineStr">
        <is>
          <t>Profesional</t>
        </is>
      </c>
      <c r="E477" s="14" t="inlineStr">
        <is>
          <t>C159</t>
        </is>
      </c>
      <c r="F477" s="14" t="inlineStr">
        <is>
          <t>Caso 159</t>
        </is>
      </c>
      <c r="G477" s="14" t="inlineStr">
        <is>
          <t>La familia de una paciente con cáncer avanzado pide al equipo que no le informen el diagnóstico ni el pronóstico, porque «se va a deprimir». La paciente, de 68 años, lúcida, pregunta directamente a la enfermera qué tiene y por qué cambiaron su tratamiento. El equipo debe definir su conducta antes de la ronda de la tarde.</t>
        </is>
      </c>
      <c r="H477" s="14" t="inlineStr">
        <is>
          <t>Los cuidados paliativos, en este contexto, implican:</t>
        </is>
      </c>
      <c r="I477" s="14" t="inlineStr">
        <is>
          <t>Control del dolor, acompañamiento y atención integral, sin que impliquen abandonar el cuidado</t>
        </is>
      </c>
      <c r="J477" s="14" t="inlineStr">
        <is>
          <t>La suspensión de todo tratamiento activo y el traslado del manejo a la familia en casa</t>
        </is>
      </c>
      <c r="K477" s="14" t="inlineStr">
        <is>
          <t>Una alternativa aplicable solo cuando el paciente ya no puede expresar su voluntad</t>
        </is>
      </c>
      <c r="L477" s="14" t="inlineStr">
        <is>
          <t>a</t>
        </is>
      </c>
      <c r="M477" s="14" t="inlineStr">
        <is>
          <t>Los cuidados paliativos comprenden el control del dolor, el acompañamiento y la atención integral de la persona y su familia.</t>
        </is>
      </c>
      <c r="N477" s="14" t="inlineStr">
        <is>
          <t>La opción b) los confunde con el abandono terapéutico y la opción c) los restringe a una etapa que no es la única.</t>
        </is>
      </c>
      <c r="O477" s="14" t="inlineStr">
        <is>
          <t>Ley 1733 de 2014</t>
        </is>
      </c>
      <c r="P477" s="14" t="inlineStr">
        <is>
          <t>SI</t>
        </is>
      </c>
      <c r="Q477" s="14" t="inlineStr">
        <is>
          <t>Media</t>
        </is>
      </c>
      <c r="R477" s="14" t="inlineStr">
        <is>
          <t>v2</t>
        </is>
      </c>
    </row>
    <row r="478" ht="57" customHeight="1" s="12">
      <c r="A478" s="14" t="inlineStr">
        <is>
          <t>F0477</t>
        </is>
      </c>
      <c r="B478" s="14" t="inlineStr">
        <is>
          <t>PS 2782 de 2026 - ESE 2 - HUHMP Neiva</t>
        </is>
      </c>
      <c r="C478" s="14" t="inlineStr">
        <is>
          <t>Humanizacion y derechos del paciente</t>
        </is>
      </c>
      <c r="D478" s="14" t="inlineStr">
        <is>
          <t>Profesional</t>
        </is>
      </c>
      <c r="E478" s="14" t="inlineStr">
        <is>
          <t>C159</t>
        </is>
      </c>
      <c r="F478" s="14" t="inlineStr">
        <is>
          <t>Caso 159</t>
        </is>
      </c>
      <c r="G478" s="14" t="inlineStr">
        <is>
          <t>La familia de una paciente con cáncer avanzado pide al equipo que no le informen el diagnóstico ni el pronóstico, porque «se va a deprimir». La paciente, de 68 años, lúcida, pregunta directamente a la enfermera qué tiene y por qué cambiaron su tratamiento. El equipo debe definir su conducta antes de la ronda de la tarde.</t>
        </is>
      </c>
      <c r="H478" s="14" t="inlineStr">
        <is>
          <t>Si la paciente manifiesta que no desea recibir información detallada, el equipo debe:</t>
        </is>
      </c>
      <c r="I478" s="14" t="inlineStr">
        <is>
          <t>Respetar esa decisión, dejar constancia y preguntarle a quién autoriza para recibirla</t>
        </is>
      </c>
      <c r="J478" s="14" t="inlineStr">
        <is>
          <t>Informarle de todas maneras, porque el deber de información no admite renuncia</t>
        </is>
      </c>
      <c r="K478" s="14" t="inlineStr">
        <is>
          <t>Entregar la información completa a la familia y omitir el registro de la decisión</t>
        </is>
      </c>
      <c r="L478" s="14" t="inlineStr">
        <is>
          <t>a</t>
        </is>
      </c>
      <c r="M478" s="14" t="inlineStr">
        <is>
          <t>El derecho a la información incluye la posibilidad de no querer conocerla; la decisión se documenta y se identifica a quién autoriza el paciente.</t>
        </is>
      </c>
      <c r="N478" s="14" t="inlineStr">
        <is>
          <t>La opción b) impone la información y la opción c) desplaza a la familia sin dejar rastro de la voluntad de la paciente.</t>
        </is>
      </c>
      <c r="O478" s="14" t="inlineStr">
        <is>
          <t>Ley 1751 de 2015, art. 10</t>
        </is>
      </c>
      <c r="P478" s="14" t="inlineStr">
        <is>
          <t>SI</t>
        </is>
      </c>
      <c r="Q478" s="14" t="inlineStr">
        <is>
          <t>Media</t>
        </is>
      </c>
      <c r="R478" s="14" t="inlineStr">
        <is>
          <t>v2</t>
        </is>
      </c>
    </row>
    <row r="479" ht="57" customHeight="1" s="12">
      <c r="A479" s="14" t="inlineStr">
        <is>
          <t>F0478</t>
        </is>
      </c>
      <c r="B479" s="14" t="inlineStr">
        <is>
          <t>PS 2782 de 2026 - ESE 2 - HUHMP Neiva</t>
        </is>
      </c>
      <c r="C479" s="14" t="inlineStr">
        <is>
          <t>Humanizacion y derechos del paciente</t>
        </is>
      </c>
      <c r="D479" s="14" t="inlineStr">
        <is>
          <t>Profesional</t>
        </is>
      </c>
      <c r="E479" s="14" t="inlineStr">
        <is>
          <t>C160</t>
        </is>
      </c>
      <c r="F479" s="14" t="inlineStr">
        <is>
          <t>Caso 160</t>
        </is>
      </c>
      <c r="G479" s="14" t="inlineStr">
        <is>
          <t>Un hombre de 41 años con discapacidad intelectual acude con su hermana para una cirugía ambulatoria. La auxiliar le pide a la hermana que firme el consentimiento «porque él no entiende». El paciente responde preguntas sencillas sobre su salud y manifiesta que quiere operarse para dejar de tener dolor.</t>
        </is>
      </c>
      <c r="H479" s="14" t="inlineStr">
        <is>
          <t>La conducta correcta frente al consentimiento es:</t>
        </is>
      </c>
      <c r="I479" s="14" t="inlineStr">
        <is>
          <t>Informar al paciente con apoyos y ajustes, y obtener su consentimiento, que es quien decide</t>
        </is>
      </c>
      <c r="J479" s="14" t="inlineStr">
        <is>
          <t>Solicitar la firma de la hermana, verificada su condición de cuidadora principal</t>
        </is>
      </c>
      <c r="K479" s="14" t="inlineStr">
        <is>
          <t>Suspender el procedimiento hasta que un juez designe quién decide por el paciente</t>
        </is>
      </c>
      <c r="L479" s="14" t="inlineStr">
        <is>
          <t>a</t>
        </is>
      </c>
      <c r="M479" s="14" t="inlineStr">
        <is>
          <t>La ley presume la capacidad legal de las personas con discapacidad y ordena brindar los apoyos y ajustes necesarios para que decidan por sí mismas.</t>
        </is>
      </c>
      <c r="N479" s="14" t="inlineStr">
        <is>
          <t>La opción b) sustituye la voluntad del titular y la opción c) acude a una intervención judicial innecesaria en este caso.</t>
        </is>
      </c>
      <c r="O479" s="14" t="inlineStr">
        <is>
          <t>Ley 1996 de 2019; Ley 1618 de 2013</t>
        </is>
      </c>
      <c r="P479" s="14" t="inlineStr">
        <is>
          <t>SI</t>
        </is>
      </c>
      <c r="Q479" s="14" t="inlineStr">
        <is>
          <t>Media</t>
        </is>
      </c>
      <c r="R479" s="14" t="inlineStr">
        <is>
          <t>v2</t>
        </is>
      </c>
    </row>
    <row r="480" ht="57" customHeight="1" s="12">
      <c r="A480" s="14" t="inlineStr">
        <is>
          <t>F0479</t>
        </is>
      </c>
      <c r="B480" s="14" t="inlineStr">
        <is>
          <t>PS 2782 de 2026 - ESE 2 - HUHMP Neiva</t>
        </is>
      </c>
      <c r="C480" s="14" t="inlineStr">
        <is>
          <t>Humanizacion y derechos del paciente</t>
        </is>
      </c>
      <c r="D480" s="14" t="inlineStr">
        <is>
          <t>Profesional</t>
        </is>
      </c>
      <c r="E480" s="14" t="inlineStr">
        <is>
          <t>C160</t>
        </is>
      </c>
      <c r="F480" s="14" t="inlineStr">
        <is>
          <t>Caso 160</t>
        </is>
      </c>
      <c r="G480" s="14" t="inlineStr">
        <is>
          <t>Un hombre de 41 años con discapacidad intelectual acude con su hermana para una cirugía ambulatoria. La auxiliar le pide a la hermana que firme el consentimiento «porque él no entiende». El paciente responde preguntas sencillas sobre su salud y manifiesta que quiere operarse para dejar de tener dolor.</t>
        </is>
      </c>
      <c r="H480" s="14" t="inlineStr">
        <is>
          <t>Los ajustes razonables en la atención significan:</t>
        </is>
      </c>
      <c r="I480" s="14" t="inlineStr">
        <is>
          <t>Modificaciones necesarias y adecuadas que permitan el acceso, sin carga desproporcionada</t>
        </is>
      </c>
      <c r="J480" s="14" t="inlineStr">
        <is>
          <t>Beneficios opcionales que la institución concede según la disponibilidad del servicio</t>
        </is>
      </c>
      <c r="K480" s="14" t="inlineStr">
        <is>
          <t>Adecuaciones exclusivamente físicas, como rampas y señalización en las instalaciones</t>
        </is>
      </c>
      <c r="L480" s="14" t="inlineStr">
        <is>
          <t>a</t>
        </is>
      </c>
      <c r="M480" s="14" t="inlineStr">
        <is>
          <t>Los ajustes razonables son modificaciones necesarias y adecuadas que no impongan una carga desproporcionada.</t>
        </is>
      </c>
      <c r="N480" s="14" t="inlineStr">
        <is>
          <t>La opción b) los vuelve discrecionales y la opción c) los reduce a infraestructura.</t>
        </is>
      </c>
      <c r="O480" s="14" t="inlineStr">
        <is>
          <t>Ley 1346 de 2009; Ley 1618 de 2013</t>
        </is>
      </c>
      <c r="P480" s="14" t="inlineStr">
        <is>
          <t>SI</t>
        </is>
      </c>
      <c r="Q480" s="14" t="inlineStr">
        <is>
          <t>Media</t>
        </is>
      </c>
      <c r="R480" s="14" t="inlineStr">
        <is>
          <t>v2</t>
        </is>
      </c>
    </row>
    <row r="481" ht="57" customHeight="1" s="12">
      <c r="A481" s="14" t="inlineStr">
        <is>
          <t>F0480</t>
        </is>
      </c>
      <c r="B481" s="14" t="inlineStr">
        <is>
          <t>PS 2782 de 2026 - ESE 2 - HUHMP Neiva</t>
        </is>
      </c>
      <c r="C481" s="14" t="inlineStr">
        <is>
          <t>Humanizacion y derechos del paciente</t>
        </is>
      </c>
      <c r="D481" s="14" t="inlineStr">
        <is>
          <t>Profesional</t>
        </is>
      </c>
      <c r="E481" s="14" t="inlineStr">
        <is>
          <t>C160</t>
        </is>
      </c>
      <c r="F481" s="14" t="inlineStr">
        <is>
          <t>Caso 160</t>
        </is>
      </c>
      <c r="G481" s="14" t="inlineStr">
        <is>
          <t>Un hombre de 41 años con discapacidad intelectual acude con su hermana para una cirugía ambulatoria. La auxiliar le pide a la hermana que firme el consentimiento «porque él no entiende». El paciente responde preguntas sencillas sobre su salud y manifiesta que quiere operarse para dejar de tener dolor.</t>
        </is>
      </c>
      <c r="H481" s="14" t="inlineStr">
        <is>
          <t>Si el paciente requiere apoyo para expresar su voluntad, la figura prevista es:</t>
        </is>
      </c>
      <c r="I481" s="14" t="inlineStr">
        <is>
          <t>Los apoyos formales o informales para la toma de decisiones, según la ley vigente</t>
        </is>
      </c>
      <c r="J481" s="14" t="inlineStr">
        <is>
          <t>La interdicción judicial, conforme al trámite ante el juez de familia competente</t>
        </is>
      </c>
      <c r="K481" s="14" t="inlineStr">
        <is>
          <t>La autorización institucional suscrita por el gerente y el médico tratante del servicio</t>
        </is>
      </c>
      <c r="L481" s="14" t="inlineStr">
        <is>
          <t>a</t>
        </is>
      </c>
      <c r="M481" s="14" t="inlineStr">
        <is>
          <t>El régimen vigente reemplazó la interdicción por los apoyos para la toma de decisiones.</t>
        </is>
      </c>
      <c r="N481" s="14" t="inlineStr">
        <is>
          <t>La opción b) invoca una figura derogada y la opción c) inventa un trámite institucional sin fundamento legal.</t>
        </is>
      </c>
      <c r="O481" s="14" t="inlineStr">
        <is>
          <t>Ley 1996 de 2019</t>
        </is>
      </c>
      <c r="P481" s="14" t="inlineStr">
        <is>
          <t>SI</t>
        </is>
      </c>
      <c r="Q481" s="14" t="inlineStr">
        <is>
          <t>Media</t>
        </is>
      </c>
      <c r="R481" s="14" t="inlineStr">
        <is>
          <t>v2</t>
        </is>
      </c>
    </row>
    <row r="482" ht="45.75" customHeight="1" s="12">
      <c r="A482" s="14" t="inlineStr">
        <is>
          <t>F0481</t>
        </is>
      </c>
      <c r="B482" s="14" t="inlineStr">
        <is>
          <t>PS 2782 de 2026 - ESE 2 - HUHMP Neiva</t>
        </is>
      </c>
      <c r="C482" s="14" t="inlineStr">
        <is>
          <t>Humanizacion y derechos del paciente</t>
        </is>
      </c>
      <c r="D482" s="14" t="inlineStr">
        <is>
          <t>Tecnico</t>
        </is>
      </c>
      <c r="E482" s="14" t="inlineStr">
        <is>
          <t>C161</t>
        </is>
      </c>
      <c r="F482" s="14" t="inlineStr">
        <is>
          <t>Caso 161</t>
        </is>
      </c>
      <c r="G482" s="14" t="inlineStr">
        <is>
          <t>Una usuaria radica queja escrita porque en la consulta le hablaron en tono despectivo, no le explicaron el procedimiento y la dejaron destapada mientras entraban y salían personas del consultorio. Pide respuesta y que «no le vuelva a pasar a nadie». La queja llega al SIAU el 2 de octubre.</t>
        </is>
      </c>
      <c r="H482" s="14" t="inlineStr">
        <is>
          <t>La respuesta institucional debe:</t>
        </is>
      </c>
      <c r="I482" s="14" t="inlineStr">
        <is>
          <t>Resolver de fondo, en lenguaje claro y dentro del término legal, e informar la acción de mejora adoptada</t>
        </is>
      </c>
      <c r="J482" s="14" t="inlineStr">
        <is>
          <t>Acusar recibo y archivar el caso si la usuaria no aporta pruebas de lo que afirma</t>
        </is>
      </c>
      <c r="K482" s="14" t="inlineStr">
        <is>
          <t>Trasladar la queja a la EPS mediante oficio, conforme al reparto de competencias</t>
        </is>
      </c>
      <c r="L482" s="14" t="inlineStr">
        <is>
          <t>a</t>
        </is>
      </c>
      <c r="M482" s="14" t="inlineStr">
        <is>
          <t>La respuesta debe ser de fondo, clara, oportuna y dar cuenta de la acción de mejora, porque la queja también pide que no se repita.</t>
        </is>
      </c>
      <c r="N482" s="14" t="inlineStr">
        <is>
          <t>La opción b) exige una carga probatoria improcedente y la opción c) traslada una competencia propia del prestador.</t>
        </is>
      </c>
      <c r="O482" s="14" t="inlineStr">
        <is>
          <t>Ley 1755 de 2015; Ley 1122 de 2007</t>
        </is>
      </c>
      <c r="P482" s="14" t="inlineStr">
        <is>
          <t>SI</t>
        </is>
      </c>
      <c r="Q482" s="14" t="inlineStr">
        <is>
          <t>Media</t>
        </is>
      </c>
      <c r="R482" s="14" t="inlineStr">
        <is>
          <t>v2</t>
        </is>
      </c>
    </row>
    <row r="483" ht="45.75" customHeight="1" s="12">
      <c r="A483" s="14" t="inlineStr">
        <is>
          <t>F0482</t>
        </is>
      </c>
      <c r="B483" s="14" t="inlineStr">
        <is>
          <t>PS 2782 de 2026 - ESE 2 - HUHMP Neiva</t>
        </is>
      </c>
      <c r="C483" s="14" t="inlineStr">
        <is>
          <t>Humanizacion y derechos del paciente</t>
        </is>
      </c>
      <c r="D483" s="14" t="inlineStr">
        <is>
          <t>Tecnico</t>
        </is>
      </c>
      <c r="E483" s="14" t="inlineStr">
        <is>
          <t>C161</t>
        </is>
      </c>
      <c r="F483" s="14" t="inlineStr">
        <is>
          <t>Caso 161</t>
        </is>
      </c>
      <c r="G483" s="14" t="inlineStr">
        <is>
          <t>Una usuaria radica queja escrita porque en la consulta le hablaron en tono despectivo, no le explicaron el procedimiento y la dejaron destapada mientras entraban y salían personas del consultorio. Pide respuesta y que «no le vuelva a pasar a nadie». La queja llega al SIAU el 2 de octubre.</t>
        </is>
      </c>
      <c r="H483" s="14" t="inlineStr">
        <is>
          <t>El hecho de dejarla destapada con tránsito de personas afecta:</t>
        </is>
      </c>
      <c r="I483" s="14" t="inlineStr">
        <is>
          <t>Su intimidad y el trato digno, componentes del derecho a la atención humanizada</t>
        </is>
      </c>
      <c r="J483" s="14" t="inlineStr">
        <is>
          <t>La seguridad del paciente, por el riesgo de infección asociado a la exposición</t>
        </is>
      </c>
      <c r="K483" s="14" t="inlineStr">
        <is>
          <t>La oportunidad de la atención, porque el procedimiento se prolongó más de lo previsto</t>
        </is>
      </c>
      <c r="L483" s="14" t="inlineStr">
        <is>
          <t>a</t>
        </is>
      </c>
      <c r="M483" s="14" t="inlineStr">
        <is>
          <t>La exposición innecesaria del cuerpo vulnera la intimidad y el trato digno que integran la atención humanizada.</t>
        </is>
      </c>
      <c r="N483" s="14" t="inlineStr">
        <is>
          <t>Las opciones b) y c) califican el hecho con categorías que no corresponden a lo ocurrido.</t>
        </is>
      </c>
      <c r="O483" s="14" t="inlineStr">
        <is>
          <t>Resolución 13437 de 1991; Constitución Política de 1991, art. 15</t>
        </is>
      </c>
      <c r="P483" s="14" t="inlineStr">
        <is>
          <t>SI</t>
        </is>
      </c>
      <c r="Q483" s="14" t="inlineStr">
        <is>
          <t>Media</t>
        </is>
      </c>
      <c r="R483" s="14" t="inlineStr">
        <is>
          <t>v2</t>
        </is>
      </c>
    </row>
    <row r="484" ht="45.75" customHeight="1" s="12">
      <c r="A484" s="14" t="inlineStr">
        <is>
          <t>F0483</t>
        </is>
      </c>
      <c r="B484" s="14" t="inlineStr">
        <is>
          <t>PS 2782 de 2026 - ESE 2 - HUHMP Neiva</t>
        </is>
      </c>
      <c r="C484" s="14" t="inlineStr">
        <is>
          <t>Humanizacion y derechos del paciente</t>
        </is>
      </c>
      <c r="D484" s="14" t="inlineStr">
        <is>
          <t>Tecnico</t>
        </is>
      </c>
      <c r="E484" s="14" t="inlineStr">
        <is>
          <t>C161</t>
        </is>
      </c>
      <c r="F484" s="14" t="inlineStr">
        <is>
          <t>Caso 161</t>
        </is>
      </c>
      <c r="G484" s="14" t="inlineStr">
        <is>
          <t>Una usuaria radica queja escrita porque en la consulta le hablaron en tono despectivo, no le explicaron el procedimiento y la dejaron destapada mientras entraban y salían personas del consultorio. Pide respuesta y que «no le vuelva a pasar a nadie». La queja llega al SIAU el 2 de octubre.</t>
        </is>
      </c>
      <c r="H484" s="14" t="inlineStr">
        <is>
          <t>Para que la queja produzca un cambio, la institución debe:</t>
        </is>
      </c>
      <c r="I484" s="14" t="inlineStr">
        <is>
          <t>Analizarla junto con las demás del periodo y verificar la efectividad de la acción adoptada</t>
        </is>
      </c>
      <c r="J484" s="14" t="inlineStr">
        <is>
          <t>Sancionar al profesional involucrado y comunicar la sanción a la usuaria que se quejó</t>
        </is>
      </c>
      <c r="K484" s="14" t="inlineStr">
        <is>
          <t>Capacitar al personal del servicio y dejar constancia de la asistencia a la capacitación</t>
        </is>
      </c>
      <c r="L484" s="14" t="inlineStr">
        <is>
          <t>a</t>
        </is>
      </c>
      <c r="M484" s="14" t="inlineStr">
        <is>
          <t>El análisis agregado y la verificación de efectividad son los que permiten corregir la causa; la actividad aislada no lo garantiza.</t>
        </is>
      </c>
      <c r="N484" s="14" t="inlineStr">
        <is>
          <t>La opción b) confunde mejora con sanción y la opción c) ejecuta una actividad sin medir su efecto.</t>
        </is>
      </c>
      <c r="O484" s="14" t="inlineStr">
        <is>
          <t>PAMEC, Decreto 780 de 2016; Ley 1122 de 2007</t>
        </is>
      </c>
      <c r="P484" s="14" t="inlineStr">
        <is>
          <t>SI</t>
        </is>
      </c>
      <c r="Q484" s="14" t="inlineStr">
        <is>
          <t>Media</t>
        </is>
      </c>
      <c r="R484" s="14" t="inlineStr">
        <is>
          <t>v2</t>
        </is>
      </c>
    </row>
    <row r="485" ht="45.75" customHeight="1" s="12">
      <c r="A485" s="14" t="inlineStr">
        <is>
          <t>F0484</t>
        </is>
      </c>
      <c r="B485" s="14" t="inlineStr">
        <is>
          <t>PS 2782 de 2026 - ESE 2 - HUHMP Neiva</t>
        </is>
      </c>
      <c r="C485" s="14" t="inlineStr">
        <is>
          <t>Humanizacion y derechos del paciente</t>
        </is>
      </c>
      <c r="D485" s="14" t="inlineStr">
        <is>
          <t>Profesional</t>
        </is>
      </c>
      <c r="E485" s="14" t="inlineStr">
        <is>
          <t>C162</t>
        </is>
      </c>
      <c r="F485" s="14" t="inlineStr">
        <is>
          <t>Caso 162</t>
        </is>
      </c>
      <c r="G485" s="14" t="inlineStr">
        <is>
          <t>El hospital conforma su asociación de usuarios y algunos jefes de servicio cuestionan la utilidad de la instancia. Un integrante de la asociación pide asiento en la junta directiva, acceso a los indicadores de calidad y participación en la formulación del plan de mejoramiento.</t>
        </is>
      </c>
      <c r="H485" s="14" t="inlineStr">
        <is>
          <t>La participación de la asociación de usuarios comprende:</t>
        </is>
      </c>
      <c r="I485" s="14" t="inlineStr">
        <is>
          <t>Intervenir en las instancias de deliberación previstas y ejercer veeduría sobre la calidad del servicio</t>
        </is>
      </c>
      <c r="J485" s="14" t="inlineStr">
        <is>
          <t>Administrar una parte del presupuesto destinado a la atención al usuario en la institución</t>
        </is>
      </c>
      <c r="K485" s="14" t="inlineStr">
        <is>
          <t>Autorizar los servicios de los afiliados y tramitar sus solicitudes ante el asegurador</t>
        </is>
      </c>
      <c r="L485" s="14" t="inlineStr">
        <is>
          <t>a</t>
        </is>
      </c>
      <c r="M485" s="14" t="inlineStr">
        <is>
          <t>Las asociaciones de usuarios participan en las instancias de deliberación y ejercen veeduría sobre la calidad de los servicios.</t>
        </is>
      </c>
      <c r="N485" s="14" t="inlineStr">
        <is>
          <t>Las opciones b) y c) les atribuyen funciones de gestión o de aseguramiento que no les corresponden.</t>
        </is>
      </c>
      <c r="O485" s="14" t="inlineStr">
        <is>
          <t>Decreto 1757 de 1994; Decreto 780 de 2016</t>
        </is>
      </c>
      <c r="P485" s="14" t="inlineStr">
        <is>
          <t>SI</t>
        </is>
      </c>
      <c r="Q485" s="14" t="inlineStr">
        <is>
          <t>Basica</t>
        </is>
      </c>
      <c r="R485" s="14" t="inlineStr">
        <is>
          <t>v2</t>
        </is>
      </c>
    </row>
    <row r="486" ht="45.75" customHeight="1" s="12">
      <c r="A486" s="14" t="inlineStr">
        <is>
          <t>F0485</t>
        </is>
      </c>
      <c r="B486" s="14" t="inlineStr">
        <is>
          <t>PS 2782 de 2026 - ESE 2 - HUHMP Neiva</t>
        </is>
      </c>
      <c r="C486" s="14" t="inlineStr">
        <is>
          <t>Humanizacion y derechos del paciente</t>
        </is>
      </c>
      <c r="D486" s="14" t="inlineStr">
        <is>
          <t>Profesional</t>
        </is>
      </c>
      <c r="E486" s="14" t="inlineStr">
        <is>
          <t>C162</t>
        </is>
      </c>
      <c r="F486" s="14" t="inlineStr">
        <is>
          <t>Caso 162</t>
        </is>
      </c>
      <c r="G486" s="14" t="inlineStr">
        <is>
          <t>El hospital conforma su asociación de usuarios y algunos jefes de servicio cuestionan la utilidad de la instancia. Un integrante de la asociación pide asiento en la junta directiva, acceso a los indicadores de calidad y participación en la formulación del plan de mejoramiento.</t>
        </is>
      </c>
      <c r="H486" s="14" t="inlineStr">
        <is>
          <t>Frente a la solicitud de acceso a los indicadores de calidad, la institución debe:</t>
        </is>
      </c>
      <c r="I486" s="14" t="inlineStr">
        <is>
          <t>Entregarlos, pues son información pública que además se reporta al sistema de calidad</t>
        </is>
      </c>
      <c r="J486" s="14" t="inlineStr">
        <is>
          <t>Negarlos, porque su análisis corresponde exclusivamente al comité técnico de la entidad</t>
        </is>
      </c>
      <c r="K486" s="14" t="inlineStr">
        <is>
          <t>Entregarlos conforme a la aprobación previa de la junta directiva en sesión ordinaria</t>
        </is>
      </c>
      <c r="L486" s="14" t="inlineStr">
        <is>
          <t>a</t>
        </is>
      </c>
      <c r="M486" s="14" t="inlineStr">
        <is>
          <t>Los indicadores de calidad son información pública que se reporta y se difunde para orientar al usuario.</t>
        </is>
      </c>
      <c r="N486" s="14" t="inlineStr">
        <is>
          <t>Las opciones b) y c) restringen el acceso a información que la norma ordena divulgar.</t>
        </is>
      </c>
      <c r="O486" s="14" t="inlineStr">
        <is>
          <t>Resolución 256 de 2016; Ley 1712 de 2014</t>
        </is>
      </c>
      <c r="P486" s="14" t="inlineStr">
        <is>
          <t>SI</t>
        </is>
      </c>
      <c r="Q486" s="14" t="inlineStr">
        <is>
          <t>Basica</t>
        </is>
      </c>
      <c r="R486" s="14" t="inlineStr">
        <is>
          <t>v2</t>
        </is>
      </c>
    </row>
    <row r="487" ht="45.75" customHeight="1" s="12">
      <c r="A487" s="14" t="inlineStr">
        <is>
          <t>F0486</t>
        </is>
      </c>
      <c r="B487" s="14" t="inlineStr">
        <is>
          <t>PS 2782 de 2026 - ESE 2 - HUHMP Neiva</t>
        </is>
      </c>
      <c r="C487" s="14" t="inlineStr">
        <is>
          <t>Humanizacion y derechos del paciente</t>
        </is>
      </c>
      <c r="D487" s="14" t="inlineStr">
        <is>
          <t>Profesional</t>
        </is>
      </c>
      <c r="E487" s="14" t="inlineStr">
        <is>
          <t>C162</t>
        </is>
      </c>
      <c r="F487" s="14" t="inlineStr">
        <is>
          <t>Caso 162</t>
        </is>
      </c>
      <c r="G487" s="14" t="inlineStr">
        <is>
          <t>El hospital conforma su asociación de usuarios y algunos jefes de servicio cuestionan la utilidad de la instancia. Un integrante de la asociación pide asiento en la junta directiva, acceso a los indicadores de calidad y participación en la formulación del plan de mejoramiento.</t>
        </is>
      </c>
      <c r="H487" s="14" t="inlineStr">
        <is>
          <t>La rendición de cuentas a la ciudadanía es:</t>
        </is>
      </c>
      <c r="I487" s="14" t="inlineStr">
        <is>
          <t>Un proceso permanente de información, diálogo y responsabilidad frente a la ciudadanía</t>
        </is>
      </c>
      <c r="J487" s="14" t="inlineStr">
        <is>
          <t>Un evento anual en el que la gerencia presenta los resultados financieros del periodo</t>
        </is>
      </c>
      <c r="K487" s="14" t="inlineStr">
        <is>
          <t>Una función de control interno, que la ejecuta conforme a su programa anual de auditoría</t>
        </is>
      </c>
      <c r="L487" s="14" t="inlineStr">
        <is>
          <t>a</t>
        </is>
      </c>
      <c r="M487" s="14" t="inlineStr">
        <is>
          <t>La rendición de cuentas es un proceso permanente que comprende información, diálogo y responsabilidad.</t>
        </is>
      </c>
      <c r="N487" s="14" t="inlineStr">
        <is>
          <t>La opción b) la reduce a un acto anual y la opción c) la confunde con la evaluación independiente.</t>
        </is>
      </c>
      <c r="O487" s="14" t="inlineStr">
        <is>
          <t>Ley 1757 de 2015, arts. 48 y siguientes</t>
        </is>
      </c>
      <c r="P487" s="14" t="inlineStr">
        <is>
          <t>SI</t>
        </is>
      </c>
      <c r="Q487" s="14" t="inlineStr">
        <is>
          <t>Basica</t>
        </is>
      </c>
      <c r="R487" s="14" t="inlineStr">
        <is>
          <t>v2</t>
        </is>
      </c>
    </row>
    <row r="488" ht="57" customHeight="1" s="12">
      <c r="A488" s="14" t="inlineStr">
        <is>
          <t>F0487</t>
        </is>
      </c>
      <c r="B488" s="14" t="inlineStr">
        <is>
          <t>PS 2782 de 2026 - ESE 2 - HUHMP Neiva</t>
        </is>
      </c>
      <c r="C488" s="14" t="inlineStr">
        <is>
          <t>Sistema de salud y Ley 100 de 1993</t>
        </is>
      </c>
      <c r="D488" s="14" t="inlineStr">
        <is>
          <t>Profesional</t>
        </is>
      </c>
      <c r="E488" s="14" t="inlineStr">
        <is>
          <t>C163</t>
        </is>
      </c>
      <c r="F488" s="14" t="inlineStr">
        <is>
          <t>Caso 163</t>
        </is>
      </c>
      <c r="G488" s="14" t="inlineStr">
        <is>
          <t>El hospital cierra el mes con cuentas por cobrar de 4.200 millones a tres EPS. Una de ellas glosó el 30 por ciento de lo facturado alegando falta de pertinencia, otra devolvió las facturas por soportes incompletos y la tercera pagó con noventa días de retraso. El comité financiero se reúne el 5 de cada mes y debe priorizar la gestión.</t>
        </is>
      </c>
      <c r="H488" s="14" t="inlineStr">
        <is>
          <t>La diferencia entre glosa y devolución es que:</t>
        </is>
      </c>
      <c r="I488" s="14" t="inlineStr">
        <is>
          <t>La glosa objeta el contenido de lo facturado, mientras la devolución impide tener la factura por presentada</t>
        </is>
      </c>
      <c r="J488" s="14" t="inlineStr">
        <is>
          <t>La glosa la formula el prestador y la devolución la formula la entidad responsable de pago</t>
        </is>
      </c>
      <c r="K488" s="14" t="inlineStr">
        <is>
          <t>La glosa aplica a servicios ambulatorios y la devolución a los servicios de hospitalización</t>
        </is>
      </c>
      <c r="L488" s="14" t="inlineStr">
        <is>
          <t>a</t>
        </is>
      </c>
      <c r="M488" s="14" t="inlineStr">
        <is>
          <t>La glosa es una objeción al contenido de la factura; la devolución opera por causales formales que impiden tenerla por presentada.</t>
        </is>
      </c>
      <c r="N488" s="14" t="inlineStr">
        <is>
          <t>La opción b) invierte quién formula cada figura y la opción c) las distingue por tipo de servicio, criterio que no corresponde.</t>
        </is>
      </c>
      <c r="O488" s="14" t="inlineStr">
        <is>
          <t>Decreto 780 de 2016; Resolución 3047 de 2008 y sus modificaciones</t>
        </is>
      </c>
      <c r="P488" s="14" t="inlineStr">
        <is>
          <t>SI</t>
        </is>
      </c>
      <c r="Q488" s="14" t="inlineStr">
        <is>
          <t>Media</t>
        </is>
      </c>
      <c r="R488" s="14" t="inlineStr">
        <is>
          <t>v2</t>
        </is>
      </c>
    </row>
    <row r="489" ht="57" customHeight="1" s="12">
      <c r="A489" s="14" t="inlineStr">
        <is>
          <t>F0488</t>
        </is>
      </c>
      <c r="B489" s="14" t="inlineStr">
        <is>
          <t>PS 2782 de 2026 - ESE 2 - HUHMP Neiva</t>
        </is>
      </c>
      <c r="C489" s="14" t="inlineStr">
        <is>
          <t>Sistema de salud y Ley 100 de 1993</t>
        </is>
      </c>
      <c r="D489" s="14" t="inlineStr">
        <is>
          <t>Profesional</t>
        </is>
      </c>
      <c r="E489" s="14" t="inlineStr">
        <is>
          <t>C163</t>
        </is>
      </c>
      <c r="F489" s="14" t="inlineStr">
        <is>
          <t>Caso 163</t>
        </is>
      </c>
      <c r="G489" s="14" t="inlineStr">
        <is>
          <t>El hospital cierra el mes con cuentas por cobrar de 4.200 millones a tres EPS. Una de ellas glosó el 30 por ciento de lo facturado alegando falta de pertinencia, otra devolvió las facturas por soportes incompletos y la tercera pagó con noventa días de retraso. El comité financiero se reúne el 5 de cada mes y debe priorizar la gestión.</t>
        </is>
      </c>
      <c r="H489" s="14" t="inlineStr">
        <is>
          <t>Frente a las glosas por pertinencia, la actuación institucional adecuada es:</t>
        </is>
      </c>
      <c r="I489" s="14" t="inlineStr">
        <is>
          <t>Responderlas dentro del término con el soporte clínico del caso y llevar a conciliación lo no resuelto</t>
        </is>
      </c>
      <c r="J489" s="14" t="inlineStr">
        <is>
          <t>Aceptarlas para acelerar el flujo de caja y evitar el desgaste administrativo de la discusión</t>
        </is>
      </c>
      <c r="K489" s="14" t="inlineStr">
        <is>
          <t>Demandar de inmediato a la entidad responsable de pago ante la jurisdicción competente</t>
        </is>
      </c>
      <c r="L489" s="14" t="inlineStr">
        <is>
          <t>a</t>
        </is>
      </c>
      <c r="M489" s="14" t="inlineStr">
        <is>
          <t>El manual único de glosas fija un trámite reglado: respuesta con soporte dentro del término y conciliación de lo que quede en discusión.</t>
        </is>
      </c>
      <c r="N489" s="14" t="inlineStr">
        <is>
          <t>La opción b) renuncia a recursos del hospital y la opción c) omite la etapa administrativa previa.</t>
        </is>
      </c>
      <c r="O489" s="14" t="inlineStr">
        <is>
          <t>Decreto 780 de 2016; Resolución 3047 de 2008</t>
        </is>
      </c>
      <c r="P489" s="14" t="inlineStr">
        <is>
          <t>SI</t>
        </is>
      </c>
      <c r="Q489" s="14" t="inlineStr">
        <is>
          <t>Media</t>
        </is>
      </c>
      <c r="R489" s="14" t="inlineStr">
        <is>
          <t>v2</t>
        </is>
      </c>
    </row>
    <row r="490" ht="57" customHeight="1" s="12">
      <c r="A490" s="14" t="inlineStr">
        <is>
          <t>F0489</t>
        </is>
      </c>
      <c r="B490" s="14" t="inlineStr">
        <is>
          <t>PS 2782 de 2026 - ESE 2 - HUHMP Neiva</t>
        </is>
      </c>
      <c r="C490" s="14" t="inlineStr">
        <is>
          <t>Sistema de salud y Ley 100 de 1993</t>
        </is>
      </c>
      <c r="D490" s="14" t="inlineStr">
        <is>
          <t>Profesional</t>
        </is>
      </c>
      <c r="E490" s="14" t="inlineStr">
        <is>
          <t>C163</t>
        </is>
      </c>
      <c r="F490" s="14" t="inlineStr">
        <is>
          <t>Caso 163</t>
        </is>
      </c>
      <c r="G490" s="14" t="inlineStr">
        <is>
          <t>El hospital cierra el mes con cuentas por cobrar de 4.200 millones a tres EPS. Una de ellas glosó el 30 por ciento de lo facturado alegando falta de pertinencia, otra devolvió las facturas por soportes incompletos y la tercera pagó con noventa días de retraso. El comité financiero se reúne el 5 de cada mes y debe priorizar la gestión.</t>
        </is>
      </c>
      <c r="H490" s="14" t="inlineStr">
        <is>
          <t>El giro directo de recursos hacia el prestador tiene como finalidad:</t>
        </is>
      </c>
      <c r="I490" s="14" t="inlineStr">
        <is>
          <t>Proteger el flujo de recursos hacia quien presta el servicio, sin sustituir la facturación ni la auditoría</t>
        </is>
      </c>
      <c r="J490" s="14" t="inlineStr">
        <is>
          <t>Reemplazar la facturación del prestador por un pago automático calculado sobre la capitación</t>
        </is>
      </c>
      <c r="K490" s="14" t="inlineStr">
        <is>
          <t>Eliminar la auditoría de cuentas médicas, que deja de ser necesaria cuando opera el giro</t>
        </is>
      </c>
      <c r="L490" s="14" t="inlineStr">
        <is>
          <t>a</t>
        </is>
      </c>
      <c r="M490" s="14" t="inlineStr">
        <is>
          <t>El giro directo protege el flujo de recursos, pero los procesos de facturación y auditoría se mantienen.</t>
        </is>
      </c>
      <c r="N490" s="14" t="inlineStr">
        <is>
          <t>Las opciones b) y c) suprimen procesos que siguen vigentes y que soportan el pago.</t>
        </is>
      </c>
      <c r="O490" s="14" t="inlineStr">
        <is>
          <t>Ley 1438 de 2011; Decreto 780 de 2016</t>
        </is>
      </c>
      <c r="P490" s="14" t="inlineStr">
        <is>
          <t>SI</t>
        </is>
      </c>
      <c r="Q490" s="14" t="inlineStr">
        <is>
          <t>Media</t>
        </is>
      </c>
      <c r="R490" s="14" t="inlineStr">
        <is>
          <t>v2</t>
        </is>
      </c>
    </row>
    <row r="491" ht="57" customHeight="1" s="12">
      <c r="A491" s="14" t="inlineStr">
        <is>
          <t>F0490</t>
        </is>
      </c>
      <c r="B491" s="14" t="inlineStr">
        <is>
          <t>PS 2782 de 2026 - ESE 2 - HUHMP Neiva</t>
        </is>
      </c>
      <c r="C491" s="14" t="inlineStr">
        <is>
          <t>Sistema de salud y Ley 100 de 1993</t>
        </is>
      </c>
      <c r="D491" s="14" t="inlineStr">
        <is>
          <t>Profesional</t>
        </is>
      </c>
      <c r="E491" s="14" t="inlineStr">
        <is>
          <t>C164</t>
        </is>
      </c>
      <c r="F491" s="14" t="inlineStr">
        <is>
          <t>Caso 164</t>
        </is>
      </c>
      <c r="G491" s="14" t="inlineStr">
        <is>
          <t>Una mujer llega a consulta externa con orden de cirugía programada. En el sistema aparece afiliada al régimen subsidiado en un municipio de Caquetá, pero vive en Neiva desde hace ocho meses. La auxiliar informa que no puede atenderla porque su afiliación es de otro municipio y le sugiere trasladarse de EPS antes de pedir la cita.</t>
        </is>
      </c>
      <c r="H491" s="14" t="inlineStr">
        <is>
          <t>La figura que resuelve la situación de la usuaria es:</t>
        </is>
      </c>
      <c r="I491" s="14" t="inlineStr">
        <is>
          <t>La portabilidad, que garantiza la atención en un municipio distinto al de afiliación</t>
        </is>
      </c>
      <c r="J491" s="14" t="inlineStr">
        <is>
          <t>El traslado de EPS, único mecanismo cuando la persona cambia de lugar de residencia</t>
        </is>
      </c>
      <c r="K491" s="14" t="inlineStr">
        <is>
          <t>La afiliación de oficio, que debe tramitar el prestador ante la entidad territorial</t>
        </is>
      </c>
      <c r="L491" s="14" t="inlineStr">
        <is>
          <t>a</t>
        </is>
      </c>
      <c r="M491" s="14" t="inlineStr">
        <is>
          <t>La portabilidad permite acceder a los servicios en un municipio distinto al de afiliación, sin necesidad de cambiar de asegurador.</t>
        </is>
      </c>
      <c r="N491" s="14" t="inlineStr">
        <is>
          <t>La opción b) impone un trámite innecesario y la opción c) aplica a quien no está afiliado.</t>
        </is>
      </c>
      <c r="O491" s="14" t="inlineStr">
        <is>
          <t>Decreto 780 de 2016</t>
        </is>
      </c>
      <c r="P491" s="14" t="inlineStr">
        <is>
          <t>SI</t>
        </is>
      </c>
      <c r="Q491" s="14" t="inlineStr">
        <is>
          <t>Alta</t>
        </is>
      </c>
      <c r="R491" s="14" t="inlineStr">
        <is>
          <t>v2</t>
        </is>
      </c>
    </row>
    <row r="492" ht="57" customHeight="1" s="12">
      <c r="A492" s="14" t="inlineStr">
        <is>
          <t>F0491</t>
        </is>
      </c>
      <c r="B492" s="14" t="inlineStr">
        <is>
          <t>PS 2782 de 2026 - ESE 2 - HUHMP Neiva</t>
        </is>
      </c>
      <c r="C492" s="14" t="inlineStr">
        <is>
          <t>Sistema de salud y Ley 100 de 1993</t>
        </is>
      </c>
      <c r="D492" s="14" t="inlineStr">
        <is>
          <t>Profesional</t>
        </is>
      </c>
      <c r="E492" s="14" t="inlineStr">
        <is>
          <t>C164</t>
        </is>
      </c>
      <c r="F492" s="14" t="inlineStr">
        <is>
          <t>Caso 164</t>
        </is>
      </c>
      <c r="G492" s="14" t="inlineStr">
        <is>
          <t>Una mujer llega a consulta externa con orden de cirugía programada. En el sistema aparece afiliada al régimen subsidiado en un municipio de Caquetá, pero vive en Neiva desde hace ocho meses. La auxiliar informa que no puede atenderla porque su afiliación es de otro municipio y le sugiere trasladarse de EPS antes de pedir la cita.</t>
        </is>
      </c>
      <c r="H492" s="14" t="inlineStr">
        <is>
          <t>La respuesta de la auxiliar constituye:</t>
        </is>
      </c>
      <c r="I492" s="14" t="inlineStr">
        <is>
          <t>Una barrera administrativa de acceso, que el prestador debe corregir y registrar como oportunidad de mejora</t>
        </is>
      </c>
      <c r="J492" s="14" t="inlineStr">
        <is>
          <t>Una actuación correcta, porque el prestador debe verificar el municipio de afiliación antes de atender</t>
        </is>
      </c>
      <c r="K492" s="14" t="inlineStr">
        <is>
          <t>Una decisión de la EPS, frente a la cual el prestador no tiene margen de actuación propio</t>
        </is>
      </c>
      <c r="L492" s="14" t="inlineStr">
        <is>
          <t>a</t>
        </is>
      </c>
      <c r="M492" s="14" t="inlineStr">
        <is>
          <t>Negar la atención por el municipio de afiliación es una barrera administrativa que el prestador puede y debe corregir.</t>
        </is>
      </c>
      <c r="N492" s="14" t="inlineStr">
        <is>
          <t>La opción b) valida la barrera y la opción c) traslada la responsabilidad a un tercero.</t>
        </is>
      </c>
      <c r="O492" s="14" t="inlineStr">
        <is>
          <t>Ley 1751 de 2015, art. 6; Decreto 780 de 2016</t>
        </is>
      </c>
      <c r="P492" s="14" t="inlineStr">
        <is>
          <t>SI</t>
        </is>
      </c>
      <c r="Q492" s="14" t="inlineStr">
        <is>
          <t>Alta</t>
        </is>
      </c>
      <c r="R492" s="14" t="inlineStr">
        <is>
          <t>v2</t>
        </is>
      </c>
    </row>
    <row r="493" ht="57" customHeight="1" s="12">
      <c r="A493" s="14" t="inlineStr">
        <is>
          <t>F0492</t>
        </is>
      </c>
      <c r="B493" s="14" t="inlineStr">
        <is>
          <t>PS 2782 de 2026 - ESE 2 - HUHMP Neiva</t>
        </is>
      </c>
      <c r="C493" s="14" t="inlineStr">
        <is>
          <t>Sistema de salud y Ley 100 de 1993</t>
        </is>
      </c>
      <c r="D493" s="14" t="inlineStr">
        <is>
          <t>Profesional</t>
        </is>
      </c>
      <c r="E493" s="14" t="inlineStr">
        <is>
          <t>C164</t>
        </is>
      </c>
      <c r="F493" s="14" t="inlineStr">
        <is>
          <t>Caso 164</t>
        </is>
      </c>
      <c r="G493" s="14" t="inlineStr">
        <is>
          <t>Una mujer llega a consulta externa con orden de cirugía programada. En el sistema aparece afiliada al régimen subsidiado en un municipio de Caquetá, pero vive en Neiva desde hace ocho meses. La auxiliar informa que no puede atenderla porque su afiliación es de otro municipio y le sugiere trasladarse de EPS antes de pedir la cita.</t>
        </is>
      </c>
      <c r="H493" s="14" t="inlineStr">
        <is>
          <t>Si la usuaria no estuviera afiliada a ningún régimen, correspondería:</t>
        </is>
      </c>
      <c r="I493" s="14" t="inlineStr">
        <is>
          <t>Orientar la afiliación de oficio y gestionar la atención con la entidad territorial competente</t>
        </is>
      </c>
      <c r="J493" s="14" t="inlineStr">
        <is>
          <t>Afiliarla el hospital a la EPS con la que tenga mayor volumen de contratación vigente</t>
        </is>
      </c>
      <c r="K493" s="14" t="inlineStr">
        <is>
          <t>Cobrarle la atención como particular y entregarle la cuenta al finalizar el procedimiento</t>
        </is>
      </c>
      <c r="L493" s="14" t="inlineStr">
        <is>
          <t>a</t>
        </is>
      </c>
      <c r="M493" s="14" t="inlineStr">
        <is>
          <t>Frente a la persona no afiliada, el prestador orienta la afiliación de oficio y gestiona con la entidad territorial.</t>
        </is>
      </c>
      <c r="N493" s="14" t="inlineStr">
        <is>
          <t>La opción b) desconoce la libre elección y la opción c) traslada el costo a la usuaria.</t>
        </is>
      </c>
      <c r="O493" s="14" t="inlineStr">
        <is>
          <t>Decreto 780 de 2016; Ley 715 de 2001</t>
        </is>
      </c>
      <c r="P493" s="14" t="inlineStr">
        <is>
          <t>SI</t>
        </is>
      </c>
      <c r="Q493" s="14" t="inlineStr">
        <is>
          <t>Alta</t>
        </is>
      </c>
      <c r="R493" s="14" t="inlineStr">
        <is>
          <t>v2</t>
        </is>
      </c>
    </row>
    <row r="494" ht="57" customHeight="1" s="12">
      <c r="A494" s="14" t="inlineStr">
        <is>
          <t>F0493</t>
        </is>
      </c>
      <c r="B494" s="14" t="inlineStr">
        <is>
          <t>PS 2782 de 2026 - ESE 2 - HUHMP Neiva</t>
        </is>
      </c>
      <c r="C494" s="14" t="inlineStr">
        <is>
          <t>Sistema de salud y Ley 100 de 1993</t>
        </is>
      </c>
      <c r="D494" s="14" t="inlineStr">
        <is>
          <t>Tecnico</t>
        </is>
      </c>
      <c r="E494" s="14" t="inlineStr">
        <is>
          <t>C165</t>
        </is>
      </c>
      <c r="F494" s="14" t="inlineStr">
        <is>
          <t>Caso 165</t>
        </is>
      </c>
      <c r="G494" s="14" t="inlineStr">
        <is>
          <t>En la ventanilla de facturación, un usuario del régimen contributivo con ingresos de dos salarios mínimos reclama porque le cobraron cuota moderadora en una consulta de control de hipertensión y copago en una hospitalización. Otro usuario, del régimen subsidiado clasificado en el nivel más bajo, pregunta si a él también le corresponde pagar.</t>
        </is>
      </c>
      <c r="H494" s="14" t="inlineStr">
        <is>
          <t>Los pagos moderadores se determinan según:</t>
        </is>
      </c>
      <c r="I494" s="14" t="inlineStr">
        <is>
          <t>El ingreso o la clasificación socioeconómica del afiliado, con servicios exceptuados de cobro</t>
        </is>
      </c>
      <c r="J494" s="14" t="inlineStr">
        <is>
          <t>El costo del servicio prestado y la complejidad de la institución que lo presta</t>
        </is>
      </c>
      <c r="K494" s="14" t="inlineStr">
        <is>
          <t>La decisión de cada prestador, que fija los valores en su manual de tarifas</t>
        </is>
      </c>
      <c r="L494" s="14" t="inlineStr">
        <is>
          <t>a</t>
        </is>
      </c>
      <c r="M494" s="14" t="inlineStr">
        <is>
          <t>Los pagos moderadores se fijan según la capacidad socioeconómica del afiliado y existen servicios exceptuados de cobro.</t>
        </is>
      </c>
      <c r="N494" s="14" t="inlineStr">
        <is>
          <t>La opción b) los liga al costo del servicio y la opción c) los deja al arbitrio del prestador.</t>
        </is>
      </c>
      <c r="O494" s="14" t="inlineStr">
        <is>
          <t>Ley 100 de 1993, art. 187; Decreto 780 de 2016</t>
        </is>
      </c>
      <c r="P494" s="14" t="inlineStr">
        <is>
          <t>SI</t>
        </is>
      </c>
      <c r="Q494" s="14" t="inlineStr">
        <is>
          <t>Media</t>
        </is>
      </c>
      <c r="R494" s="14" t="inlineStr">
        <is>
          <t>v2</t>
        </is>
      </c>
    </row>
    <row r="495" ht="57" customHeight="1" s="12">
      <c r="A495" s="14" t="inlineStr">
        <is>
          <t>F0494</t>
        </is>
      </c>
      <c r="B495" s="14" t="inlineStr">
        <is>
          <t>PS 2782 de 2026 - ESE 2 - HUHMP Neiva</t>
        </is>
      </c>
      <c r="C495" s="14" t="inlineStr">
        <is>
          <t>Sistema de salud y Ley 100 de 1993</t>
        </is>
      </c>
      <c r="D495" s="14" t="inlineStr">
        <is>
          <t>Tecnico</t>
        </is>
      </c>
      <c r="E495" s="14" t="inlineStr">
        <is>
          <t>C165</t>
        </is>
      </c>
      <c r="F495" s="14" t="inlineStr">
        <is>
          <t>Caso 165</t>
        </is>
      </c>
      <c r="G495" s="14" t="inlineStr">
        <is>
          <t>En la ventanilla de facturación, un usuario del régimen contributivo con ingresos de dos salarios mínimos reclama porque le cobraron cuota moderadora en una consulta de control de hipertensión y copago en una hospitalización. Otro usuario, del régimen subsidiado clasificado en el nivel más bajo, pregunta si a él también le corresponde pagar.</t>
        </is>
      </c>
      <c r="H495" s="14" t="inlineStr">
        <is>
          <t>Las actividades de promoción y prevención, frente al cobro:</t>
        </is>
      </c>
      <c r="I495" s="14" t="inlineStr">
        <is>
          <t>Están exceptuadas, de modo que no procede cobrar pagos moderadores por ellas</t>
        </is>
      </c>
      <c r="J495" s="14" t="inlineStr">
        <is>
          <t>Se cobran con tarifa reducida, equivalente a la mitad de la cuota moderadora ordinaria</t>
        </is>
      </c>
      <c r="K495" s="14" t="inlineStr">
        <is>
          <t>Se cobran igual que las demás consultas, porque consumen recursos de la institución</t>
        </is>
      </c>
      <c r="L495" s="14" t="inlineStr">
        <is>
          <t>a</t>
        </is>
      </c>
      <c r="M495" s="14" t="inlineStr">
        <is>
          <t>Las actividades de promoción y prevención están exceptuadas del cobro de pagos moderadores.</t>
        </is>
      </c>
      <c r="N495" s="14" t="inlineStr">
        <is>
          <t>Las opciones b) y c) imponen un cobro sobre servicios que la norma excluye expresamente.</t>
        </is>
      </c>
      <c r="O495" s="14" t="inlineStr">
        <is>
          <t>Decreto 780 de 2016</t>
        </is>
      </c>
      <c r="P495" s="14" t="inlineStr">
        <is>
          <t>SI</t>
        </is>
      </c>
      <c r="Q495" s="14" t="inlineStr">
        <is>
          <t>Media</t>
        </is>
      </c>
      <c r="R495" s="14" t="inlineStr">
        <is>
          <t>v2</t>
        </is>
      </c>
    </row>
    <row r="496" ht="57" customHeight="1" s="12">
      <c r="A496" s="14" t="inlineStr">
        <is>
          <t>F0495</t>
        </is>
      </c>
      <c r="B496" s="14" t="inlineStr">
        <is>
          <t>PS 2782 de 2026 - ESE 2 - HUHMP Neiva</t>
        </is>
      </c>
      <c r="C496" s="14" t="inlineStr">
        <is>
          <t>Sistema de salud y Ley 100 de 1993</t>
        </is>
      </c>
      <c r="D496" s="14" t="inlineStr">
        <is>
          <t>Tecnico</t>
        </is>
      </c>
      <c r="E496" s="14" t="inlineStr">
        <is>
          <t>C165</t>
        </is>
      </c>
      <c r="F496" s="14" t="inlineStr">
        <is>
          <t>Caso 165</t>
        </is>
      </c>
      <c r="G496" s="14" t="inlineStr">
        <is>
          <t>En la ventanilla de facturación, un usuario del régimen contributivo con ingresos de dos salarios mínimos reclama porque le cobraron cuota moderadora en una consulta de control de hipertensión y copago en una hospitalización. Otro usuario, del régimen subsidiado clasificado en el nivel más bajo, pregunta si a él también le corresponde pagar.</t>
        </is>
      </c>
      <c r="H496" s="14" t="inlineStr">
        <is>
          <t>Si el usuario manifiesta que no tiene cómo pagar el copago en una hospitalización en curso:</t>
        </is>
      </c>
      <c r="I496" s="14" t="inlineStr">
        <is>
          <t>La atención continúa y el cobro se gestiona por los mecanismos administrativos previstos</t>
        </is>
      </c>
      <c r="J496" s="14" t="inlineStr">
        <is>
          <t>La atención se suspende hasta que suscriba un acuerdo de pago con la institución</t>
        </is>
      </c>
      <c r="K496" s="14" t="inlineStr">
        <is>
          <t>El servicio se factura como particular y se entrega la cuenta de cobro al egreso</t>
        </is>
      </c>
      <c r="L496" s="14" t="inlineStr">
        <is>
          <t>a</t>
        </is>
      </c>
      <c r="M496" s="14" t="inlineStr">
        <is>
          <t>El pago moderador no puede convertirse en barrera de acceso: la atención continúa y el cobro se gestiona administrativamente.</t>
        </is>
      </c>
      <c r="N496" s="14" t="inlineStr">
        <is>
          <t>Las opciones b) y c) condicionan la atención a un pago, lo que está proscrito.</t>
        </is>
      </c>
      <c r="O496" s="14" t="inlineStr">
        <is>
          <t>Ley 1751 de 2015, art. 6; Ley 100 de 1993, art. 187</t>
        </is>
      </c>
      <c r="P496" s="14" t="inlineStr">
        <is>
          <t>SI</t>
        </is>
      </c>
      <c r="Q496" s="14" t="inlineStr">
        <is>
          <t>Media</t>
        </is>
      </c>
      <c r="R496" s="14" t="inlineStr">
        <is>
          <t>v2</t>
        </is>
      </c>
    </row>
    <row r="497" ht="57" customHeight="1" s="12">
      <c r="A497" s="14" t="inlineStr">
        <is>
          <t>F0496</t>
        </is>
      </c>
      <c r="B497" s="14" t="inlineStr">
        <is>
          <t>PS 2782 de 2026 - ESE 2 - HUHMP Neiva</t>
        </is>
      </c>
      <c r="C497" s="14" t="inlineStr">
        <is>
          <t>Sistema de salud y Ley 100 de 1993</t>
        </is>
      </c>
      <c r="D497" s="14" t="inlineStr">
        <is>
          <t>Profesional</t>
        </is>
      </c>
      <c r="E497" s="14" t="inlineStr">
        <is>
          <t>C166</t>
        </is>
      </c>
      <c r="F497" s="14" t="inlineStr">
        <is>
          <t>Caso 166</t>
        </is>
      </c>
      <c r="G497" s="14" t="inlineStr">
        <is>
          <t>El Ministerio de Hacienda clasificó al hospital en riesgo financiero alto. La junta directiva debe decidir qué hacer antes del 30 de junio. Un miembro propone esperar a la siguiente vigencia, otro sugiere suspender servicios poco rentables y el revisor fiscal advierte que hay obligaciones de ley que deben cumplirse en un plazo definido.</t>
        </is>
      </c>
      <c r="H497" s="14" t="inlineStr">
        <is>
          <t>La actuación que exige la ley frente a esa categorización es:</t>
        </is>
      </c>
      <c r="I497" s="14" t="inlineStr">
        <is>
          <t>Adoptar un programa de saneamiento fiscal y financiero y presentarlo para su viabilización</t>
        </is>
      </c>
      <c r="J497" s="14" t="inlineStr">
        <is>
          <t>Suspender los servicios deficitarios hasta recuperar el equilibrio financiero de la entidad</t>
        </is>
      </c>
      <c r="K497" s="14" t="inlineStr">
        <is>
          <t>Solicitar a la Superintendencia Nacional de Salud la liquidación voluntaria de la entidad</t>
        </is>
      </c>
      <c r="L497" s="14" t="inlineStr">
        <is>
          <t>a</t>
        </is>
      </c>
      <c r="M497" s="14" t="inlineStr">
        <is>
          <t>La categorización en riesgo obliga a adoptar un programa de saneamiento fiscal y financiero sujeto a viabilización y seguimiento.</t>
        </is>
      </c>
      <c r="N497" s="14" t="inlineStr">
        <is>
          <t>La opción b) afecta el acceso de los usuarios y la opción c) aplica una consecuencia extrema que no es la prevista.</t>
        </is>
      </c>
      <c r="O497" s="14" t="inlineStr">
        <is>
          <t>Ley 1438 de 2011, art. 80; Ley 1608 de 2013</t>
        </is>
      </c>
      <c r="P497" s="14" t="inlineStr">
        <is>
          <t>SI</t>
        </is>
      </c>
      <c r="Q497" s="14" t="inlineStr">
        <is>
          <t>Alta</t>
        </is>
      </c>
      <c r="R497" s="14" t="inlineStr">
        <is>
          <t>v2</t>
        </is>
      </c>
    </row>
    <row r="498" ht="57" customHeight="1" s="12">
      <c r="A498" s="14" t="inlineStr">
        <is>
          <t>F0497</t>
        </is>
      </c>
      <c r="B498" s="14" t="inlineStr">
        <is>
          <t>PS 2782 de 2026 - ESE 2 - HUHMP Neiva</t>
        </is>
      </c>
      <c r="C498" s="14" t="inlineStr">
        <is>
          <t>Sistema de salud y Ley 100 de 1993</t>
        </is>
      </c>
      <c r="D498" s="14" t="inlineStr">
        <is>
          <t>Profesional</t>
        </is>
      </c>
      <c r="E498" s="14" t="inlineStr">
        <is>
          <t>C166</t>
        </is>
      </c>
      <c r="F498" s="14" t="inlineStr">
        <is>
          <t>Caso 166</t>
        </is>
      </c>
      <c r="G498" s="14" t="inlineStr">
        <is>
          <t>El Ministerio de Hacienda clasificó al hospital en riesgo financiero alto. La junta directiva debe decidir qué hacer antes del 30 de junio. Un miembro propone esperar a la siguiente vigencia, otro sugiere suspender servicios poco rentables y el revisor fiscal advierte que hay obligaciones de ley que deben cumplirse en un plazo definido.</t>
        </is>
      </c>
      <c r="H498" s="14" t="inlineStr">
        <is>
          <t>En ese programa, los papeles se reparten así:</t>
        </is>
      </c>
      <c r="I498" s="14" t="inlineStr">
        <is>
          <t>La junta directiva lo adopta, el Ministerio de Hacienda lo viabiliza y hace seguimiento a su cumplimiento</t>
        </is>
      </c>
      <c r="J498" s="14" t="inlineStr">
        <is>
          <t>El gerente lo expide, la asamblea departamental lo aprueba y la Contraloría lo viabiliza</t>
        </is>
      </c>
      <c r="K498" s="14" t="inlineStr">
        <is>
          <t>El Ministerio de Salud lo adopta y la Superintendencia Nacional de Salud lo ejecuta</t>
        </is>
      </c>
      <c r="L498" s="14" t="inlineStr">
        <is>
          <t>a</t>
        </is>
      </c>
      <c r="M498" s="14" t="inlineStr">
        <is>
          <t>La junta directiva adopta el programa y el Ministerio de Hacienda lo viabiliza y verifica su cumplimiento.</t>
        </is>
      </c>
      <c r="N498" s="14" t="inlineStr">
        <is>
          <t>Las opciones b) y c) asignan a otras autoridades funciones que la ley no les atribuye en esta materia.</t>
        </is>
      </c>
      <c r="O498" s="14" t="inlineStr">
        <is>
          <t>Ley 1608 de 2013; Ley 1438 de 2011</t>
        </is>
      </c>
      <c r="P498" s="14" t="inlineStr">
        <is>
          <t>SI</t>
        </is>
      </c>
      <c r="Q498" s="14" t="inlineStr">
        <is>
          <t>Alta</t>
        </is>
      </c>
      <c r="R498" s="14" t="inlineStr">
        <is>
          <t>v2</t>
        </is>
      </c>
    </row>
    <row r="499" ht="57" customHeight="1" s="12">
      <c r="A499" s="14" t="inlineStr">
        <is>
          <t>F0498</t>
        </is>
      </c>
      <c r="B499" s="14" t="inlineStr">
        <is>
          <t>PS 2782 de 2026 - ESE 2 - HUHMP Neiva</t>
        </is>
      </c>
      <c r="C499" s="14" t="inlineStr">
        <is>
          <t>Sistema de salud y Ley 100 de 1993</t>
        </is>
      </c>
      <c r="D499" s="14" t="inlineStr">
        <is>
          <t>Profesional</t>
        </is>
      </c>
      <c r="E499" s="14" t="inlineStr">
        <is>
          <t>C166</t>
        </is>
      </c>
      <c r="F499" s="14" t="inlineStr">
        <is>
          <t>Caso 166</t>
        </is>
      </c>
      <c r="G499" s="14" t="inlineStr">
        <is>
          <t>El Ministerio de Hacienda clasificó al hospital en riesgo financiero alto. La junta directiva debe decidir qué hacer antes del 30 de junio. Un miembro propone esperar a la siguiente vigencia, otro sugiere suspender servicios poco rentables y el revisor fiscal advierte que hay obligaciones de ley que deben cumplirse en un plazo definido.</t>
        </is>
      </c>
      <c r="H499" s="14" t="inlineStr">
        <is>
          <t>Si el programa se incumple, la Superintendencia Nacional de Salud puede:</t>
        </is>
      </c>
      <c r="I499" s="14" t="inlineStr">
        <is>
          <t>Adoptar las medidas especiales previstas en la ley respecto de la entidad vigilada</t>
        </is>
      </c>
      <c r="J499" s="14" t="inlineStr">
        <is>
          <t>Revocar la habilitación de los servicios que presta la entidad en el departamento</t>
        </is>
      </c>
      <c r="K499" s="14" t="inlineStr">
        <is>
          <t>Declarar la responsabilidad fiscal de los miembros de la junta directiva del hospital</t>
        </is>
      </c>
      <c r="L499" s="14" t="inlineStr">
        <is>
          <t>a</t>
        </is>
      </c>
      <c r="M499" s="14" t="inlineStr">
        <is>
          <t>Ante el incumplimiento, la Superintendencia puede adoptar las medidas especiales previstas para las entidades vigiladas.</t>
        </is>
      </c>
      <c r="N499" s="14" t="inlineStr">
        <is>
          <t>La opción b) corresponde a la autoridad de habilitación y la opción c) a los órganos de control fiscal.</t>
        </is>
      </c>
      <c r="O499" s="14" t="inlineStr">
        <is>
          <t>Ley 1438 de 2011; Decreto 780 de 2016</t>
        </is>
      </c>
      <c r="P499" s="14" t="inlineStr">
        <is>
          <t>SI</t>
        </is>
      </c>
      <c r="Q499" s="14" t="inlineStr">
        <is>
          <t>Alta</t>
        </is>
      </c>
      <c r="R499" s="14" t="inlineStr">
        <is>
          <t>v2</t>
        </is>
      </c>
    </row>
    <row r="500" ht="45.75" customHeight="1" s="12">
      <c r="A500" s="14" t="inlineStr">
        <is>
          <t>F0499</t>
        </is>
      </c>
      <c r="B500" s="14" t="inlineStr">
        <is>
          <t>PS 2782 de 2026 - ESE 2 - HUHMP Neiva</t>
        </is>
      </c>
      <c r="C500" s="14" t="inlineStr">
        <is>
          <t>Sistema de salud y Ley 100 de 1993</t>
        </is>
      </c>
      <c r="D500" s="14" t="inlineStr">
        <is>
          <t>Tecnico</t>
        </is>
      </c>
      <c r="E500" s="14" t="inlineStr">
        <is>
          <t>C167</t>
        </is>
      </c>
      <c r="F500" s="14" t="inlineStr">
        <is>
          <t>Caso 167</t>
        </is>
      </c>
      <c r="G500" s="14" t="inlineStr">
        <is>
          <t>Un ciudadano llega a preguntar cómo funciona el sistema porque su hijo cumplió 25 años y perdió la condición de beneficiario. Trabaja de manera independiente, tiene ingresos variables y no sabe si debe cotizar, afiliarse al subsidiado o esperar a conseguir empleo formal.</t>
        </is>
      </c>
      <c r="H500" s="14" t="inlineStr">
        <is>
          <t>El régimen contributivo cubre a:</t>
        </is>
      </c>
      <c r="I500" s="14" t="inlineStr">
        <is>
          <t>Las personas con capacidad de pago, sean dependientes, independientes o pensionadas</t>
        </is>
      </c>
      <c r="J500" s="14" t="inlineStr">
        <is>
          <t>Únicamente a los trabajadores con contrato laboral vigente y a sus beneficiarios</t>
        </is>
      </c>
      <c r="K500" s="14" t="inlineStr">
        <is>
          <t>A quienes superen los cuatro salarios mínimos de ingreso mensual comprobable</t>
        </is>
      </c>
      <c r="L500" s="14" t="inlineStr">
        <is>
          <t>a</t>
        </is>
      </c>
      <c r="M500" s="14" t="inlineStr">
        <is>
          <t>El régimen contributivo agrupa a las personas con capacidad de pago, incluidos los trabajadores independientes y los pensionados.</t>
        </is>
      </c>
      <c r="N500" s="14" t="inlineStr">
        <is>
          <t>Las opciones b) y c) restringen la afiliación a una modalidad de vínculo o a un umbral de ingreso que la ley no establece así.</t>
        </is>
      </c>
      <c r="O500" s="14" t="inlineStr">
        <is>
          <t>Ley 100 de 1993, art. 157</t>
        </is>
      </c>
      <c r="P500" s="14" t="inlineStr">
        <is>
          <t>SI</t>
        </is>
      </c>
      <c r="Q500" s="14" t="inlineStr">
        <is>
          <t>Basica</t>
        </is>
      </c>
      <c r="R500" s="14" t="inlineStr">
        <is>
          <t>v2</t>
        </is>
      </c>
    </row>
    <row r="501" ht="45.75" customHeight="1" s="12">
      <c r="A501" s="14" t="inlineStr">
        <is>
          <t>F0500</t>
        </is>
      </c>
      <c r="B501" s="14" t="inlineStr">
        <is>
          <t>PS 2782 de 2026 - ESE 2 - HUHMP Neiva</t>
        </is>
      </c>
      <c r="C501" s="14" t="inlineStr">
        <is>
          <t>Sistema de salud y Ley 100 de 1993</t>
        </is>
      </c>
      <c r="D501" s="14" t="inlineStr">
        <is>
          <t>Tecnico</t>
        </is>
      </c>
      <c r="E501" s="14" t="inlineStr">
        <is>
          <t>C167</t>
        </is>
      </c>
      <c r="F501" s="14" t="inlineStr">
        <is>
          <t>Caso 167</t>
        </is>
      </c>
      <c r="G501" s="14" t="inlineStr">
        <is>
          <t>Un ciudadano llega a preguntar cómo funciona el sistema porque su hijo cumplió 25 años y perdió la condición de beneficiario. Trabaja de manera independiente, tiene ingresos variables y no sabe si debe cotizar, afiliarse al subsidiado o esperar a conseguir empleo formal.</t>
        </is>
      </c>
      <c r="H501" s="14" t="inlineStr">
        <is>
          <t>Si el joven no tiene capacidad de pago, la ruta es:</t>
        </is>
      </c>
      <c r="I501" s="14" t="inlineStr">
        <is>
          <t>La identificación mediante el instrumento de focalización vigente y la afiliación al régimen subsidiado</t>
        </is>
      </c>
      <c r="J501" s="14" t="inlineStr">
        <is>
          <t>La afiliación directa al régimen subsidiado con la sola declaración de que no tiene ingresos</t>
        </is>
      </c>
      <c r="K501" s="14" t="inlineStr">
        <is>
          <t>La espera hasta conseguir empleo formal, manteniéndose entre tanto sin afiliación al sistema</t>
        </is>
      </c>
      <c r="L501" s="14" t="inlineStr">
        <is>
          <t>a</t>
        </is>
      </c>
      <c r="M501" s="14" t="inlineStr">
        <is>
          <t>El acceso al régimen subsidiado exige la identificación mediante el instrumento de focalización vigente.</t>
        </is>
      </c>
      <c r="N501" s="14" t="inlineStr">
        <is>
          <t>La opción b) omite ese paso y la opción c) deja a la persona por fuera del sistema, cuando la afiliación es obligatoria.</t>
        </is>
      </c>
      <c r="O501" s="14" t="inlineStr">
        <is>
          <t>Ley 100 de 1993, arts. 157 y 211; Decreto 780 de 2016</t>
        </is>
      </c>
      <c r="P501" s="14" t="inlineStr">
        <is>
          <t>SI</t>
        </is>
      </c>
      <c r="Q501" s="14" t="inlineStr">
        <is>
          <t>Basica</t>
        </is>
      </c>
      <c r="R501" s="14" t="inlineStr">
        <is>
          <t>v2</t>
        </is>
      </c>
    </row>
    <row r="502" ht="45.75" customHeight="1" s="12">
      <c r="A502" s="14" t="inlineStr">
        <is>
          <t>F0501</t>
        </is>
      </c>
      <c r="B502" s="14" t="inlineStr">
        <is>
          <t>PS 2782 de 2026 - ESE 2 - HUHMP Neiva</t>
        </is>
      </c>
      <c r="C502" s="14" t="inlineStr">
        <is>
          <t>Sistema de salud y Ley 100 de 1993</t>
        </is>
      </c>
      <c r="D502" s="14" t="inlineStr">
        <is>
          <t>Tecnico</t>
        </is>
      </c>
      <c r="E502" s="14" t="inlineStr">
        <is>
          <t>C167</t>
        </is>
      </c>
      <c r="F502" s="14" t="inlineStr">
        <is>
          <t>Caso 167</t>
        </is>
      </c>
      <c r="G502" s="14" t="inlineStr">
        <is>
          <t>Un ciudadano llega a preguntar cómo funciona el sistema porque su hijo cumplió 25 años y perdió la condición de beneficiario. Trabaja de manera independiente, tiene ingresos variables y no sabe si debe cotizar, afiliarse al subsidiado o esperar a conseguir empleo formal.</t>
        </is>
      </c>
      <c r="H502" s="14" t="inlineStr">
        <is>
          <t>Mientras define su situación, si requiere atención de urgencias:</t>
        </is>
      </c>
      <c r="I502" s="14" t="inlineStr">
        <is>
          <t>Debe ser atendido, porque la atención inicial de urgencias no depende del aseguramiento</t>
        </is>
      </c>
      <c r="J502" s="14" t="inlineStr">
        <is>
          <t>Debe cancelar el valor de la atención y solicitar después el reembolso correspondiente</t>
        </is>
      </c>
      <c r="K502" s="14" t="inlineStr">
        <is>
          <t>Debe acudir a la entidad territorial para obtener una autorización previa de atención</t>
        </is>
      </c>
      <c r="L502" s="14" t="inlineStr">
        <is>
          <t>a</t>
        </is>
      </c>
      <c r="M502" s="14" t="inlineStr">
        <is>
          <t>La atención inicial de urgencias se presta a toda persona, con independencia de su afiliación o capacidad de pago.</t>
        </is>
      </c>
      <c r="N502" s="14" t="inlineStr">
        <is>
          <t>Las opciones b) y c) condicionan una atención que la ley define como incondicionada.</t>
        </is>
      </c>
      <c r="O502" s="14" t="inlineStr">
        <is>
          <t>Ley 1751 de 2015, art. 14</t>
        </is>
      </c>
      <c r="P502" s="14" t="inlineStr">
        <is>
          <t>SI</t>
        </is>
      </c>
      <c r="Q502" s="14" t="inlineStr">
        <is>
          <t>Basica</t>
        </is>
      </c>
      <c r="R502" s="14" t="inlineStr">
        <is>
          <t>v2</t>
        </is>
      </c>
    </row>
    <row r="503" ht="57" customHeight="1" s="12">
      <c r="A503" s="14" t="inlineStr">
        <is>
          <t>F0502</t>
        </is>
      </c>
      <c r="B503" s="14" t="inlineStr">
        <is>
          <t>PS 2782 de 2026 - ESE 2 - HUHMP Neiva</t>
        </is>
      </c>
      <c r="C503" s="14" t="inlineStr">
        <is>
          <t>Ley 1751 de 2015 - derecho fundamental a la salud</t>
        </is>
      </c>
      <c r="D503" s="14" t="inlineStr">
        <is>
          <t>Profesional</t>
        </is>
      </c>
      <c r="E503" s="14" t="inlineStr">
        <is>
          <t>C168</t>
        </is>
      </c>
      <c r="F503" s="14" t="inlineStr">
        <is>
          <t>Caso 168</t>
        </is>
      </c>
      <c r="G503" s="14" t="inlineStr">
        <is>
          <t>Un paciente con enfermedad renal crónica requiere un medicamento que no está financiado con la UPC. El médico tratante lo prescribe por la herramienta dispuesta para ello. La EPS responde que primero debe agotarse una alternativa incluida en el plan de beneficios y que el comité técnico decidirá en treinta días. El paciente lleva doce días sin tratamiento.</t>
        </is>
      </c>
      <c r="H503" s="14" t="inlineStr">
        <is>
          <t>La autonomía del médico tratante implica que:</t>
        </is>
      </c>
      <c r="I503" s="14" t="inlineStr">
        <is>
          <t>Su prescripción se funda en la evidencia y la ética, y no puede ser sustituida por una instrucción administrativa</t>
        </is>
      </c>
      <c r="J503" s="14" t="inlineStr">
        <is>
          <t>Su criterio prevalece incluso frente a la autorregulación profesional y a la evidencia científica disponible</t>
        </is>
      </c>
      <c r="K503" s="14" t="inlineStr">
        <is>
          <t>Debe ajustarse siempre a la alternativa más económica que ofrezca el plan de beneficios vigente</t>
        </is>
      </c>
      <c r="L503" s="14" t="inlineStr">
        <is>
          <t>a</t>
        </is>
      </c>
      <c r="M503" s="14" t="inlineStr">
        <is>
          <t>La ley garantiza la autonomía profesional en el marco de la autorregulación, la ética y la evidencia; no puede subordinarse a la decisión administrativa del pagador.</t>
        </is>
      </c>
      <c r="N503" s="14" t="inlineStr">
        <is>
          <t>La opción b) elimina los límites que la propia ley fija y la opción c) somete el juicio clínico a un criterio económico.</t>
        </is>
      </c>
      <c r="O503" s="14" t="inlineStr">
        <is>
          <t>Ley 1751 de 2015, art. 17</t>
        </is>
      </c>
      <c r="P503" s="14" t="inlineStr">
        <is>
          <t>SI</t>
        </is>
      </c>
      <c r="Q503" s="14" t="inlineStr">
        <is>
          <t>Alta</t>
        </is>
      </c>
      <c r="R503" s="14" t="inlineStr">
        <is>
          <t>v2</t>
        </is>
      </c>
    </row>
    <row r="504" ht="57" customHeight="1" s="12">
      <c r="A504" s="14" t="inlineStr">
        <is>
          <t>F0503</t>
        </is>
      </c>
      <c r="B504" s="14" t="inlineStr">
        <is>
          <t>PS 2782 de 2026 - ESE 2 - HUHMP Neiva</t>
        </is>
      </c>
      <c r="C504" s="14" t="inlineStr">
        <is>
          <t>Ley 1751 de 2015 - derecho fundamental a la salud</t>
        </is>
      </c>
      <c r="D504" s="14" t="inlineStr">
        <is>
          <t>Profesional</t>
        </is>
      </c>
      <c r="E504" s="14" t="inlineStr">
        <is>
          <t>C168</t>
        </is>
      </c>
      <c r="F504" s="14" t="inlineStr">
        <is>
          <t>Caso 168</t>
        </is>
      </c>
      <c r="G504" s="14" t="inlineStr">
        <is>
          <t>Un paciente con enfermedad renal crónica requiere un medicamento que no está financiado con la UPC. El médico tratante lo prescribe por la herramienta dispuesta para ello. La EPS responde que primero debe agotarse una alternativa incluida en el plan de beneficios y que el comité técnico decidirá en treinta días. El paciente lleva doce días sin tratamiento.</t>
        </is>
      </c>
      <c r="H504" s="14" t="inlineStr">
        <is>
          <t>La demora de doce días sin tratamiento afecta principalmente:</t>
        </is>
      </c>
      <c r="I504" s="14" t="inlineStr">
        <is>
          <t>La oportunidad y la continuidad, elementos del acceso que la ley protege</t>
        </is>
      </c>
      <c r="J504" s="14" t="inlineStr">
        <is>
          <t>La aceptabilidad, porque el paciente no está conforme con la alternativa ofrecida</t>
        </is>
      </c>
      <c r="K504" s="14" t="inlineStr">
        <is>
          <t>La disponibilidad, porque la institución no cuenta con el medicamento en su inventario</t>
        </is>
      </c>
      <c r="L504" s="14" t="inlineStr">
        <is>
          <t>a</t>
        </is>
      </c>
      <c r="M504" s="14" t="inlineStr">
        <is>
          <t>La interrupción del tratamiento compromete la oportunidad y la continuidad del acceso.</t>
        </is>
      </c>
      <c r="N504" s="14" t="inlineStr">
        <is>
          <t>La opción b) alude a la pertinencia cultural y ética del servicio y la opción c) a la suficiencia de la oferta, que no es lo que falla aquí.</t>
        </is>
      </c>
      <c r="O504" s="14" t="inlineStr">
        <is>
          <t>Ley 1751 de 2015, arts. 6 y 8</t>
        </is>
      </c>
      <c r="P504" s="14" t="inlineStr">
        <is>
          <t>SI</t>
        </is>
      </c>
      <c r="Q504" s="14" t="inlineStr">
        <is>
          <t>Alta</t>
        </is>
      </c>
      <c r="R504" s="14" t="inlineStr">
        <is>
          <t>v2</t>
        </is>
      </c>
    </row>
    <row r="505" ht="57" customHeight="1" s="12">
      <c r="A505" s="14" t="inlineStr">
        <is>
          <t>F0504</t>
        </is>
      </c>
      <c r="B505" s="14" t="inlineStr">
        <is>
          <t>PS 2782 de 2026 - ESE 2 - HUHMP Neiva</t>
        </is>
      </c>
      <c r="C505" s="14" t="inlineStr">
        <is>
          <t>Ley 1751 de 2015 - derecho fundamental a la salud</t>
        </is>
      </c>
      <c r="D505" s="14" t="inlineStr">
        <is>
          <t>Profesional</t>
        </is>
      </c>
      <c r="E505" s="14" t="inlineStr">
        <is>
          <t>C168</t>
        </is>
      </c>
      <c r="F505" s="14" t="inlineStr">
        <is>
          <t>Caso 168</t>
        </is>
      </c>
      <c r="G505" s="14" t="inlineStr">
        <is>
          <t>Un paciente con enfermedad renal crónica requiere un medicamento que no está financiado con la UPC. El médico tratante lo prescribe por la herramienta dispuesta para ello. La EPS responde que primero debe agotarse una alternativa incluida en el plan de beneficios y que el comité técnico decidirá en treinta días. El paciente lleva doce días sin tratamiento.</t>
        </is>
      </c>
      <c r="H505" s="14" t="inlineStr">
        <is>
          <t>Si la EPS mantiene la negativa, el mecanismo administrativo especializado es:</t>
        </is>
      </c>
      <c r="I505" s="14" t="inlineStr">
        <is>
          <t>La función jurisdiccional de la Superintendencia Nacional de Salud, sin perjuicio de la tutela</t>
        </is>
      </c>
      <c r="J505" s="14" t="inlineStr">
        <is>
          <t>La denuncia ante la Fiscalía por el delito de omisión de socorro en perjuicio del paciente</t>
        </is>
      </c>
      <c r="K505" s="14" t="inlineStr">
        <is>
          <t>La queja disciplinaria ante la Procuraduría, con los soportes documentales del caso</t>
        </is>
      </c>
      <c r="L505" s="14" t="inlineStr">
        <is>
          <t>a</t>
        </is>
      </c>
      <c r="M505" s="14" t="inlineStr">
        <is>
          <t>La Superintendencia tiene función jurisdiccional para resolver, entre otros, los conflictos por negación de servicios.</t>
        </is>
      </c>
      <c r="N505" s="14" t="inlineStr">
        <is>
          <t>Las opciones b) y c) usan vías que no resuelven el acceso al servicio requerido.</t>
        </is>
      </c>
      <c r="O505" s="14" t="inlineStr">
        <is>
          <t>Ley 1122 de 2007, art. 41; Ley 1751 de 2015</t>
        </is>
      </c>
      <c r="P505" s="14" t="inlineStr">
        <is>
          <t>SI</t>
        </is>
      </c>
      <c r="Q505" s="14" t="inlineStr">
        <is>
          <t>Alta</t>
        </is>
      </c>
      <c r="R505" s="14" t="inlineStr">
        <is>
          <t>v2</t>
        </is>
      </c>
    </row>
    <row r="506" ht="57" customHeight="1" s="12">
      <c r="A506" s="14" t="inlineStr">
        <is>
          <t>F0505</t>
        </is>
      </c>
      <c r="B506" s="14" t="inlineStr">
        <is>
          <t>PS 2782 de 2026 - ESE 2 - HUHMP Neiva</t>
        </is>
      </c>
      <c r="C506" s="14" t="inlineStr">
        <is>
          <t>Ley 1751 de 2015 - derecho fundamental a la salud</t>
        </is>
      </c>
      <c r="D506" s="14" t="inlineStr">
        <is>
          <t>Profesional</t>
        </is>
      </c>
      <c r="E506" s="14" t="inlineStr">
        <is>
          <t>C169</t>
        </is>
      </c>
      <c r="F506" s="14" t="inlineStr">
        <is>
          <t>Caso 169</t>
        </is>
      </c>
      <c r="G506" s="14" t="inlineStr">
        <is>
          <t>Una paciente de 71 años, con diagnóstico oncológico, tiene autorizada la quimioterapia pero no los traslados ni la valoración por nutrición y salud mental que ordenó el equipo tratante. La EPS responde que autorizó «lo principal» y que lo demás debe pedirse por separado, con nuevas órdenes cada vez.</t>
        </is>
      </c>
      <c r="H506" s="14" t="inlineStr">
        <is>
          <t>El principio que se está desconociendo es:</t>
        </is>
      </c>
      <c r="I506" s="14" t="inlineStr">
        <is>
          <t>La integralidad, que obliga a prestar la atención completa y no de manera fragmentada</t>
        </is>
      </c>
      <c r="J506" s="14" t="inlineStr">
        <is>
          <t>La universalidad, que garantiza la cobertura a todos los residentes en el territorio</t>
        </is>
      </c>
      <c r="K506" s="14" t="inlineStr">
        <is>
          <t>La progresividad, que ordena avanzar de forma gradual en la ampliación de coberturas</t>
        </is>
      </c>
      <c r="L506" s="14" t="inlineStr">
        <is>
          <t>a</t>
        </is>
      </c>
      <c r="M506" s="14" t="inlineStr">
        <is>
          <t>La integralidad exige prestar los servicios de manera completa para prevenir, paliar o curar, sin fragmentar la atención.</t>
        </is>
      </c>
      <c r="N506" s="14" t="inlineStr">
        <is>
          <t>Las opciones b) y c) enuncian principios distintos, referidos a la cobertura poblacional y al avance gradual del sistema.</t>
        </is>
      </c>
      <c r="O506" s="14" t="inlineStr">
        <is>
          <t>Ley 1751 de 2015, art. 8</t>
        </is>
      </c>
      <c r="P506" s="14" t="inlineStr">
        <is>
          <t>SI</t>
        </is>
      </c>
      <c r="Q506" s="14" t="inlineStr">
        <is>
          <t>Media</t>
        </is>
      </c>
      <c r="R506" s="14" t="inlineStr">
        <is>
          <t>v2</t>
        </is>
      </c>
    </row>
    <row r="507" ht="57" customHeight="1" s="12">
      <c r="A507" s="14" t="inlineStr">
        <is>
          <t>F0506</t>
        </is>
      </c>
      <c r="B507" s="14" t="inlineStr">
        <is>
          <t>PS 2782 de 2026 - ESE 2 - HUHMP Neiva</t>
        </is>
      </c>
      <c r="C507" s="14" t="inlineStr">
        <is>
          <t>Ley 1751 de 2015 - derecho fundamental a la salud</t>
        </is>
      </c>
      <c r="D507" s="14" t="inlineStr">
        <is>
          <t>Profesional</t>
        </is>
      </c>
      <c r="E507" s="14" t="inlineStr">
        <is>
          <t>C169</t>
        </is>
      </c>
      <c r="F507" s="14" t="inlineStr">
        <is>
          <t>Caso 169</t>
        </is>
      </c>
      <c r="G507" s="14" t="inlineStr">
        <is>
          <t>Una paciente de 71 años, con diagnóstico oncológico, tiene autorizada la quimioterapia pero no los traslados ni la valoración por nutrición y salud mental que ordenó el equipo tratante. La EPS responde que autorizó «lo principal» y que lo demás debe pedirse por separado, con nuevas órdenes cada vez.</t>
        </is>
      </c>
      <c r="H507" s="14" t="inlineStr">
        <is>
          <t>La condición de adulta mayor con enfermedad grave implica que:</t>
        </is>
      </c>
      <c r="I507" s="14" t="inlineStr">
        <is>
          <t>Es sujeto de especial protección y su atención no puede limitarse por restricciones administrativas</t>
        </is>
      </c>
      <c r="J507" s="14" t="inlineStr">
        <is>
          <t>Tiene prioridad únicamente en la asignación de citas de consulta externa y procedimientos</t>
        </is>
      </c>
      <c r="K507" s="14" t="inlineStr">
        <is>
          <t>Debe acreditar su condición ante la entidad responsable de pago antes de cada autorización</t>
        </is>
      </c>
      <c r="L507" s="14" t="inlineStr">
        <is>
          <t>a</t>
        </is>
      </c>
      <c r="M507" s="14" t="inlineStr">
        <is>
          <t>La ley reconoce como sujetos de especial protección, entre otros, a los adultos mayores, cuya atención no puede limitarse por restricciones administrativas o económicas.</t>
        </is>
      </c>
      <c r="N507" s="14" t="inlineStr">
        <is>
          <t>La opción b) reduce la protección a un turno y la opción c) impone un trámite que la ley no exige.</t>
        </is>
      </c>
      <c r="O507" s="14" t="inlineStr">
        <is>
          <t>Ley 1751 de 2015, art. 11</t>
        </is>
      </c>
      <c r="P507" s="14" t="inlineStr">
        <is>
          <t>SI</t>
        </is>
      </c>
      <c r="Q507" s="14" t="inlineStr">
        <is>
          <t>Media</t>
        </is>
      </c>
      <c r="R507" s="14" t="inlineStr">
        <is>
          <t>v2</t>
        </is>
      </c>
    </row>
    <row r="508" ht="57" customHeight="1" s="12">
      <c r="A508" s="14" t="inlineStr">
        <is>
          <t>F0507</t>
        </is>
      </c>
      <c r="B508" s="14" t="inlineStr">
        <is>
          <t>PS 2782 de 2026 - ESE 2 - HUHMP Neiva</t>
        </is>
      </c>
      <c r="C508" s="14" t="inlineStr">
        <is>
          <t>Ley 1751 de 2015 - derecho fundamental a la salud</t>
        </is>
      </c>
      <c r="D508" s="14" t="inlineStr">
        <is>
          <t>Profesional</t>
        </is>
      </c>
      <c r="E508" s="14" t="inlineStr">
        <is>
          <t>C169</t>
        </is>
      </c>
      <c r="F508" s="14" t="inlineStr">
        <is>
          <t>Caso 169</t>
        </is>
      </c>
      <c r="G508" s="14" t="inlineStr">
        <is>
          <t>Una paciente de 71 años, con diagnóstico oncológico, tiene autorizada la quimioterapia pero no los traslados ni la valoración por nutrición y salud mental que ordenó el equipo tratante. La EPS responde que autorizó «lo principal» y que lo demás debe pedirse por separado, con nuevas órdenes cada vez.</t>
        </is>
      </c>
      <c r="H508" s="14" t="inlineStr">
        <is>
          <t>Frente al hospital, la exigencia de nuevas órdenes para cada servicio:</t>
        </is>
      </c>
      <c r="I508" s="14" t="inlineStr">
        <is>
          <t>Es una barrera administrativa que debe documentarse y reportarse a la autoridad de vigilancia</t>
        </is>
      </c>
      <c r="J508" s="14" t="inlineStr">
        <is>
          <t>Es una exigencia legítima del asegurador, derivada de su facultad de auditoría de servicios</t>
        </is>
      </c>
      <c r="K508" s="14" t="inlineStr">
        <is>
          <t>Un asunto entre la paciente y su EPS, conforme a las obligaciones del asegurador</t>
        </is>
      </c>
      <c r="L508" s="14" t="inlineStr">
        <is>
          <t>a</t>
        </is>
      </c>
      <c r="M508" s="14" t="inlineStr">
        <is>
          <t>Los trámites que fragmentan la atención constituyen barreras que deben documentarse y ponerse en conocimiento de la autoridad de inspección y vigilancia.</t>
        </is>
      </c>
      <c r="N508" s="14" t="inlineStr">
        <is>
          <t>La opción b) confunde auditoría con obstáculo y la opción c) desentiende al prestador de un deber que también le corresponde.</t>
        </is>
      </c>
      <c r="O508" s="14" t="inlineStr">
        <is>
          <t>Ley 1751 de 2015, art. 6; Ley 1122 de 2007</t>
        </is>
      </c>
      <c r="P508" s="14" t="inlineStr">
        <is>
          <t>SI</t>
        </is>
      </c>
      <c r="Q508" s="14" t="inlineStr">
        <is>
          <t>Media</t>
        </is>
      </c>
      <c r="R508" s="14" t="inlineStr">
        <is>
          <t>v2</t>
        </is>
      </c>
    </row>
    <row r="509" ht="57" customHeight="1" s="12">
      <c r="A509" s="14" t="inlineStr">
        <is>
          <t>F0508</t>
        </is>
      </c>
      <c r="B509" s="14" t="inlineStr">
        <is>
          <t>PS 2782 de 2026 - ESE 2 - HUHMP Neiva</t>
        </is>
      </c>
      <c r="C509" s="14" t="inlineStr">
        <is>
          <t>Ley 1751 de 2015 - derecho fundamental a la salud</t>
        </is>
      </c>
      <c r="D509" s="14" t="inlineStr">
        <is>
          <t>Profesional</t>
        </is>
      </c>
      <c r="E509" s="14" t="inlineStr">
        <is>
          <t>C170</t>
        </is>
      </c>
      <c r="F509" s="14" t="inlineStr">
        <is>
          <t>Caso 170</t>
        </is>
      </c>
      <c r="G509" s="14" t="inlineStr">
        <is>
          <t>En un comité se discute si un procedimiento solicitado por un paciente puede negarse por estar excluido de la financiación con recursos públicos. Un asesor sostiene que basta con que no aparezca en el listado de la EPS, y otro afirma que las exclusiones tienen un procedimiento propio que no puede aplicarse por analogía.</t>
        </is>
      </c>
      <c r="H509" s="14" t="inlineStr">
        <is>
          <t>Las exclusiones de la financiación con recursos públicos:</t>
        </is>
      </c>
      <c r="I509" s="14" t="inlineStr">
        <is>
          <t>Resultan de un procedimiento técnico-científico, público, participativo y transparente</t>
        </is>
      </c>
      <c r="J509" s="14" t="inlineStr">
        <is>
          <t>Las define cada entidad responsable de pago en su manual interno de autorizaciones</t>
        </is>
      </c>
      <c r="K509" s="14" t="inlineStr">
        <is>
          <t>Las determina el prestador en el momento de la atención, según la evidencia del caso</t>
        </is>
      </c>
      <c r="L509" s="14" t="inlineStr">
        <is>
          <t>a</t>
        </is>
      </c>
      <c r="M509" s="14" t="inlineStr">
        <is>
          <t>La ley exige que las exclusiones se definan mediante un procedimiento técnico-científico, público, colectivo, participativo y transparente.</t>
        </is>
      </c>
      <c r="N509" s="14" t="inlineStr">
        <is>
          <t>Las opciones b) y c) entregan a un actor particular una decisión reservada a ese procedimiento reglado.</t>
        </is>
      </c>
      <c r="O509" s="14" t="inlineStr">
        <is>
          <t>Ley 1751 de 2015, art. 15</t>
        </is>
      </c>
      <c r="P509" s="14" t="inlineStr">
        <is>
          <t>SI</t>
        </is>
      </c>
      <c r="Q509" s="14" t="inlineStr">
        <is>
          <t>Alta</t>
        </is>
      </c>
      <c r="R509" s="14" t="inlineStr">
        <is>
          <t>v2</t>
        </is>
      </c>
    </row>
    <row r="510" ht="57" customHeight="1" s="12">
      <c r="A510" s="14" t="inlineStr">
        <is>
          <t>F0509</t>
        </is>
      </c>
      <c r="B510" s="14" t="inlineStr">
        <is>
          <t>PS 2782 de 2026 - ESE 2 - HUHMP Neiva</t>
        </is>
      </c>
      <c r="C510" s="14" t="inlineStr">
        <is>
          <t>Ley 1751 de 2015 - derecho fundamental a la salud</t>
        </is>
      </c>
      <c r="D510" s="14" t="inlineStr">
        <is>
          <t>Profesional</t>
        </is>
      </c>
      <c r="E510" s="14" t="inlineStr">
        <is>
          <t>C170</t>
        </is>
      </c>
      <c r="F510" s="14" t="inlineStr">
        <is>
          <t>Caso 170</t>
        </is>
      </c>
      <c r="G510" s="14" t="inlineStr">
        <is>
          <t>En un comité se discute si un procedimiento solicitado por un paciente puede negarse por estar excluido de la financiación con recursos públicos. Un asesor sostiene que basta con que no aparezca en el listado de la EPS, y otro afirma que las exclusiones tienen un procedimiento propio que no puede aplicarse por analogía.</t>
        </is>
      </c>
      <c r="H510" s="14" t="inlineStr">
        <is>
          <t>Uno de los criterios que permite excluir un servicio es que:</t>
        </is>
      </c>
      <c r="I510" s="14" t="inlineStr">
        <is>
          <t>No exista evidencia científica sobre su seguridad, eficacia o efectividad clínica</t>
        </is>
      </c>
      <c r="J510" s="14" t="inlineStr">
        <is>
          <t>Su costo supere el promedio de los servicios financiados con la unidad de pago por capitación</t>
        </is>
      </c>
      <c r="K510" s="14" t="inlineStr">
        <is>
          <t>No esté disponible en la red de prestadores contratada por el asegurador del paciente</t>
        </is>
      </c>
      <c r="L510" s="14" t="inlineStr">
        <is>
          <t>a</t>
        </is>
      </c>
      <c r="M510" s="14" t="inlineStr">
        <is>
          <t>Entre los criterios de exclusión está la falta de evidencia sobre seguridad, eficacia o efectividad clínica del servicio.</t>
        </is>
      </c>
      <c r="N510" s="14" t="inlineStr">
        <is>
          <t>Las opciones b) y c) usan criterios de costo o de red que no son causales de exclusión.</t>
        </is>
      </c>
      <c r="O510" s="14" t="inlineStr">
        <is>
          <t>Ley 1751 de 2015, art. 15</t>
        </is>
      </c>
      <c r="P510" s="14" t="inlineStr">
        <is>
          <t>SI</t>
        </is>
      </c>
      <c r="Q510" s="14" t="inlineStr">
        <is>
          <t>Alta</t>
        </is>
      </c>
      <c r="R510" s="14" t="inlineStr">
        <is>
          <t>v2</t>
        </is>
      </c>
    </row>
    <row r="511" ht="57" customHeight="1" s="12">
      <c r="A511" s="14" t="inlineStr">
        <is>
          <t>F0510</t>
        </is>
      </c>
      <c r="B511" s="14" t="inlineStr">
        <is>
          <t>PS 2782 de 2026 - ESE 2 - HUHMP Neiva</t>
        </is>
      </c>
      <c r="C511" s="14" t="inlineStr">
        <is>
          <t>Ley 1751 de 2015 - derecho fundamental a la salud</t>
        </is>
      </c>
      <c r="D511" s="14" t="inlineStr">
        <is>
          <t>Profesional</t>
        </is>
      </c>
      <c r="E511" s="14" t="inlineStr">
        <is>
          <t>C170</t>
        </is>
      </c>
      <c r="F511" s="14" t="inlineStr">
        <is>
          <t>Caso 170</t>
        </is>
      </c>
      <c r="G511" s="14" t="inlineStr">
        <is>
          <t>En un comité se discute si un procedimiento solicitado por un paciente puede negarse por estar excluido de la financiación con recursos públicos. Un asesor sostiene que basta con que no aparezca en el listado de la EPS, y otro afirma que las exclusiones tienen un procedimiento propio que no puede aplicarse por analogía.</t>
        </is>
      </c>
      <c r="H511" s="14" t="inlineStr">
        <is>
          <t>La sostenibilidad financiera del sistema, frente a un servicio requerido:</t>
        </is>
      </c>
      <c r="I511" s="14" t="inlineStr">
        <is>
          <t>Es un deber del Estado y no puede oponerse como razón para negar la prestación</t>
        </is>
      </c>
      <c r="J511" s="14" t="inlineStr">
        <is>
          <t>Es un criterio que prevalece cuando el costo del servicio compromete el equilibrio del sistema</t>
        </is>
      </c>
      <c r="K511" s="14" t="inlineStr">
        <is>
          <t>Es un principio aplicable solo a los servicios no financiados con recursos de la UPC</t>
        </is>
      </c>
      <c r="L511" s="14" t="inlineStr">
        <is>
          <t>a</t>
        </is>
      </c>
      <c r="M511" s="14" t="inlineStr">
        <is>
          <t>La sostenibilidad es un deber estatal y no un argumento admisible para negar servicios que el paciente requiere.</t>
        </is>
      </c>
      <c r="N511" s="14" t="inlineStr">
        <is>
          <t>Las opciones b) y c) invierten la relación entre el derecho fundamental y su financiación.</t>
        </is>
      </c>
      <c r="O511" s="14" t="inlineStr">
        <is>
          <t>Ley 1751 de 2015, arts. 5 y 6</t>
        </is>
      </c>
      <c r="P511" s="14" t="inlineStr">
        <is>
          <t>SI</t>
        </is>
      </c>
      <c r="Q511" s="14" t="inlineStr">
        <is>
          <t>Alta</t>
        </is>
      </c>
      <c r="R511" s="14" t="inlineStr">
        <is>
          <t>v2</t>
        </is>
      </c>
    </row>
    <row r="512" ht="45.75" customHeight="1" s="12">
      <c r="A512" s="14" t="inlineStr">
        <is>
          <t>F0511</t>
        </is>
      </c>
      <c r="B512" s="14" t="inlineStr">
        <is>
          <t>PS 2782 de 2026 - ESE 2 - HUHMP Neiva</t>
        </is>
      </c>
      <c r="C512" s="14" t="inlineStr">
        <is>
          <t>Ley 1751 de 2015 - derecho fundamental a la salud</t>
        </is>
      </c>
      <c r="D512" s="14" t="inlineStr">
        <is>
          <t>Tecnico</t>
        </is>
      </c>
      <c r="E512" s="14" t="inlineStr">
        <is>
          <t>C171</t>
        </is>
      </c>
      <c r="F512" s="14" t="inlineStr">
        <is>
          <t>Caso 171</t>
        </is>
      </c>
      <c r="G512" s="14" t="inlineStr">
        <is>
          <t>Un usuario pide en el SIAU que le expliquen por qué le cambiaron el medicamento, cuánto costó su hospitalización y si puede pedir una segunda opinión. La auxiliar le responde que esa información la maneja la EPS y que la segunda opinión no está contemplada en el sistema.</t>
        </is>
      </c>
      <c r="H512" s="14" t="inlineStr">
        <is>
          <t>El derecho a la información del usuario comprende:</t>
        </is>
      </c>
      <c r="I512" s="14" t="inlineStr">
        <is>
          <t>Información clara y oportuna sobre su atención, las alternativas de tratamiento y sus costos</t>
        </is>
      </c>
      <c r="J512" s="14" t="inlineStr">
        <is>
          <t>Únicamente los datos clínicos, pues la información económica corresponde al asegurador</t>
        </is>
      </c>
      <c r="K512" s="14" t="inlineStr">
        <is>
          <t>Solo lo que el médico tratante considere conveniente comunicarle en cada consulta</t>
        </is>
      </c>
      <c r="L512" s="14" t="inlineStr">
        <is>
          <t>a</t>
        </is>
      </c>
      <c r="M512" s="14" t="inlineStr">
        <is>
          <t>El usuario tiene derecho a recibir información clara, apropiada, suficiente y oportuna sobre su atención, incluidos los costos.</t>
        </is>
      </c>
      <c r="N512" s="14" t="inlineStr">
        <is>
          <t>La opción b) recorta el contenido del derecho y la opción c) lo somete al criterio del profesional.</t>
        </is>
      </c>
      <c r="O512" s="14" t="inlineStr">
        <is>
          <t>Ley 1751 de 2015, art. 10</t>
        </is>
      </c>
      <c r="P512" s="14" t="inlineStr">
        <is>
          <t>SI</t>
        </is>
      </c>
      <c r="Q512" s="14" t="inlineStr">
        <is>
          <t>Media</t>
        </is>
      </c>
      <c r="R512" s="14" t="inlineStr">
        <is>
          <t>v2</t>
        </is>
      </c>
    </row>
    <row r="513" ht="45.75" customHeight="1" s="12">
      <c r="A513" s="14" t="inlineStr">
        <is>
          <t>F0512</t>
        </is>
      </c>
      <c r="B513" s="14" t="inlineStr">
        <is>
          <t>PS 2782 de 2026 - ESE 2 - HUHMP Neiva</t>
        </is>
      </c>
      <c r="C513" s="14" t="inlineStr">
        <is>
          <t>Ley 1751 de 2015 - derecho fundamental a la salud</t>
        </is>
      </c>
      <c r="D513" s="14" t="inlineStr">
        <is>
          <t>Tecnico</t>
        </is>
      </c>
      <c r="E513" s="14" t="inlineStr">
        <is>
          <t>C171</t>
        </is>
      </c>
      <c r="F513" s="14" t="inlineStr">
        <is>
          <t>Caso 171</t>
        </is>
      </c>
      <c r="G513" s="14" t="inlineStr">
        <is>
          <t>Un usuario pide en el SIAU que le expliquen por qué le cambiaron el medicamento, cuánto costó su hospitalización y si puede pedir una segunda opinión. La auxiliar le responde que esa información la maneja la EPS y que la segunda opinión no está contemplada en el sistema.</t>
        </is>
      </c>
      <c r="H513" s="14" t="inlineStr">
        <is>
          <t>Sobre la segunda opinión, lo correcto es:</t>
        </is>
      </c>
      <c r="I513" s="14" t="inlineStr">
        <is>
          <t>Es un derecho reconocido del usuario, que puede solicitarla sobre su diagnóstico o tratamiento</t>
        </is>
      </c>
      <c r="J513" s="14" t="inlineStr">
        <is>
          <t>Es una prestación adicional que debe pagar el usuario cuando la solicita por su cuenta</t>
        </is>
      </c>
      <c r="K513" s="14" t="inlineStr">
        <is>
          <t>Procede únicamente cuando el médico tratante lo considera necesario para el caso</t>
        </is>
      </c>
      <c r="L513" s="14" t="inlineStr">
        <is>
          <t>a</t>
        </is>
      </c>
      <c r="M513" s="14" t="inlineStr">
        <is>
          <t>La ley reconoce el derecho del usuario a obtener una segunda opinión sobre su diagnóstico o tratamiento.</t>
        </is>
      </c>
      <c r="N513" s="14" t="inlineStr">
        <is>
          <t>Las opciones b) y c) condicionan a un pago o a la voluntad del tratante un derecho reconocido.</t>
        </is>
      </c>
      <c r="O513" s="14" t="inlineStr">
        <is>
          <t>Ley 1751 de 2015, art. 10</t>
        </is>
      </c>
      <c r="P513" s="14" t="inlineStr">
        <is>
          <t>SI</t>
        </is>
      </c>
      <c r="Q513" s="14" t="inlineStr">
        <is>
          <t>Media</t>
        </is>
      </c>
      <c r="R513" s="14" t="inlineStr">
        <is>
          <t>v2</t>
        </is>
      </c>
    </row>
    <row r="514" ht="45.75" customHeight="1" s="12">
      <c r="A514" s="14" t="inlineStr">
        <is>
          <t>F0513</t>
        </is>
      </c>
      <c r="B514" s="14" t="inlineStr">
        <is>
          <t>PS 2782 de 2026 - ESE 2 - HUHMP Neiva</t>
        </is>
      </c>
      <c r="C514" s="14" t="inlineStr">
        <is>
          <t>Ley 1751 de 2015 - derecho fundamental a la salud</t>
        </is>
      </c>
      <c r="D514" s="14" t="inlineStr">
        <is>
          <t>Tecnico</t>
        </is>
      </c>
      <c r="E514" s="14" t="inlineStr">
        <is>
          <t>C171</t>
        </is>
      </c>
      <c r="F514" s="14" t="inlineStr">
        <is>
          <t>Caso 171</t>
        </is>
      </c>
      <c r="G514" s="14" t="inlineStr">
        <is>
          <t>Un usuario pide en el SIAU que le expliquen por qué le cambiaron el medicamento, cuánto costó su hospitalización y si puede pedir una segunda opinión. La auxiliar le responde que esa información la maneja la EPS y que la segunda opinión no está contemplada en el sistema.</t>
        </is>
      </c>
      <c r="H514" s="14" t="inlineStr">
        <is>
          <t>La respuesta de la auxiliar debe corregirse porque:</t>
        </is>
      </c>
      <c r="I514" s="14" t="inlineStr">
        <is>
          <t>El prestador también tiene deberes de información frente al usuario que atiende</t>
        </is>
      </c>
      <c r="J514" s="14" t="inlineStr">
        <is>
          <t>La información solicitada está sometida a reserva y requiere autorización previa</t>
        </is>
      </c>
      <c r="K514" s="14" t="inlineStr">
        <is>
          <t>El usuario debía radicar la solicitud por escrito y no de manera verbal en la ventanilla</t>
        </is>
      </c>
      <c r="L514" s="14" t="inlineStr">
        <is>
          <t>a</t>
        </is>
      </c>
      <c r="M514" s="14" t="inlineStr">
        <is>
          <t>El deber de información recae también en el prestador; no puede trasladarse íntegramente al asegurador.</t>
        </is>
      </c>
      <c r="N514" s="14" t="inlineStr">
        <is>
          <t>La opción b) invoca una reserva inexistente frente al propio titular y la opción c) exige una formalidad que no condiciona el derecho.</t>
        </is>
      </c>
      <c r="O514" s="14" t="inlineStr">
        <is>
          <t>Ley 1751 de 2015, art. 10; Ley 1755 de 2015</t>
        </is>
      </c>
      <c r="P514" s="14" t="inlineStr">
        <is>
          <t>SI</t>
        </is>
      </c>
      <c r="Q514" s="14" t="inlineStr">
        <is>
          <t>Media</t>
        </is>
      </c>
      <c r="R514" s="14" t="inlineStr">
        <is>
          <t>v2</t>
        </is>
      </c>
    </row>
    <row r="515" ht="45.75" customHeight="1" s="12">
      <c r="A515" s="14" t="inlineStr">
        <is>
          <t>F0514</t>
        </is>
      </c>
      <c r="B515" s="14" t="inlineStr">
        <is>
          <t>PS 2782 de 2026 - ESE 2 - HUHMP Neiva</t>
        </is>
      </c>
      <c r="C515" s="14" t="inlineStr">
        <is>
          <t>Ley 1751 de 2015 - derecho fundamental a la salud</t>
        </is>
      </c>
      <c r="D515" s="14" t="inlineStr">
        <is>
          <t>Profesional</t>
        </is>
      </c>
      <c r="E515" s="14" t="inlineStr">
        <is>
          <t>C172</t>
        </is>
      </c>
      <c r="F515" s="14" t="inlineStr">
        <is>
          <t>Caso 172</t>
        </is>
      </c>
      <c r="G515" s="14" t="inlineStr">
        <is>
          <t>Un juez ordena, mediante fallo de tutela, entregar un tratamiento integral a un paciente con enfermedad huérfana. La EPS cumple con el primer ciclo y luego exige nuevas órdenes para los siguientes. El hospital, que ejecuta el tratamiento, recibe la instrucción de suspenderlo hasta nueva autorización.</t>
        </is>
      </c>
      <c r="H515" s="14" t="inlineStr">
        <is>
          <t>Frente a la instrucción de suspender el tratamiento en curso, el hospital debe:</t>
        </is>
      </c>
      <c r="I515" s="14" t="inlineStr">
        <is>
          <t>Continuar la atención ordenada por el fallo y dejar constancia de la instrucción recibida</t>
        </is>
      </c>
      <c r="J515" s="14" t="inlineStr">
        <is>
          <t>Suspenderla, porque sin autorización vigente no puede facturar los ciclos siguientes</t>
        </is>
      </c>
      <c r="K515" s="14" t="inlineStr">
        <is>
          <t>Consultar por escrito al juez de tutela si la orden cubre los ciclos posteriores</t>
        </is>
      </c>
      <c r="L515" s="14" t="inlineStr">
        <is>
          <t>a</t>
        </is>
      </c>
      <c r="M515" s="14" t="inlineStr">
        <is>
          <t>La orden de tratamiento integral cubre la continuidad; el prestador la cumple y documenta la instrucción contraria recibida.</t>
        </is>
      </c>
      <c r="N515" s="14" t="inlineStr">
        <is>
          <t>La opción b) interrumpe una atención ordenada judicialmente y la opción c) aplaza el cumplimiento con una consulta innecesaria.</t>
        </is>
      </c>
      <c r="O515" s="14" t="inlineStr">
        <is>
          <t>Decreto 2591 de 1991, art. 27; Ley 1751 de 2015, art. 8</t>
        </is>
      </c>
      <c r="P515" s="14" t="inlineStr">
        <is>
          <t>SI</t>
        </is>
      </c>
      <c r="Q515" s="14" t="inlineStr">
        <is>
          <t>Media</t>
        </is>
      </c>
      <c r="R515" s="14" t="inlineStr">
        <is>
          <t>v2</t>
        </is>
      </c>
    </row>
    <row r="516" ht="45.75" customHeight="1" s="12">
      <c r="A516" s="14" t="inlineStr">
        <is>
          <t>F0515</t>
        </is>
      </c>
      <c r="B516" s="14" t="inlineStr">
        <is>
          <t>PS 2782 de 2026 - ESE 2 - HUHMP Neiva</t>
        </is>
      </c>
      <c r="C516" s="14" t="inlineStr">
        <is>
          <t>Ley 1751 de 2015 - derecho fundamental a la salud</t>
        </is>
      </c>
      <c r="D516" s="14" t="inlineStr">
        <is>
          <t>Profesional</t>
        </is>
      </c>
      <c r="E516" s="14" t="inlineStr">
        <is>
          <t>C172</t>
        </is>
      </c>
      <c r="F516" s="14" t="inlineStr">
        <is>
          <t>Caso 172</t>
        </is>
      </c>
      <c r="G516" s="14" t="inlineStr">
        <is>
          <t>Un juez ordena, mediante fallo de tutela, entregar un tratamiento integral a un paciente con enfermedad huérfana. La EPS cumple con el primer ciclo y luego exige nuevas órdenes para los siguientes. El hospital, que ejecuta el tratamiento, recibe la instrucción de suspenderlo hasta nueva autorización.</t>
        </is>
      </c>
      <c r="H516" s="14" t="inlineStr">
        <is>
          <t>El tratamiento integral ordenado en tutela significa:</t>
        </is>
      </c>
      <c r="I516" s="14" t="inlineStr">
        <is>
          <t>Que se cubren los servicios necesarios derivados de la patología, sin exigir órdenes sucesivas</t>
        </is>
      </c>
      <c r="J516" s="14" t="inlineStr">
        <is>
          <t>Que se cubren únicamente los servicios expresamente enumerados en la parte resolutiva</t>
        </is>
      </c>
      <c r="K516" s="14" t="inlineStr">
        <is>
          <t>Que se cubre todo servicio que el paciente solicite, aunque no guarde relación con su patología</t>
        </is>
      </c>
      <c r="L516" s="14" t="inlineStr">
        <is>
          <t>a</t>
        </is>
      </c>
      <c r="M516" s="14" t="inlineStr">
        <is>
          <t>La integralidad ordenada comprende los servicios necesarios derivados de la patología, sin someterlos a nuevas autorizaciones.</t>
        </is>
      </c>
      <c r="N516" s="14" t="inlineStr">
        <is>
          <t>La opción b) fragmenta lo que el fallo ordenó y la opción c) extiende la orden más allá de su causa.</t>
        </is>
      </c>
      <c r="O516" s="14" t="inlineStr">
        <is>
          <t>Ley 1751 de 2015, art. 8; jurisprudencia constitucional</t>
        </is>
      </c>
      <c r="P516" s="14" t="inlineStr">
        <is>
          <t>SI</t>
        </is>
      </c>
      <c r="Q516" s="14" t="inlineStr">
        <is>
          <t>Media</t>
        </is>
      </c>
      <c r="R516" s="14" t="inlineStr">
        <is>
          <t>v2</t>
        </is>
      </c>
    </row>
    <row r="517" ht="45.75" customHeight="1" s="12">
      <c r="A517" s="14" t="inlineStr">
        <is>
          <t>F0516</t>
        </is>
      </c>
      <c r="B517" s="14" t="inlineStr">
        <is>
          <t>PS 2782 de 2026 - ESE 2 - HUHMP Neiva</t>
        </is>
      </c>
      <c r="C517" s="14" t="inlineStr">
        <is>
          <t>Ley 1751 de 2015 - derecho fundamental a la salud</t>
        </is>
      </c>
      <c r="D517" s="14" t="inlineStr">
        <is>
          <t>Profesional</t>
        </is>
      </c>
      <c r="E517" s="14" t="inlineStr">
        <is>
          <t>C172</t>
        </is>
      </c>
      <c r="F517" s="14" t="inlineStr">
        <is>
          <t>Caso 172</t>
        </is>
      </c>
      <c r="G517" s="14" t="inlineStr">
        <is>
          <t>Un juez ordena, mediante fallo de tutela, entregar un tratamiento integral a un paciente con enfermedad huérfana. La EPS cumple con el primer ciclo y luego exige nuevas órdenes para los siguientes. El hospital, que ejecuta el tratamiento, recibe la instrucción de suspenderlo hasta nueva autorización.</t>
        </is>
      </c>
      <c r="H517" s="14" t="inlineStr">
        <is>
          <t>Si la EPS persiste en el incumplimiento, el paciente puede promover:</t>
        </is>
      </c>
      <c r="I517" s="14" t="inlineStr">
        <is>
          <t>El incidente de desacato ante el juez que profirió el fallo de tutela</t>
        </is>
      </c>
      <c r="J517" s="14" t="inlineStr">
        <is>
          <t>Una nueva acción de tutela por los mismos hechos ante un juez distinto</t>
        </is>
      </c>
      <c r="K517" s="14" t="inlineStr">
        <is>
          <t>Una acción de cumplimiento ante la jurisdicción de lo contencioso administrativo</t>
        </is>
      </c>
      <c r="L517" s="14" t="inlineStr">
        <is>
          <t>a</t>
        </is>
      </c>
      <c r="M517" s="14" t="inlineStr">
        <is>
          <t>El incumplimiento de un fallo de tutela se tramita mediante incidente de desacato ante el juez que lo profirió.</t>
        </is>
      </c>
      <c r="N517" s="14" t="inlineStr">
        <is>
          <t>La opción b) configuraría temeridad y la opción c) está prevista para hacer cumplir leyes y actos administrativos.</t>
        </is>
      </c>
      <c r="O517" s="14" t="inlineStr">
        <is>
          <t>Decreto 2591 de 1991, art. 52; Ley 393 de 1997</t>
        </is>
      </c>
      <c r="P517" s="14" t="inlineStr">
        <is>
          <t>SI</t>
        </is>
      </c>
      <c r="Q517" s="14" t="inlineStr">
        <is>
          <t>Media</t>
        </is>
      </c>
      <c r="R517" s="14" t="inlineStr">
        <is>
          <t>v2</t>
        </is>
      </c>
    </row>
    <row r="518" ht="68.25" customHeight="1" s="12">
      <c r="A518" s="14" t="inlineStr">
        <is>
          <t>F0517</t>
        </is>
      </c>
      <c r="B518" s="14" t="inlineStr">
        <is>
          <t>PS 2782 de 2026 - ESE 2 - HUHMP Neiva</t>
        </is>
      </c>
      <c r="C518" s="14" t="inlineStr">
        <is>
          <t>Gestion hospitalaria y organizacion de la E.S.E.</t>
        </is>
      </c>
      <c r="D518" s="14" t="inlineStr">
        <is>
          <t>Profesional</t>
        </is>
      </c>
      <c r="E518" s="14" t="inlineStr">
        <is>
          <t>C173</t>
        </is>
      </c>
      <c r="F518" s="14" t="inlineStr">
        <is>
          <t>Caso 173</t>
        </is>
      </c>
      <c r="G518" s="14" t="inlineStr">
        <is>
          <t>En la sesión del 28 de marzo, la junta directiva debe evaluar el plan de gestión del gerente correspondiente al año anterior. Un miembro propone calificar según la percepción del servicio en el municipio, otro sugiere aplazar la evaluación porque faltan estados financieros auditados y el gerente pide que se valore su gestión por el aumento en la producción de servicios.</t>
        </is>
      </c>
      <c r="H518" s="14" t="inlineStr">
        <is>
          <t>La evaluación del plan de gestión debe realizarse:</t>
        </is>
      </c>
      <c r="I518" s="14" t="inlineStr">
        <is>
          <t>Conforme a la metodología y los indicadores definidos por el Ministerio de Salud y Protección Social</t>
        </is>
      </c>
      <c r="J518" s="14" t="inlineStr">
        <is>
          <t>Según los criterios que la propia junta directiva apruebe al inicio de cada sesión de evaluación</t>
        </is>
      </c>
      <c r="K518" s="14" t="inlineStr">
        <is>
          <t>Con base en el informe de la oficina de control interno y en la percepción de los usuarios</t>
        </is>
      </c>
      <c r="L518" s="14" t="inlineStr">
        <is>
          <t>a</t>
        </is>
      </c>
      <c r="M518" s="14" t="inlineStr">
        <is>
          <t>La evaluación del plan de gestión se surte con la metodología e indicadores definidos por el Ministerio, en las áreas de dirección, financiera y clínica.</t>
        </is>
      </c>
      <c r="N518" s="14" t="inlineStr">
        <is>
          <t>La opción b) deja el estándar al arbitrio de cada sesión y la opción c) usa insumos válidos que no reemplazan la metodología obligatoria.</t>
        </is>
      </c>
      <c r="O518" s="14" t="inlineStr">
        <is>
          <t>Ley 1438 de 2011, art. 74; Resoluciones 710 de 2012 y 743 de 2013</t>
        </is>
      </c>
      <c r="P518" s="14" t="inlineStr">
        <is>
          <t>SI</t>
        </is>
      </c>
      <c r="Q518" s="14" t="inlineStr">
        <is>
          <t>Alta</t>
        </is>
      </c>
      <c r="R518" s="14" t="inlineStr">
        <is>
          <t>v2</t>
        </is>
      </c>
    </row>
    <row r="519" ht="68.25" customHeight="1" s="12">
      <c r="A519" s="14" t="inlineStr">
        <is>
          <t>F0518</t>
        </is>
      </c>
      <c r="B519" s="14" t="inlineStr">
        <is>
          <t>PS 2782 de 2026 - ESE 2 - HUHMP Neiva</t>
        </is>
      </c>
      <c r="C519" s="14" t="inlineStr">
        <is>
          <t>Gestion hospitalaria y organizacion de la E.S.E.</t>
        </is>
      </c>
      <c r="D519" s="14" t="inlineStr">
        <is>
          <t>Profesional</t>
        </is>
      </c>
      <c r="E519" s="14" t="inlineStr">
        <is>
          <t>C173</t>
        </is>
      </c>
      <c r="F519" s="14" t="inlineStr">
        <is>
          <t>Caso 173</t>
        </is>
      </c>
      <c r="G519" s="14" t="inlineStr">
        <is>
          <t>En la sesión del 28 de marzo, la junta directiva debe evaluar el plan de gestión del gerente correspondiente al año anterior. Un miembro propone calificar según la percepción del servicio en el municipio, otro sugiere aplazar la evaluación porque faltan estados financieros auditados y el gerente pide que se valore su gestión por el aumento en la producción de servicios.</t>
        </is>
      </c>
      <c r="H519" s="14" t="inlineStr">
        <is>
          <t>Si la evaluación resulta insatisfactoria, la consecuencia prevista es:</t>
        </is>
      </c>
      <c r="I519" s="14" t="inlineStr">
        <is>
          <t>La remoción del gerente, en los términos y con el procedimiento que fija la ley</t>
        </is>
      </c>
      <c r="J519" s="14" t="inlineStr">
        <is>
          <t>Un plan de mejoramiento suscrito con la junta, sin efectos sobre su permanencia</t>
        </is>
      </c>
      <c r="K519" s="14" t="inlineStr">
        <is>
          <t>La imposición de una sanción disciplinaria por parte de la misma junta directiva</t>
        </is>
      </c>
      <c r="L519" s="14" t="inlineStr">
        <is>
          <t>a</t>
        </is>
      </c>
      <c r="M519" s="14" t="inlineStr">
        <is>
          <t>La evaluación insatisfactoria del plan de gestión da lugar a la remoción del gerente conforme al procedimiento legal.</t>
        </is>
      </c>
      <c r="N519" s="14" t="inlineStr">
        <is>
          <t>La opción b) desconoce el efecto que la ley asigna y la opción c) atribuye a la junta una potestad disciplinaria que no tiene.</t>
        </is>
      </c>
      <c r="O519" s="14" t="inlineStr">
        <is>
          <t>Ley 1438 de 2011, art. 74</t>
        </is>
      </c>
      <c r="P519" s="14" t="inlineStr">
        <is>
          <t>SI</t>
        </is>
      </c>
      <c r="Q519" s="14" t="inlineStr">
        <is>
          <t>Alta</t>
        </is>
      </c>
      <c r="R519" s="14" t="inlineStr">
        <is>
          <t>v2</t>
        </is>
      </c>
    </row>
    <row r="520" ht="68.25" customHeight="1" s="12">
      <c r="A520" s="14" t="inlineStr">
        <is>
          <t>F0519</t>
        </is>
      </c>
      <c r="B520" s="14" t="inlineStr">
        <is>
          <t>PS 2782 de 2026 - ESE 2 - HUHMP Neiva</t>
        </is>
      </c>
      <c r="C520" s="14" t="inlineStr">
        <is>
          <t>Gestion hospitalaria y organizacion de la E.S.E.</t>
        </is>
      </c>
      <c r="D520" s="14" t="inlineStr">
        <is>
          <t>Profesional</t>
        </is>
      </c>
      <c r="E520" s="14" t="inlineStr">
        <is>
          <t>C173</t>
        </is>
      </c>
      <c r="F520" s="14" t="inlineStr">
        <is>
          <t>Caso 173</t>
        </is>
      </c>
      <c r="G520" s="14" t="inlineStr">
        <is>
          <t>En la sesión del 28 de marzo, la junta directiva debe evaluar el plan de gestión del gerente correspondiente al año anterior. Un miembro propone calificar según la percepción del servicio en el municipio, otro sugiere aplazar la evaluación porque faltan estados financieros auditados y el gerente pide que se valore su gestión por el aumento en la producción de servicios.</t>
        </is>
      </c>
      <c r="H520" s="14" t="inlineStr">
        <is>
          <t>La composición de la junta directiva de una E.S.E. departamental incluye representantes:</t>
        </is>
      </c>
      <c r="I520" s="14" t="inlineStr">
        <is>
          <t>Del estamento político-administrativo, del científico de la salud y de la comunidad</t>
        </is>
      </c>
      <c r="J520" s="14" t="inlineStr">
        <is>
          <t>Del gobierno departamental, de los trabajadores y de las entidades responsables de pago</t>
        </is>
      </c>
      <c r="K520" s="14" t="inlineStr">
        <is>
          <t>Del gobierno departamental, de la academia y de los gremios económicos de la región</t>
        </is>
      </c>
      <c r="L520" s="14" t="inlineStr">
        <is>
          <t>a</t>
        </is>
      </c>
      <c r="M520" s="14" t="inlineStr">
        <is>
          <t>La junta se integra de manera tripartita: estamento político-administrativo, científico de la salud y comunidad.</t>
        </is>
      </c>
      <c r="N520" s="14" t="inlineStr">
        <is>
          <t>Las opciones b) y c) sustituyen estamentos por actores que la norma no incluye en esa composición.</t>
        </is>
      </c>
      <c r="O520" s="14" t="inlineStr">
        <is>
          <t>Decreto 1876 de 1994, art. 8</t>
        </is>
      </c>
      <c r="P520" s="14" t="inlineStr">
        <is>
          <t>SI</t>
        </is>
      </c>
      <c r="Q520" s="14" t="inlineStr">
        <is>
          <t>Alta</t>
        </is>
      </c>
      <c r="R520" s="14" t="inlineStr">
        <is>
          <t>v2</t>
        </is>
      </c>
    </row>
    <row r="521" ht="57" customHeight="1" s="12">
      <c r="A521" s="14" t="inlineStr">
        <is>
          <t>F0520</t>
        </is>
      </c>
      <c r="B521" s="14" t="inlineStr">
        <is>
          <t>PS 2782 de 2026 - ESE 2 - HUHMP Neiva</t>
        </is>
      </c>
      <c r="C521" s="14" t="inlineStr">
        <is>
          <t>Gestion hospitalaria y organizacion de la E.S.E.</t>
        </is>
      </c>
      <c r="D521" s="14" t="inlineStr">
        <is>
          <t>Profesional</t>
        </is>
      </c>
      <c r="E521" s="14" t="inlineStr">
        <is>
          <t>C174</t>
        </is>
      </c>
      <c r="F521" s="14" t="inlineStr">
        <is>
          <t>Caso 174</t>
        </is>
      </c>
      <c r="G521" s="14" t="inlineStr">
        <is>
          <t>La oficina de control interno entrega un informe con nueve hallazgos sobre el proceso de facturación. El líder del proceso responde que la oficina no tiene competencia para evaluarlo porque el control interno es de la gerencia, y propone que el informe se archive sin plan de mejoramiento porque los hallazgos son menores.</t>
        </is>
      </c>
      <c r="H521" s="14" t="inlineStr">
        <is>
          <t>En el esquema de líneas de defensa, la oficina de control interno actúa como:</t>
        </is>
      </c>
      <c r="I521" s="14" t="inlineStr">
        <is>
          <t>Tercera línea, con evaluación independiente y objetiva sobre el diseño y la operación de los controles</t>
        </is>
      </c>
      <c r="J521" s="14" t="inlineStr">
        <is>
          <t>Segunda línea, acompañando a los responsables de los procesos en la gestión de sus riesgos</t>
        </is>
      </c>
      <c r="K521" s="14" t="inlineStr">
        <is>
          <t>Primera línea, porque hace parte de la estructura administrativa de la propia entidad</t>
        </is>
      </c>
      <c r="L521" s="14" t="inlineStr">
        <is>
          <t>a</t>
        </is>
      </c>
      <c r="M521" s="14" t="inlineStr">
        <is>
          <t>La oficina de control interno constituye la tercera línea de defensa y ejerce evaluación independiente.</t>
        </is>
      </c>
      <c r="N521" s="14" t="inlineStr">
        <is>
          <t>La opción b) corresponde a quienes hacen seguimiento a los riesgos y la opción c) a los responsables directos de los procesos.</t>
        </is>
      </c>
      <c r="O521" s="14" t="inlineStr">
        <is>
          <t>Decreto 1499 de 2017; Ley 87 de 1993</t>
        </is>
      </c>
      <c r="P521" s="14" t="inlineStr">
        <is>
          <t>SI</t>
        </is>
      </c>
      <c r="Q521" s="14" t="inlineStr">
        <is>
          <t>Media</t>
        </is>
      </c>
      <c r="R521" s="14" t="inlineStr">
        <is>
          <t>v2</t>
        </is>
      </c>
    </row>
    <row r="522" ht="57" customHeight="1" s="12">
      <c r="A522" s="14" t="inlineStr">
        <is>
          <t>F0521</t>
        </is>
      </c>
      <c r="B522" s="14" t="inlineStr">
        <is>
          <t>PS 2782 de 2026 - ESE 2 - HUHMP Neiva</t>
        </is>
      </c>
      <c r="C522" s="14" t="inlineStr">
        <is>
          <t>Gestion hospitalaria y organizacion de la E.S.E.</t>
        </is>
      </c>
      <c r="D522" s="14" t="inlineStr">
        <is>
          <t>Profesional</t>
        </is>
      </c>
      <c r="E522" s="14" t="inlineStr">
        <is>
          <t>C174</t>
        </is>
      </c>
      <c r="F522" s="14" t="inlineStr">
        <is>
          <t>Caso 174</t>
        </is>
      </c>
      <c r="G522" s="14" t="inlineStr">
        <is>
          <t>La oficina de control interno entrega un informe con nueve hallazgos sobre el proceso de facturación. El líder del proceso responde que la oficina no tiene competencia para evaluarlo porque el control interno es de la gerencia, y propone que el informe se archive sin plan de mejoramiento porque los hallazgos son menores.</t>
        </is>
      </c>
      <c r="H522" s="14" t="inlineStr">
        <is>
          <t>La afirmación de que el control interno es solo de la gerencia:</t>
        </is>
      </c>
      <c r="I522" s="14" t="inlineStr">
        <is>
          <t>Es equivocada: el control interno es responsabilidad de todos los servidores de la entidad</t>
        </is>
      </c>
      <c r="J522" s="14" t="inlineStr">
        <is>
          <t>Es correcta: el sistema lo establece y lo ejerce el representante legal de la entidad</t>
        </is>
      </c>
      <c r="K522" s="14" t="inlineStr">
        <is>
          <t>Es parcialmente correcta: recae en la gerencia y en los jefes de las áreas misionales</t>
        </is>
      </c>
      <c r="L522" s="14" t="inlineStr">
        <is>
          <t>a</t>
        </is>
      </c>
      <c r="M522" s="14" t="inlineStr">
        <is>
          <t>El control interno es responsabilidad de todos los servidores; la gerencia lo establece y la oficina lo evalúa de manera independiente.</t>
        </is>
      </c>
      <c r="N522" s="14" t="inlineStr">
        <is>
          <t>Las opciones b) y c) concentran en unos pocos una responsabilidad que la ley distribuye en toda la entidad.</t>
        </is>
      </c>
      <c r="O522" s="14" t="inlineStr">
        <is>
          <t>Ley 87 de 1993</t>
        </is>
      </c>
      <c r="P522" s="14" t="inlineStr">
        <is>
          <t>SI</t>
        </is>
      </c>
      <c r="Q522" s="14" t="inlineStr">
        <is>
          <t>Media</t>
        </is>
      </c>
      <c r="R522" s="14" t="inlineStr">
        <is>
          <t>v2</t>
        </is>
      </c>
    </row>
    <row r="523" ht="57" customHeight="1" s="12">
      <c r="A523" s="14" t="inlineStr">
        <is>
          <t>F0522</t>
        </is>
      </c>
      <c r="B523" s="14" t="inlineStr">
        <is>
          <t>PS 2782 de 2026 - ESE 2 - HUHMP Neiva</t>
        </is>
      </c>
      <c r="C523" s="14" t="inlineStr">
        <is>
          <t>Gestion hospitalaria y organizacion de la E.S.E.</t>
        </is>
      </c>
      <c r="D523" s="14" t="inlineStr">
        <is>
          <t>Profesional</t>
        </is>
      </c>
      <c r="E523" s="14" t="inlineStr">
        <is>
          <t>C174</t>
        </is>
      </c>
      <c r="F523" s="14" t="inlineStr">
        <is>
          <t>Caso 174</t>
        </is>
      </c>
      <c r="G523" s="14" t="inlineStr">
        <is>
          <t>La oficina de control interno entrega un informe con nueve hallazgos sobre el proceso de facturación. El líder del proceso responde que la oficina no tiene competencia para evaluarlo porque el control interno es de la gerencia, y propone que el informe se archive sin plan de mejoramiento porque los hallazgos son menores.</t>
        </is>
      </c>
      <c r="H523" s="14" t="inlineStr">
        <is>
          <t>Frente a los hallazgos, corresponde:</t>
        </is>
      </c>
      <c r="I523" s="14" t="inlineStr">
        <is>
          <t>Suscribir un plan de mejoramiento con acciones, responsables, plazos e indicadores verificables</t>
        </is>
      </c>
      <c r="J523" s="14" t="inlineStr">
        <is>
          <t>Archivar el informe, dejando constancia de que el líder no comparte los hallazgos</t>
        </is>
      </c>
      <c r="K523" s="14" t="inlineStr">
        <is>
          <t>Trasladar los hallazgos a la Contraloría para que ella determine si procede alguna acción</t>
        </is>
      </c>
      <c r="L523" s="14" t="inlineStr">
        <is>
          <t>a</t>
        </is>
      </c>
      <c r="M523" s="14" t="inlineStr">
        <is>
          <t>Los hallazgos se gestionan con un plan de mejoramiento que precise acciones, responsables, plazos e indicadores.</t>
        </is>
      </c>
      <c r="N523" s="14" t="inlineStr">
        <is>
          <t>La opción b) deja el hallazgo sin corrección y la opción c) traslada al control fiscal una gestión interna.</t>
        </is>
      </c>
      <c r="O523" s="14" t="inlineStr">
        <is>
          <t>Ley 87 de 1993; Decreto 1499 de 2017</t>
        </is>
      </c>
      <c r="P523" s="14" t="inlineStr">
        <is>
          <t>SI</t>
        </is>
      </c>
      <c r="Q523" s="14" t="inlineStr">
        <is>
          <t>Media</t>
        </is>
      </c>
      <c r="R523" s="14" t="inlineStr">
        <is>
          <t>v2</t>
        </is>
      </c>
    </row>
    <row r="524" ht="57" customHeight="1" s="12">
      <c r="A524" s="14" t="inlineStr">
        <is>
          <t>F0523</t>
        </is>
      </c>
      <c r="B524" s="14" t="inlineStr">
        <is>
          <t>PS 2782 de 2026 - ESE 2 - HUHMP Neiva</t>
        </is>
      </c>
      <c r="C524" s="14" t="inlineStr">
        <is>
          <t>Gestion hospitalaria y organizacion de la E.S.E.</t>
        </is>
      </c>
      <c r="D524" s="14" t="inlineStr">
        <is>
          <t>Tecnico</t>
        </is>
      </c>
      <c r="E524" s="14" t="inlineStr">
        <is>
          <t>C175</t>
        </is>
      </c>
      <c r="F524" s="14" t="inlineStr">
        <is>
          <t>Caso 175</t>
        </is>
      </c>
      <c r="G524" s="14" t="inlineStr">
        <is>
          <t>El 31 de enero vence el plazo para publicar el plan anticorrupción y de atención al ciudadano. La oficina de planeación tiene el documento listo pero sin el componente de riesgos de corrupción, y propone publicarlo así y completarlo en febrero. Además, la rendición de cuentas se programó como un evento único en diciembre.</t>
        </is>
      </c>
      <c r="H524" s="14" t="inlineStr">
        <is>
          <t>Sobre el plazo y la publicación del plan, lo correcto es:</t>
        </is>
      </c>
      <c r="I524" s="14" t="inlineStr">
        <is>
          <t>Publicarlo completo a más tardar el 31 de enero, incluido el componente de riesgos de corrupción</t>
        </is>
      </c>
      <c r="J524" s="14" t="inlineStr">
        <is>
          <t>Publicar lo disponible en enero y adicionar el componente faltante durante el mes de febrero</t>
        </is>
      </c>
      <c r="K524" s="14" t="inlineStr">
        <is>
          <t>Publicarlo cuando la junta directiva lo apruebe formalmente en su primera sesión del año</t>
        </is>
      </c>
      <c r="L524" s="14" t="inlineStr">
        <is>
          <t>a</t>
        </is>
      </c>
      <c r="M524" s="14" t="inlineStr">
        <is>
          <t>El plan debe elaborarse y publicarse anualmente a más tardar el 31 de enero, con todos sus componentes.</t>
        </is>
      </c>
      <c r="N524" s="14" t="inlineStr">
        <is>
          <t>Las opciones b) y c) posponen una obligación con fecha cierta fijada en la ley.</t>
        </is>
      </c>
      <c r="O524" s="14" t="inlineStr">
        <is>
          <t>Ley 1474 de 2011, art. 73</t>
        </is>
      </c>
      <c r="P524" s="14" t="inlineStr">
        <is>
          <t>SI</t>
        </is>
      </c>
      <c r="Q524" s="14" t="inlineStr">
        <is>
          <t>Media</t>
        </is>
      </c>
      <c r="R524" s="14" t="inlineStr">
        <is>
          <t>v2</t>
        </is>
      </c>
    </row>
    <row r="525" ht="57" customHeight="1" s="12">
      <c r="A525" s="14" t="inlineStr">
        <is>
          <t>F0524</t>
        </is>
      </c>
      <c r="B525" s="14" t="inlineStr">
        <is>
          <t>PS 2782 de 2026 - ESE 2 - HUHMP Neiva</t>
        </is>
      </c>
      <c r="C525" s="14" t="inlineStr">
        <is>
          <t>Gestion hospitalaria y organizacion de la E.S.E.</t>
        </is>
      </c>
      <c r="D525" s="14" t="inlineStr">
        <is>
          <t>Tecnico</t>
        </is>
      </c>
      <c r="E525" s="14" t="inlineStr">
        <is>
          <t>C175</t>
        </is>
      </c>
      <c r="F525" s="14" t="inlineStr">
        <is>
          <t>Caso 175</t>
        </is>
      </c>
      <c r="G525" s="14" t="inlineStr">
        <is>
          <t>El 31 de enero vence el plazo para publicar el plan anticorrupción y de atención al ciudadano. La oficina de planeación tiene el documento listo pero sin el componente de riesgos de corrupción, y propone publicarlo así y completarlo en febrero. Además, la rendición de cuentas se programó como un evento único en diciembre.</t>
        </is>
      </c>
      <c r="H525" s="14" t="inlineStr">
        <is>
          <t>La rendición de cuentas programada como un evento único en diciembre:</t>
        </is>
      </c>
      <c r="I525" s="14" t="inlineStr">
        <is>
          <t>Es insuficiente: se trata de un proceso permanente de información, diálogo y responsabilidad</t>
        </is>
      </c>
      <c r="J525" s="14" t="inlineStr">
        <is>
          <t>Es adecuada, conforme a la convocatoria previa de las asociaciones de usuarios</t>
        </is>
      </c>
      <c r="K525" s="14" t="inlineStr">
        <is>
          <t>Es adecuada, porque la ley exige una audiencia pública anual de rendición de cuentas</t>
        </is>
      </c>
      <c r="L525" s="14" t="inlineStr">
        <is>
          <t>a</t>
        </is>
      </c>
      <c r="M525" s="14" t="inlineStr">
        <is>
          <t>La rendición de cuentas es un proceso permanente y no se agota en una audiencia anual.</t>
        </is>
      </c>
      <c r="N525" s="14" t="inlineStr">
        <is>
          <t>Las opciones b) y c) confunden el proceso con uno de sus momentos.</t>
        </is>
      </c>
      <c r="O525" s="14" t="inlineStr">
        <is>
          <t>Ley 1757 de 2015, arts. 48 y siguientes</t>
        </is>
      </c>
      <c r="P525" s="14" t="inlineStr">
        <is>
          <t>SI</t>
        </is>
      </c>
      <c r="Q525" s="14" t="inlineStr">
        <is>
          <t>Media</t>
        </is>
      </c>
      <c r="R525" s="14" t="inlineStr">
        <is>
          <t>v2</t>
        </is>
      </c>
    </row>
    <row r="526" ht="57" customHeight="1" s="12">
      <c r="A526" s="14" t="inlineStr">
        <is>
          <t>F0525</t>
        </is>
      </c>
      <c r="B526" s="14" t="inlineStr">
        <is>
          <t>PS 2782 de 2026 - ESE 2 - HUHMP Neiva</t>
        </is>
      </c>
      <c r="C526" s="14" t="inlineStr">
        <is>
          <t>Gestion hospitalaria y organizacion de la E.S.E.</t>
        </is>
      </c>
      <c r="D526" s="14" t="inlineStr">
        <is>
          <t>Tecnico</t>
        </is>
      </c>
      <c r="E526" s="14" t="inlineStr">
        <is>
          <t>C175</t>
        </is>
      </c>
      <c r="F526" s="14" t="inlineStr">
        <is>
          <t>Caso 175</t>
        </is>
      </c>
      <c r="G526" s="14" t="inlineStr">
        <is>
          <t>El 31 de enero vence el plazo para publicar el plan anticorrupción y de atención al ciudadano. La oficina de planeación tiene el documento listo pero sin el componente de riesgos de corrupción, y propone publicarlo así y completarlo en febrero. Además, la rendición de cuentas se programó como un evento único en diciembre.</t>
        </is>
      </c>
      <c r="H526" s="14" t="inlineStr">
        <is>
          <t>Los riesgos de corrupción identificados deben:</t>
        </is>
      </c>
      <c r="I526" s="14" t="inlineStr">
        <is>
          <t>Tener controles definidos y monitoreo periódico documentado durante la vigencia</t>
        </is>
      </c>
      <c r="J526" s="14" t="inlineStr">
        <is>
          <t>Registrarse en el mapa y revisarse al cierre del año junto con los demás riesgos</t>
        </is>
      </c>
      <c r="K526" s="14" t="inlineStr">
        <is>
          <t>Reportarse a la Procuraduría General de la Nación en el momento de identificarlos</t>
        </is>
      </c>
      <c r="L526" s="14" t="inlineStr">
        <is>
          <t>a</t>
        </is>
      </c>
      <c r="M526" s="14" t="inlineStr">
        <is>
          <t>Los riesgos de corrupción exigen controles y monitoreo periódico documentado, no solo su identificación.</t>
        </is>
      </c>
      <c r="N526" s="14" t="inlineStr">
        <is>
          <t>La opción b) aplaza el seguimiento y la opción c) convierte la gestión del riesgo en un reporte externo.</t>
        </is>
      </c>
      <c r="O526" s="14" t="inlineStr">
        <is>
          <t>Ley 1474 de 2011; Decreto 1499 de 2017</t>
        </is>
      </c>
      <c r="P526" s="14" t="inlineStr">
        <is>
          <t>SI</t>
        </is>
      </c>
      <c r="Q526" s="14" t="inlineStr">
        <is>
          <t>Media</t>
        </is>
      </c>
      <c r="R526" s="14" t="inlineStr">
        <is>
          <t>v2</t>
        </is>
      </c>
    </row>
    <row r="527" ht="57" customHeight="1" s="12">
      <c r="A527" s="14" t="inlineStr">
        <is>
          <t>F0526</t>
        </is>
      </c>
      <c r="B527" s="14" t="inlineStr">
        <is>
          <t>PS 2782 de 2026 - ESE 2 - HUHMP Neiva</t>
        </is>
      </c>
      <c r="C527" s="14" t="inlineStr">
        <is>
          <t>Gestion hospitalaria y organizacion de la E.S.E.</t>
        </is>
      </c>
      <c r="D527" s="14" t="inlineStr">
        <is>
          <t>Tecnico</t>
        </is>
      </c>
      <c r="E527" s="14" t="inlineStr">
        <is>
          <t>C176</t>
        </is>
      </c>
      <c r="F527" s="14" t="inlineStr">
        <is>
          <t>Caso 176</t>
        </is>
      </c>
      <c r="G527" s="14" t="inlineStr">
        <is>
          <t>El almacén recibe un lote de medicamentos el viernes a las 17:30. Vienen tres cajas sin cadena de frío verificada, un producto cuyo registro sanitario aparece vencido y otro con fecha de vencimiento a dos meses. El proveedor pide firmar el acta de recibo completo para poder radicar la factura ese mismo día.</t>
        </is>
      </c>
      <c r="H527" s="14" t="inlineStr">
        <is>
          <t>La recepción técnica debe verificar, como mínimo:</t>
        </is>
      </c>
      <c r="I527" s="14" t="inlineStr">
        <is>
          <t>Registro sanitario vigente, lote, fecha de vencimiento y condiciones de conservación</t>
        </is>
      </c>
      <c r="J527" s="14" t="inlineStr">
        <is>
          <t>Cantidad recibida, valor unitario y correspondencia con la orden de compra emitida</t>
        </is>
      </c>
      <c r="K527" s="14" t="inlineStr">
        <is>
          <t>Presentación comercial del producto y coincidencia con la marca solicitada al proveedor</t>
        </is>
      </c>
      <c r="L527" s="14" t="inlineStr">
        <is>
          <t>a</t>
        </is>
      </c>
      <c r="M527" s="14" t="inlineStr">
        <is>
          <t>La recepción técnica comprueba registro sanitario, lote, vencimiento y condiciones de conservación, entre otros aspectos.</t>
        </is>
      </c>
      <c r="N527" s="14" t="inlineStr">
        <is>
          <t>Las opciones b) y c) describen verificaciones administrativas o comerciales que no sustituyen el control sanitario.</t>
        </is>
      </c>
      <c r="O527" s="14" t="inlineStr">
        <is>
          <t>Resolución 1403 de 2007</t>
        </is>
      </c>
      <c r="P527" s="14" t="inlineStr">
        <is>
          <t>SI</t>
        </is>
      </c>
      <c r="Q527" s="14" t="inlineStr">
        <is>
          <t>Basica</t>
        </is>
      </c>
      <c r="R527" s="14" t="inlineStr">
        <is>
          <t>v2</t>
        </is>
      </c>
    </row>
    <row r="528" ht="57" customHeight="1" s="12">
      <c r="A528" s="14" t="inlineStr">
        <is>
          <t>F0527</t>
        </is>
      </c>
      <c r="B528" s="14" t="inlineStr">
        <is>
          <t>PS 2782 de 2026 - ESE 2 - HUHMP Neiva</t>
        </is>
      </c>
      <c r="C528" s="14" t="inlineStr">
        <is>
          <t>Gestion hospitalaria y organizacion de la E.S.E.</t>
        </is>
      </c>
      <c r="D528" s="14" t="inlineStr">
        <is>
          <t>Tecnico</t>
        </is>
      </c>
      <c r="E528" s="14" t="inlineStr">
        <is>
          <t>C176</t>
        </is>
      </c>
      <c r="F528" s="14" t="inlineStr">
        <is>
          <t>Caso 176</t>
        </is>
      </c>
      <c r="G528" s="14" t="inlineStr">
        <is>
          <t>El almacén recibe un lote de medicamentos el viernes a las 17:30. Vienen tres cajas sin cadena de frío verificada, un producto cuyo registro sanitario aparece vencido y otro con fecha de vencimiento a dos meses. El proveedor pide firmar el acta de recibo completo para poder radicar la factura ese mismo día.</t>
        </is>
      </c>
      <c r="H528" s="14" t="inlineStr">
        <is>
          <t>Frente al producto con registro sanitario vencido, corresponde:</t>
        </is>
      </c>
      <c r="I528" s="14" t="inlineStr">
        <is>
          <t>Rechazarlo, dejar constancia en el acta y reportar la novedad al área responsable</t>
        </is>
      </c>
      <c r="J528" s="14" t="inlineStr">
        <is>
          <t>Recibirlo en cuarentena documentada mientras el proveedor renueva el registro</t>
        </is>
      </c>
      <c r="K528" s="14" t="inlineStr">
        <is>
          <t>Recibirlo y usarlo solo en servicios de baja complejidad mientras dure el trámite</t>
        </is>
      </c>
      <c r="L528" s="14" t="inlineStr">
        <is>
          <t>a</t>
        </is>
      </c>
      <c r="M528" s="14" t="inlineStr">
        <is>
          <t>Un producto sin registro sanitario vigente no puede ingresar al inventario ni emplearse en la atención.</t>
        </is>
      </c>
      <c r="N528" s="14" t="inlineStr">
        <is>
          <t>Las opciones b) y c) mantienen en la institución un producto que no cumple la condición sanitaria.</t>
        </is>
      </c>
      <c r="O528" s="14" t="inlineStr">
        <is>
          <t>Decreto 677 de 1995; Resolución 1403 de 2007</t>
        </is>
      </c>
      <c r="P528" s="14" t="inlineStr">
        <is>
          <t>SI</t>
        </is>
      </c>
      <c r="Q528" s="14" t="inlineStr">
        <is>
          <t>Basica</t>
        </is>
      </c>
      <c r="R528" s="14" t="inlineStr">
        <is>
          <t>v2</t>
        </is>
      </c>
    </row>
    <row r="529" ht="57" customHeight="1" s="12">
      <c r="A529" s="14" t="inlineStr">
        <is>
          <t>F0528</t>
        </is>
      </c>
      <c r="B529" s="14" t="inlineStr">
        <is>
          <t>PS 2782 de 2026 - ESE 2 - HUHMP Neiva</t>
        </is>
      </c>
      <c r="C529" s="14" t="inlineStr">
        <is>
          <t>Gestion hospitalaria y organizacion de la E.S.E.</t>
        </is>
      </c>
      <c r="D529" s="14" t="inlineStr">
        <is>
          <t>Tecnico</t>
        </is>
      </c>
      <c r="E529" s="14" t="inlineStr">
        <is>
          <t>C176</t>
        </is>
      </c>
      <c r="F529" s="14" t="inlineStr">
        <is>
          <t>Caso 176</t>
        </is>
      </c>
      <c r="G529" s="14" t="inlineStr">
        <is>
          <t>El almacén recibe un lote de medicamentos el viernes a las 17:30. Vienen tres cajas sin cadena de frío verificada, un producto cuyo registro sanitario aparece vencido y otro con fecha de vencimiento a dos meses. El proveedor pide firmar el acta de recibo completo para poder radicar la factura ese mismo día.</t>
        </is>
      </c>
      <c r="H529" s="14" t="inlineStr">
        <is>
          <t>Los residuos generados al descartar medicamentos vencidos se manejan conforme a:</t>
        </is>
      </c>
      <c r="I529" s="14" t="inlineStr">
        <is>
          <t>El plan de gestión integral de residuos generados en la atención en salud</t>
        </is>
      </c>
      <c r="J529" s="14" t="inlineStr">
        <is>
          <t>El manual de procedimientos administrativos del almacén de la institución</t>
        </is>
      </c>
      <c r="K529" s="14" t="inlineStr">
        <is>
          <t>El contrato de aseo, que incluye la disposición final de todos los residuos</t>
        </is>
      </c>
      <c r="L529" s="14" t="inlineStr">
        <is>
          <t>a</t>
        </is>
      </c>
      <c r="M529" s="14" t="inlineStr">
        <is>
          <t>La disposición de estos residuos se rige por el plan de gestión integral adoptado por la institución.</t>
        </is>
      </c>
      <c r="N529" s="14" t="inlineStr">
        <is>
          <t>La opción b) invoca un documento sin alcance ambiental y la opción c) traslada a un contrato la definición técnica del manejo.</t>
        </is>
      </c>
      <c r="O529" s="14" t="inlineStr">
        <is>
          <t>Decreto 780 de 2016; Resolución 1164 de 2002</t>
        </is>
      </c>
      <c r="P529" s="14" t="inlineStr">
        <is>
          <t>SI</t>
        </is>
      </c>
      <c r="Q529" s="14" t="inlineStr">
        <is>
          <t>Basica</t>
        </is>
      </c>
      <c r="R529" s="14" t="inlineStr">
        <is>
          <t>v2</t>
        </is>
      </c>
    </row>
    <row r="530" ht="57" customHeight="1" s="12">
      <c r="A530" s="14" t="inlineStr">
        <is>
          <t>F0529</t>
        </is>
      </c>
      <c r="B530" s="14" t="inlineStr">
        <is>
          <t>PS 2782 de 2026 - ESE 2 - HUHMP Neiva</t>
        </is>
      </c>
      <c r="C530" s="14" t="inlineStr">
        <is>
          <t>Contratacion en la E.S.E. y transparencia</t>
        </is>
      </c>
      <c r="D530" s="14" t="inlineStr">
        <is>
          <t>Profesional</t>
        </is>
      </c>
      <c r="E530" s="14" t="inlineStr">
        <is>
          <t>C177</t>
        </is>
      </c>
      <c r="F530" s="14" t="inlineStr">
        <is>
          <t>Caso 177</t>
        </is>
      </c>
      <c r="G530" s="14" t="inlineStr">
        <is>
          <t>El hospital, que es una E.S.E., debe contratar el servicio de vigilancia por un año. El jefe de compras afirma que debe abrirse una licitación pública porque el valor es alto; el asesor externo sostiene que basta un acuerdo verbal porque el régimen es privado; y la oficina jurídica recuerda que existe un estatuto adoptado por la junta directiva.</t>
        </is>
      </c>
      <c r="H530" s="14" t="inlineStr">
        <is>
          <t>El régimen contractual aplicable al hospital es:</t>
        </is>
      </c>
      <c r="I530" s="14" t="inlineStr">
        <is>
          <t>El derecho privado, desarrollado en el estatuto de contratación adoptado por su junta directiva</t>
        </is>
      </c>
      <c r="J530" s="14" t="inlineStr">
        <is>
          <t>El Estatuto General de Contratación de la Administración Pública, por manejar recursos públicos</t>
        </is>
      </c>
      <c r="K530" s="14" t="inlineStr">
        <is>
          <t>El régimen mixto, aplicando la Ley 80 de 1993 por encima de la menor cuantía de la entidad</t>
        </is>
      </c>
      <c r="L530" s="14" t="inlineStr">
        <is>
          <t>a</t>
        </is>
      </c>
      <c r="M530" s="14" t="inlineStr">
        <is>
          <t>Las E.S.E. se rigen en materia contractual por el derecho privado y aplican el estatuto adoptado por su junta directiva conforme a los lineamientos del Ministerio.</t>
        </is>
      </c>
      <c r="N530" s="14" t="inlineStr">
        <is>
          <t>Las opciones b) y c) aplican el estatuto general del que la entidad está exceptuada.</t>
        </is>
      </c>
      <c r="O530" s="14" t="inlineStr">
        <is>
          <t>Ley 100 de 1993, art. 195 num. 6; Ley 1438 de 2011, art. 76; Resolución 5185 de 2013</t>
        </is>
      </c>
      <c r="P530" s="14" t="inlineStr">
        <is>
          <t>SI</t>
        </is>
      </c>
      <c r="Q530" s="14" t="inlineStr">
        <is>
          <t>Alta</t>
        </is>
      </c>
      <c r="R530" s="14" t="inlineStr">
        <is>
          <t>v2</t>
        </is>
      </c>
    </row>
    <row r="531" ht="57" customHeight="1" s="12">
      <c r="A531" s="14" t="inlineStr">
        <is>
          <t>F0530</t>
        </is>
      </c>
      <c r="B531" s="14" t="inlineStr">
        <is>
          <t>PS 2782 de 2026 - ESE 2 - HUHMP Neiva</t>
        </is>
      </c>
      <c r="C531" s="14" t="inlineStr">
        <is>
          <t>Contratacion en la E.S.E. y transparencia</t>
        </is>
      </c>
      <c r="D531" s="14" t="inlineStr">
        <is>
          <t>Profesional</t>
        </is>
      </c>
      <c r="E531" s="14" t="inlineStr">
        <is>
          <t>C177</t>
        </is>
      </c>
      <c r="F531" s="14" t="inlineStr">
        <is>
          <t>Caso 177</t>
        </is>
      </c>
      <c r="G531" s="14" t="inlineStr">
        <is>
          <t>El hospital, que es una E.S.E., debe contratar el servicio de vigilancia por un año. El jefe de compras afirma que debe abrirse una licitación pública porque el valor es alto; el asesor externo sostiene que basta un acuerdo verbal porque el régimen es privado; y la oficina jurídica recuerda que existe un estatuto adoptado por la junta directiva.</t>
        </is>
      </c>
      <c r="H531" s="14" t="inlineStr">
        <is>
          <t>La afirmación de que basta un acuerdo verbal desconoce que:</t>
        </is>
      </c>
      <c r="I531" s="14" t="inlineStr">
        <is>
          <t>Los principios de la función administrativa y de la gestión fiscal siguen aplicando a la actividad contractual</t>
        </is>
      </c>
      <c r="J531" s="14" t="inlineStr">
        <is>
          <t>El régimen privado exige siempre escritura pública para los contratos de tracto sucesivo</t>
        </is>
      </c>
      <c r="K531" s="14" t="inlineStr">
        <is>
          <t>La entidad debe pedir autorización previa a la Superintendencia Nacional de Salud para contratar</t>
        </is>
      </c>
      <c r="L531" s="14" t="inlineStr">
        <is>
          <t>a</t>
        </is>
      </c>
      <c r="M531" s="14" t="inlineStr">
        <is>
          <t>Las entidades con régimen contractual excepcional aplican los principios de la función administrativa y de la gestión fiscal, además de la selección objetiva.</t>
        </is>
      </c>
      <c r="N531" s="14" t="inlineStr">
        <is>
          <t>La opción b) inventa una formalidad y la opción c) una autorización que no existen.</t>
        </is>
      </c>
      <c r="O531" s="14" t="inlineStr">
        <is>
          <t>Ley 1150 de 2007, art. 13; Constitución Política de 1991, arts. 209 y 267</t>
        </is>
      </c>
      <c r="P531" s="14" t="inlineStr">
        <is>
          <t>SI</t>
        </is>
      </c>
      <c r="Q531" s="14" t="inlineStr">
        <is>
          <t>Alta</t>
        </is>
      </c>
      <c r="R531" s="14" t="inlineStr">
        <is>
          <t>v2</t>
        </is>
      </c>
    </row>
    <row r="532" ht="57" customHeight="1" s="12">
      <c r="A532" s="14" t="inlineStr">
        <is>
          <t>F0531</t>
        </is>
      </c>
      <c r="B532" s="14" t="inlineStr">
        <is>
          <t>PS 2782 de 2026 - ESE 2 - HUHMP Neiva</t>
        </is>
      </c>
      <c r="C532" s="14" t="inlineStr">
        <is>
          <t>Contratacion en la E.S.E. y transparencia</t>
        </is>
      </c>
      <c r="D532" s="14" t="inlineStr">
        <is>
          <t>Profesional</t>
        </is>
      </c>
      <c r="E532" s="14" t="inlineStr">
        <is>
          <t>C177</t>
        </is>
      </c>
      <c r="F532" s="14" t="inlineStr">
        <is>
          <t>Caso 177</t>
        </is>
      </c>
      <c r="G532" s="14" t="inlineStr">
        <is>
          <t>El hospital, que es una E.S.E., debe contratar el servicio de vigilancia por un año. El jefe de compras afirma que debe abrirse una licitación pública porque el valor es alto; el asesor externo sostiene que basta un acuerdo verbal porque el régimen es privado; y la oficina jurídica recuerda que existe un estatuto adoptado por la junta directiva.</t>
        </is>
      </c>
      <c r="H532" s="14" t="inlineStr">
        <is>
          <t>Frente a la publicidad del proceso, el hospital debe:</t>
        </is>
      </c>
      <c r="I532" s="14" t="inlineStr">
        <is>
          <t>Publicar su actividad contractual en el SECOP, aunque su régimen sea especial</t>
        </is>
      </c>
      <c r="J532" s="14" t="inlineStr">
        <is>
          <t>Publicar únicamente en su página web, por no estar sujeto al estatuto general</t>
        </is>
      </c>
      <c r="K532" s="14" t="inlineStr">
        <is>
          <t>Publicar solo los contratos que superen los cien salarios mínimos mensuales</t>
        </is>
      </c>
      <c r="L532" s="14" t="inlineStr">
        <is>
          <t>a</t>
        </is>
      </c>
      <c r="M532" s="14" t="inlineStr">
        <is>
          <t>Las entidades con régimen especial deben publicar su actividad contractual en el SECOP.</t>
        </is>
      </c>
      <c r="N532" s="14" t="inlineStr">
        <is>
          <t>Las opciones b) y c) restringen la publicidad por medio o por cuantía, sin fundamento legal.</t>
        </is>
      </c>
      <c r="O532" s="14" t="inlineStr">
        <is>
          <t>Ley 1712 de 2014; Ley 2195 de 2022, art. 53</t>
        </is>
      </c>
      <c r="P532" s="14" t="inlineStr">
        <is>
          <t>SI</t>
        </is>
      </c>
      <c r="Q532" s="14" t="inlineStr">
        <is>
          <t>Alta</t>
        </is>
      </c>
      <c r="R532" s="14" t="inlineStr">
        <is>
          <t>v2</t>
        </is>
      </c>
    </row>
    <row r="533" ht="57" customHeight="1" s="12">
      <c r="A533" s="14" t="inlineStr">
        <is>
          <t>F0532</t>
        </is>
      </c>
      <c r="B533" s="14" t="inlineStr">
        <is>
          <t>PS 2782 de 2026 - ESE 2 - HUHMP Neiva</t>
        </is>
      </c>
      <c r="C533" s="14" t="inlineStr">
        <is>
          <t>Contratacion en la E.S.E. y transparencia</t>
        </is>
      </c>
      <c r="D533" s="14" t="inlineStr">
        <is>
          <t>Profesional</t>
        </is>
      </c>
      <c r="E533" s="14" t="inlineStr">
        <is>
          <t>C178</t>
        </is>
      </c>
      <c r="F533" s="14" t="inlineStr">
        <is>
          <t>Caso 178</t>
        </is>
      </c>
      <c r="G533" s="14" t="inlineStr">
        <is>
          <t>Usted supervisa el contrato de un grupo de especialistas que presta servicios en consulta externa. En el segundo mes detecta que dos de los profesionales inscritos en la propuesta no están asistiendo y fueron reemplazados por otros sin informar al hospital. Las agendas se cumplen y no hay quejas de usuarios.</t>
        </is>
      </c>
      <c r="H533" s="14" t="inlineStr">
        <is>
          <t>La sustitución de los profesionales sin informar:</t>
        </is>
      </c>
      <c r="I533" s="14" t="inlineStr">
        <is>
          <t>Es un incumplimiento, porque el perfil del talento humano fue determinante en la selección</t>
        </is>
      </c>
      <c r="J533" s="14" t="inlineStr">
        <is>
          <t>Es irrelevante, porque el objeto contractual se cumple y no hay quejas de los usuarios</t>
        </is>
      </c>
      <c r="K533" s="14" t="inlineStr">
        <is>
          <t>Es admisible si los reemplazos acreditan igual o mejor formación que los inscritos</t>
        </is>
      </c>
      <c r="L533" s="14" t="inlineStr">
        <is>
          <t>a</t>
        </is>
      </c>
      <c r="M533" s="14" t="inlineStr">
        <is>
          <t>El talento humano ofrecido integra la propuesta y su cambio sin aviso constituye incumplimiento, además de afectar la habilitación del servicio.</t>
        </is>
      </c>
      <c r="N533" s="14" t="inlineStr">
        <is>
          <t>La opción b) mide solo el resultado aparente y la opción c) convalida un cambio que debía aprobarse previamente.</t>
        </is>
      </c>
      <c r="O533" s="14" t="inlineStr">
        <is>
          <t>Ley 1474 de 2011, art. 83; Resolución 3100 de 2019</t>
        </is>
      </c>
      <c r="P533" s="14" t="inlineStr">
        <is>
          <t>SI</t>
        </is>
      </c>
      <c r="Q533" s="14" t="inlineStr">
        <is>
          <t>Media</t>
        </is>
      </c>
      <c r="R533" s="14" t="inlineStr">
        <is>
          <t>v2</t>
        </is>
      </c>
    </row>
    <row r="534" ht="57" customHeight="1" s="12">
      <c r="A534" s="14" t="inlineStr">
        <is>
          <t>F0533</t>
        </is>
      </c>
      <c r="B534" s="14" t="inlineStr">
        <is>
          <t>PS 2782 de 2026 - ESE 2 - HUHMP Neiva</t>
        </is>
      </c>
      <c r="C534" s="14" t="inlineStr">
        <is>
          <t>Contratacion en la E.S.E. y transparencia</t>
        </is>
      </c>
      <c r="D534" s="14" t="inlineStr">
        <is>
          <t>Profesional</t>
        </is>
      </c>
      <c r="E534" s="14" t="inlineStr">
        <is>
          <t>C178</t>
        </is>
      </c>
      <c r="F534" s="14" t="inlineStr">
        <is>
          <t>Caso 178</t>
        </is>
      </c>
      <c r="G534" s="14" t="inlineStr">
        <is>
          <t>Usted supervisa el contrato de un grupo de especialistas que presta servicios en consulta externa. En el segundo mes detecta que dos de los profesionales inscritos en la propuesta no están asistiendo y fueron reemplazados por otros sin informar al hospital. Las agendas se cumplen y no hay quejas de usuarios.</t>
        </is>
      </c>
      <c r="H534" s="14" t="inlineStr">
        <is>
          <t>Su actuación inmediata como supervisor es:</t>
        </is>
      </c>
      <c r="I534" s="14" t="inlineStr">
        <is>
          <t>Requerir por escrito al contratista, verificar los perfiles y reportar al ordenador del gasto</t>
        </is>
      </c>
      <c r="J534" s="14" t="inlineStr">
        <is>
          <t>Anotar la novedad por escrito en el informe mensual y llevarla al comité trimestral</t>
        </is>
      </c>
      <c r="K534" s="14" t="inlineStr">
        <is>
          <t>Suspender los pagos del mes hasta que el contratista reincorpore a los profesionales inscritos</t>
        </is>
      </c>
      <c r="L534" s="14" t="inlineStr">
        <is>
          <t>a</t>
        </is>
      </c>
      <c r="M534" s="14" t="inlineStr">
        <is>
          <t>Corresponde requerir por escrito, verificar los perfiles frente a lo ofertado e informar a quien puede adoptar las actuaciones contractuales.</t>
        </is>
      </c>
      <c r="N534" s="14" t="inlineStr">
        <is>
          <t>La opción b) dilata la gestión y la opción c) ejerce una facultad que no es del supervisor.</t>
        </is>
      </c>
      <c r="O534" s="14" t="inlineStr">
        <is>
          <t>Ley 1474 de 2011, arts. 83 y 84</t>
        </is>
      </c>
      <c r="P534" s="14" t="inlineStr">
        <is>
          <t>SI</t>
        </is>
      </c>
      <c r="Q534" s="14" t="inlineStr">
        <is>
          <t>Media</t>
        </is>
      </c>
      <c r="R534" s="14" t="inlineStr">
        <is>
          <t>v2</t>
        </is>
      </c>
    </row>
    <row r="535" ht="57" customHeight="1" s="12">
      <c r="A535" s="14" t="inlineStr">
        <is>
          <t>F0534</t>
        </is>
      </c>
      <c r="B535" s="14" t="inlineStr">
        <is>
          <t>PS 2782 de 2026 - ESE 2 - HUHMP Neiva</t>
        </is>
      </c>
      <c r="C535" s="14" t="inlineStr">
        <is>
          <t>Contratacion en la E.S.E. y transparencia</t>
        </is>
      </c>
      <c r="D535" s="14" t="inlineStr">
        <is>
          <t>Profesional</t>
        </is>
      </c>
      <c r="E535" s="14" t="inlineStr">
        <is>
          <t>C178</t>
        </is>
      </c>
      <c r="F535" s="14" t="inlineStr">
        <is>
          <t>Caso 178</t>
        </is>
      </c>
      <c r="G535" s="14" t="inlineStr">
        <is>
          <t>Usted supervisa el contrato de un grupo de especialistas que presta servicios en consulta externa. En el segundo mes detecta que dos de los profesionales inscritos en la propuesta no están asistiendo y fueron reemplazados por otros sin informar al hospital. Las agendas se cumplen y no hay quejas de usuarios.</t>
        </is>
      </c>
      <c r="H535" s="14" t="inlineStr">
        <is>
          <t>Si los reemplazos no cumplen el perfil declarado en el REPS, la consecuencia adicional es:</t>
        </is>
      </c>
      <c r="I535" s="14" t="inlineStr">
        <is>
          <t>El servicio queda prestándose en condiciones distintas de las habilitadas por el prestador</t>
        </is>
      </c>
      <c r="J535" s="14" t="inlineStr">
        <is>
          <t>El contrato se convierte en un contrato realidad con los profesionales que asistieron</t>
        </is>
      </c>
      <c r="K535" s="14" t="inlineStr">
        <is>
          <t>La entidad responsable de pago puede glosar el total de la facturación del periodo</t>
        </is>
      </c>
      <c r="L535" s="14" t="inlineStr">
        <is>
          <t>a</t>
        </is>
      </c>
      <c r="M535" s="14" t="inlineStr">
        <is>
          <t>Prestar el servicio con talento humano distinto del declarado compromete la condición de habilitación del servicio.</t>
        </is>
      </c>
      <c r="N535" s="14" t="inlineStr">
        <is>
          <t>La opción b) alude a una figura laboral ajena al caso y la opción c) supone una consecuencia contractual que no es automática.</t>
        </is>
      </c>
      <c r="O535" s="14" t="inlineStr">
        <is>
          <t>Resolución 3100 de 2019</t>
        </is>
      </c>
      <c r="P535" s="14" t="inlineStr">
        <is>
          <t>SI</t>
        </is>
      </c>
      <c r="Q535" s="14" t="inlineStr">
        <is>
          <t>Media</t>
        </is>
      </c>
      <c r="R535" s="14" t="inlineStr">
        <is>
          <t>v2</t>
        </is>
      </c>
    </row>
    <row r="536" ht="57" customHeight="1" s="12">
      <c r="A536" s="14" t="inlineStr">
        <is>
          <t>F0535</t>
        </is>
      </c>
      <c r="B536" s="14" t="inlineStr">
        <is>
          <t>PS 2782 de 2026 - ESE 2 - HUHMP Neiva</t>
        </is>
      </c>
      <c r="C536" s="14" t="inlineStr">
        <is>
          <t>Contratacion en la E.S.E. y transparencia</t>
        </is>
      </c>
      <c r="D536" s="14" t="inlineStr">
        <is>
          <t>Profesional</t>
        </is>
      </c>
      <c r="E536" s="14" t="inlineStr">
        <is>
          <t>C179</t>
        </is>
      </c>
      <c r="F536" s="14" t="inlineStr">
        <is>
          <t>Caso 179</t>
        </is>
      </c>
      <c r="G536" s="14" t="inlineStr">
        <is>
          <t>Ante la falla del único equipo de rayos X, la gerencia propone contratar de urgencia el arriendo de un equipo por seis meses. El estatuto de contratación del hospital prevé la contratación directa por urgencia con requisitos específicos. Un asesor propone firmar hoy y documentar después, para no suspender el servicio.</t>
        </is>
      </c>
      <c r="H536" s="14" t="inlineStr">
        <is>
          <t>La contratación directa por urgencia en la E.S.E. exige:</t>
        </is>
      </c>
      <c r="I536" s="14" t="inlineStr">
        <is>
          <t>Que la causal esté prevista en el estatuto y que la decisión se motive antes de contratar</t>
        </is>
      </c>
      <c r="J536" s="14" t="inlineStr">
        <is>
          <t>Que el gerente informe a la junta directiva en la siguiente sesión ordinaria del mes</t>
        </is>
      </c>
      <c r="K536" s="14" t="inlineStr">
        <is>
          <t>Que la Superintendencia Nacional de Salud autorice previamente la modalidad escogida</t>
        </is>
      </c>
      <c r="L536" s="14" t="inlineStr">
        <is>
          <t>a</t>
        </is>
      </c>
      <c r="M536" s="14" t="inlineStr">
        <is>
          <t>La causal debe estar prevista en el estatuto adoptado por la junta y la decisión debe motivarse antes de celebrar el contrato.</t>
        </is>
      </c>
      <c r="N536" s="14" t="inlineStr">
        <is>
          <t>La opción b) convierte en aviso posterior lo que es una motivación previa y la opción c) inventa una autorización externa.</t>
        </is>
      </c>
      <c r="O536" s="14" t="inlineStr">
        <is>
          <t>Ley 1438 de 2011, art. 76; Resolución 5185 de 2013</t>
        </is>
      </c>
      <c r="P536" s="14" t="inlineStr">
        <is>
          <t>SI</t>
        </is>
      </c>
      <c r="Q536" s="14" t="inlineStr">
        <is>
          <t>Alta</t>
        </is>
      </c>
      <c r="R536" s="14" t="inlineStr">
        <is>
          <t>v2</t>
        </is>
      </c>
    </row>
    <row r="537" ht="57" customHeight="1" s="12">
      <c r="A537" s="14" t="inlineStr">
        <is>
          <t>F0536</t>
        </is>
      </c>
      <c r="B537" s="14" t="inlineStr">
        <is>
          <t>PS 2782 de 2026 - ESE 2 - HUHMP Neiva</t>
        </is>
      </c>
      <c r="C537" s="14" t="inlineStr">
        <is>
          <t>Contratacion en la E.S.E. y transparencia</t>
        </is>
      </c>
      <c r="D537" s="14" t="inlineStr">
        <is>
          <t>Profesional</t>
        </is>
      </c>
      <c r="E537" s="14" t="inlineStr">
        <is>
          <t>C179</t>
        </is>
      </c>
      <c r="F537" s="14" t="inlineStr">
        <is>
          <t>Caso 179</t>
        </is>
      </c>
      <c r="G537" s="14" t="inlineStr">
        <is>
          <t>Ante la falla del único equipo de rayos X, la gerencia propone contratar de urgencia el arriendo de un equipo por seis meses. El estatuto de contratación del hospital prevé la contratación directa por urgencia con requisitos específicos. Un asesor propone firmar hoy y documentar después, para no suspender el servicio.</t>
        </is>
      </c>
      <c r="H537" s="14" t="inlineStr">
        <is>
          <t>La propuesta de firmar hoy y documentar después:</t>
        </is>
      </c>
      <c r="I537" s="14" t="inlineStr">
        <is>
          <t>Vulnera el principio de planeación y deja sin soporte la selección del contratista</t>
        </is>
      </c>
      <c r="J537" s="14" t="inlineStr">
        <is>
          <t>Es aceptable en urgencias, siempre que el contrato se legalice dentro del mes siguiente</t>
        </is>
      </c>
      <c r="K537" s="14" t="inlineStr">
        <is>
          <t>Es aceptable si el contratista acepta que el pago quede sujeto a la documentación posterior</t>
        </is>
      </c>
      <c r="L537" s="14" t="inlineStr">
        <is>
          <t>a</t>
        </is>
      </c>
      <c r="M537" s="14" t="inlineStr">
        <is>
          <t>El principio de planeación exige que los soportes precedan la contratación, aun en las causales excepcionales.</t>
        </is>
      </c>
      <c r="N537" s="14" t="inlineStr">
        <is>
          <t>Las opciones b) y c) posponen la justificación de una decisión que ya se habría tomado.</t>
        </is>
      </c>
      <c r="O537" s="14" t="inlineStr">
        <is>
          <t>Ley 1150 de 2007, art. 13; Resolución 5185 de 2013</t>
        </is>
      </c>
      <c r="P537" s="14" t="inlineStr">
        <is>
          <t>SI</t>
        </is>
      </c>
      <c r="Q537" s="14" t="inlineStr">
        <is>
          <t>Alta</t>
        </is>
      </c>
      <c r="R537" s="14" t="inlineStr">
        <is>
          <t>v2</t>
        </is>
      </c>
    </row>
    <row r="538" ht="57" customHeight="1" s="12">
      <c r="A538" s="14" t="inlineStr">
        <is>
          <t>F0537</t>
        </is>
      </c>
      <c r="B538" s="14" t="inlineStr">
        <is>
          <t>PS 2782 de 2026 - ESE 2 - HUHMP Neiva</t>
        </is>
      </c>
      <c r="C538" s="14" t="inlineStr">
        <is>
          <t>Contratacion en la E.S.E. y transparencia</t>
        </is>
      </c>
      <c r="D538" s="14" t="inlineStr">
        <is>
          <t>Profesional</t>
        </is>
      </c>
      <c r="E538" s="14" t="inlineStr">
        <is>
          <t>C179</t>
        </is>
      </c>
      <c r="F538" s="14" t="inlineStr">
        <is>
          <t>Caso 179</t>
        </is>
      </c>
      <c r="G538" s="14" t="inlineStr">
        <is>
          <t>Ante la falla del único equipo de rayos X, la gerencia propone contratar de urgencia el arriendo de un equipo por seis meses. El estatuto de contratación del hospital prevé la contratación directa por urgencia con requisitos específicos. Un asesor propone firmar hoy y documentar después, para no suspender el servicio.</t>
        </is>
      </c>
      <c r="H538" s="14" t="inlineStr">
        <is>
          <t>Un arriendo por seis meses, frente a una falla que se repite cada año:</t>
        </is>
      </c>
      <c r="I538" s="14" t="inlineStr">
        <is>
          <t>Sugiere que la necesidad es permanente y debía atenderse por el procedimiento ordinario</t>
        </is>
      </c>
      <c r="J538" s="14" t="inlineStr">
        <is>
          <t>Confirma la urgencia, porque el servicio no puede interrumpirse en ningún momento</t>
        </is>
      </c>
      <c r="K538" s="14" t="inlineStr">
        <is>
          <t>Es indiferente para la modalidad, que depende solo del valor del contrato a celebrar</t>
        </is>
      </c>
      <c r="L538" s="14" t="inlineStr">
        <is>
          <t>a</t>
        </is>
      </c>
      <c r="M538" s="14" t="inlineStr">
        <is>
          <t>Una necesidad previsible y recurrente no configura urgencia: debe planearse y atenderse por el procedimiento ordinario.</t>
        </is>
      </c>
      <c r="N538" s="14" t="inlineStr">
        <is>
          <t>La opción b) confunde la importancia del servicio con la imprevisibilidad y la opción c) reduce la modalidad a un asunto de cuantía.</t>
        </is>
      </c>
      <c r="O538" s="14" t="inlineStr">
        <is>
          <t>Ley 1150 de 2007, art. 13</t>
        </is>
      </c>
      <c r="P538" s="14" t="inlineStr">
        <is>
          <t>SI</t>
        </is>
      </c>
      <c r="Q538" s="14" t="inlineStr">
        <is>
          <t>Alta</t>
        </is>
      </c>
      <c r="R538" s="14" t="inlineStr">
        <is>
          <t>v2</t>
        </is>
      </c>
    </row>
    <row r="539" ht="57" customHeight="1" s="12">
      <c r="A539" s="14" t="inlineStr">
        <is>
          <t>F0538</t>
        </is>
      </c>
      <c r="B539" s="14" t="inlineStr">
        <is>
          <t>PS 2782 de 2026 - ESE 2 - HUHMP Neiva</t>
        </is>
      </c>
      <c r="C539" s="14" t="inlineStr">
        <is>
          <t>Contratacion en la E.S.E. y transparencia</t>
        </is>
      </c>
      <c r="D539" s="14" t="inlineStr">
        <is>
          <t>Tecnico</t>
        </is>
      </c>
      <c r="E539" s="14" t="inlineStr">
        <is>
          <t>C180</t>
        </is>
      </c>
      <c r="F539" s="14" t="inlineStr">
        <is>
          <t>Caso 180</t>
        </is>
      </c>
      <c r="G539" s="14" t="inlineStr">
        <is>
          <t>Un ciudadano solicita copia del contrato de suministro de alimentos, de sus modificaciones y de los pagos realizados. El área de contratación duda porque el contrato contiene la fórmula de costos del contratista, marcada por él como reservada, y los soportes de pago incluyen datos personales de los manipuladores de alimentos.</t>
        </is>
      </c>
      <c r="H539" s="14" t="inlineStr">
        <is>
          <t>Frente a la solicitud, la entidad debe:</t>
        </is>
      </c>
      <c r="I539" s="14" t="inlineStr">
        <is>
          <t>Entregar la información pública y proteger con tacha únicamente lo cobijado por reserva legal</t>
        </is>
      </c>
      <c r="J539" s="14" t="inlineStr">
        <is>
          <t>Negar la entrega completa, porque el contrato contiene información marcada como reservada</t>
        </is>
      </c>
      <c r="K539" s="14" t="inlineStr">
        <is>
          <t>Remitir al ciudadano al contratista para que sea él quien autorice qué puede entregarse</t>
        </is>
      </c>
      <c r="L539" s="14" t="inlineStr">
        <is>
          <t>a</t>
        </is>
      </c>
      <c r="M539" s="14" t="inlineStr">
        <is>
          <t>La regla es la publicidad: se entrega la información y se protege con tacha solo lo amparado por una reserva legal.</t>
        </is>
      </c>
      <c r="N539" s="14" t="inlineStr">
        <is>
          <t>La opción b) extiende la reserva a todo el documento y la opción c) traslada al particular una decisión de la entidad.</t>
        </is>
      </c>
      <c r="O539" s="14" t="inlineStr">
        <is>
          <t>Ley 1712 de 2014, arts. 2, 18 y 21</t>
        </is>
      </c>
      <c r="P539" s="14" t="inlineStr">
        <is>
          <t>SI</t>
        </is>
      </c>
      <c r="Q539" s="14" t="inlineStr">
        <is>
          <t>Media</t>
        </is>
      </c>
      <c r="R539" s="14" t="inlineStr">
        <is>
          <t>v2</t>
        </is>
      </c>
    </row>
    <row r="540" ht="57" customHeight="1" s="12">
      <c r="A540" s="14" t="inlineStr">
        <is>
          <t>F0539</t>
        </is>
      </c>
      <c r="B540" s="14" t="inlineStr">
        <is>
          <t>PS 2782 de 2026 - ESE 2 - HUHMP Neiva</t>
        </is>
      </c>
      <c r="C540" s="14" t="inlineStr">
        <is>
          <t>Contratacion en la E.S.E. y transparencia</t>
        </is>
      </c>
      <c r="D540" s="14" t="inlineStr">
        <is>
          <t>Tecnico</t>
        </is>
      </c>
      <c r="E540" s="14" t="inlineStr">
        <is>
          <t>C180</t>
        </is>
      </c>
      <c r="F540" s="14" t="inlineStr">
        <is>
          <t>Caso 180</t>
        </is>
      </c>
      <c r="G540" s="14" t="inlineStr">
        <is>
          <t>Un ciudadano solicita copia del contrato de suministro de alimentos, de sus modificaciones y de los pagos realizados. El área de contratación duda porque el contrato contiene la fórmula de costos del contratista, marcada por él como reservada, y los soportes de pago incluyen datos personales de los manipuladores de alimentos.</t>
        </is>
      </c>
      <c r="H540" s="14" t="inlineStr">
        <is>
          <t>La marca de «reservado» puesta por el contratista:</t>
        </is>
      </c>
      <c r="I540" s="14" t="inlineStr">
        <is>
          <t>No define por sí sola la reserva, que solo puede fundarse en una excepción legal</t>
        </is>
      </c>
      <c r="J540" s="14" t="inlineStr">
        <is>
          <t>Obliga a la entidad, porque protege el secreto empresarial del contratista privado</t>
        </is>
      </c>
      <c r="K540" s="14" t="inlineStr">
        <is>
          <t>Obliga mientras esté vigente el contrato y deja de aplicar una vez este se liquide</t>
        </is>
      </c>
      <c r="L540" s="14" t="inlineStr">
        <is>
          <t>a</t>
        </is>
      </c>
      <c r="M540" s="14" t="inlineStr">
        <is>
          <t>La reserva debe fundarse en una excepción constitucional o legal; la calificación unilateral del particular no la constituye.</t>
        </is>
      </c>
      <c r="N540" s="14" t="inlineStr">
        <is>
          <t>Las opciones b) y c) otorgan a esa marca un efecto jurídico que no tiene por sí misma.</t>
        </is>
      </c>
      <c r="O540" s="14" t="inlineStr">
        <is>
          <t>Ley 1712 de 2014, arts. 18 y 19</t>
        </is>
      </c>
      <c r="P540" s="14" t="inlineStr">
        <is>
          <t>SI</t>
        </is>
      </c>
      <c r="Q540" s="14" t="inlineStr">
        <is>
          <t>Media</t>
        </is>
      </c>
      <c r="R540" s="14" t="inlineStr">
        <is>
          <t>v2</t>
        </is>
      </c>
    </row>
    <row r="541" ht="57" customHeight="1" s="12">
      <c r="A541" s="14" t="inlineStr">
        <is>
          <t>F0540</t>
        </is>
      </c>
      <c r="B541" s="14" t="inlineStr">
        <is>
          <t>PS 2782 de 2026 - ESE 2 - HUHMP Neiva</t>
        </is>
      </c>
      <c r="C541" s="14" t="inlineStr">
        <is>
          <t>Contratacion en la E.S.E. y transparencia</t>
        </is>
      </c>
      <c r="D541" s="14" t="inlineStr">
        <is>
          <t>Tecnico</t>
        </is>
      </c>
      <c r="E541" s="14" t="inlineStr">
        <is>
          <t>C180</t>
        </is>
      </c>
      <c r="F541" s="14" t="inlineStr">
        <is>
          <t>Caso 180</t>
        </is>
      </c>
      <c r="G541" s="14" t="inlineStr">
        <is>
          <t>Un ciudadano solicita copia del contrato de suministro de alimentos, de sus modificaciones y de los pagos realizados. El área de contratación duda porque el contrato contiene la fórmula de costos del contratista, marcada por él como reservada, y los soportes de pago incluyen datos personales de los manipuladores de alimentos.</t>
        </is>
      </c>
      <c r="H541" s="14" t="inlineStr">
        <is>
          <t>Los datos personales de los manipuladores de alimentos en los soportes:</t>
        </is>
      </c>
      <c r="I541" s="14" t="inlineStr">
        <is>
          <t>Se protegen mediante disociación o tacha, sin que ello justifique negar el resto</t>
        </is>
      </c>
      <c r="J541" s="14" t="inlineStr">
        <is>
          <t>Se entregan completos, porque hacen parte de la ejecución de un contrato público</t>
        </is>
      </c>
      <c r="K541" s="14" t="inlineStr">
        <is>
          <t>Obligan a negar la solicitud, porque la entidad no puede divulgar datos de terceros</t>
        </is>
      </c>
      <c r="L541" s="14" t="inlineStr">
        <is>
          <t>a</t>
        </is>
      </c>
      <c r="M541" s="14" t="inlineStr">
        <is>
          <t>Se protege el dato personal de terceros y se entrega el resto de la información pública solicitada.</t>
        </is>
      </c>
      <c r="N541" s="14" t="inlineStr">
        <is>
          <t>La opción b) desconoce la protección de datos y la opción c) niega información pública por una protección que se resuelve con tacha.</t>
        </is>
      </c>
      <c r="O541" s="14" t="inlineStr">
        <is>
          <t>Ley 1712 de 2014, art. 21; Ley 1581 de 2012</t>
        </is>
      </c>
      <c r="P541" s="14" t="inlineStr">
        <is>
          <t>SI</t>
        </is>
      </c>
      <c r="Q541" s="14" t="inlineStr">
        <is>
          <t>Media</t>
        </is>
      </c>
      <c r="R541" s="14" t="inlineStr">
        <is>
          <t>v2</t>
        </is>
      </c>
    </row>
    <row r="542" ht="57" customHeight="1" s="12">
      <c r="A542" s="14" t="inlineStr">
        <is>
          <t>F0541</t>
        </is>
      </c>
      <c r="B542" s="14" t="inlineStr">
        <is>
          <t>PS 2782 de 2026 - ESE 2 - HUHMP Neiva</t>
        </is>
      </c>
      <c r="C542" s="14" t="inlineStr">
        <is>
          <t>Regimen disciplinario y CPACA</t>
        </is>
      </c>
      <c r="D542" s="14" t="inlineStr">
        <is>
          <t>Profesional</t>
        </is>
      </c>
      <c r="E542" s="14" t="inlineStr">
        <is>
          <t>C181</t>
        </is>
      </c>
      <c r="F542" s="14" t="inlineStr">
        <is>
          <t>Caso 181</t>
        </is>
      </c>
      <c r="G542" s="14" t="inlineStr">
        <is>
          <t>El 3 de abril llega una queja anónima contra un servidor del área de facturación: afirma que cobra por agilizar trámites y anexa dos pantallazos de chat sin remitente identificable. El jefe de la oficina de control interno disciplinario duda entre archivar por anónima, abrir indagación o pedirle explicaciones verbales al servidor.</t>
        </is>
      </c>
      <c r="H542" s="14" t="inlineStr">
        <is>
          <t>¿Qué corresponde hacer con esa queja?</t>
        </is>
      </c>
      <c r="I542" s="14" t="inlineStr">
        <is>
          <t>Archivar la queja de plano, conforme al principio de economía, por provenir de autor anónimo</t>
        </is>
      </c>
      <c r="J542" s="14" t="inlineStr">
        <is>
          <t>Valorar el mérito de la información anexa y, si la hay, abrir la actuación que corresponda</t>
        </is>
      </c>
      <c r="K542" s="14" t="inlineStr">
        <is>
          <t>Pedir explicaciones verbales al servidor y decidir según lo que él responda en el momento</t>
        </is>
      </c>
      <c r="L542" s="14" t="inlineStr">
        <is>
          <t>b</t>
        </is>
      </c>
      <c r="M542" s="14" t="inlineStr">
        <is>
          <t>La queja anónima se tramita cuando aporta medios probatorios o indicios que permitan adelantar la actuación; lo que se valora es el mérito de la información, no la firma.</t>
        </is>
      </c>
      <c r="N542" s="14" t="inlineStr">
        <is>
          <t>La opción a) cierra el caso por la forma pese a existir soportes; la opción c) inicia una averiguación informal sin garantías para el investigado.</t>
        </is>
      </c>
      <c r="O542" s="14" t="inlineStr">
        <is>
          <t>Ley 1952 de 2019; Ley 1755 de 2015</t>
        </is>
      </c>
      <c r="P542" s="14" t="inlineStr">
        <is>
          <t>SI</t>
        </is>
      </c>
      <c r="Q542" s="14" t="inlineStr">
        <is>
          <t>Alta</t>
        </is>
      </c>
      <c r="R542" s="14" t="inlineStr">
        <is>
          <t>v2</t>
        </is>
      </c>
    </row>
    <row r="543" ht="57" customHeight="1" s="12">
      <c r="A543" s="14" t="inlineStr">
        <is>
          <t>F0542</t>
        </is>
      </c>
      <c r="B543" s="14" t="inlineStr">
        <is>
          <t>PS 2782 de 2026 - ESE 2 - HUHMP Neiva</t>
        </is>
      </c>
      <c r="C543" s="14" t="inlineStr">
        <is>
          <t>Regimen disciplinario y CPACA</t>
        </is>
      </c>
      <c r="D543" s="14" t="inlineStr">
        <is>
          <t>Profesional</t>
        </is>
      </c>
      <c r="E543" s="14" t="inlineStr">
        <is>
          <t>C181</t>
        </is>
      </c>
      <c r="F543" s="14" t="inlineStr">
        <is>
          <t>Caso 181</t>
        </is>
      </c>
      <c r="G543" s="14" t="inlineStr">
        <is>
          <t>El 3 de abril llega una queja anónima contra un servidor del área de facturación: afirma que cobra por agilizar trámites y anexa dos pantallazos de chat sin remitente identificable. El jefe de la oficina de control interno disciplinario duda entre archivar por anónima, abrir indagación o pedirle explicaciones verbales al servidor.</t>
        </is>
      </c>
      <c r="H543" s="14" t="inlineStr">
        <is>
          <t>Los pantallazos aportados, como prueba, deben:</t>
        </is>
      </c>
      <c r="I543" s="14" t="inlineStr">
        <is>
          <t>Incorporarse al expediente y valorarse conforme a las reglas de la sana crítica</t>
        </is>
      </c>
      <c r="J543" s="14" t="inlineStr">
        <is>
          <t>Descartarse por provenir de un medio digital sin certificación de autenticidad</t>
        </is>
      </c>
      <c r="K543" s="14" t="inlineStr">
        <is>
          <t>Aceptarse como plena prueba, por tratarse de documentos aportados por el quejoso</t>
        </is>
      </c>
      <c r="L543" s="14" t="inlineStr">
        <is>
          <t>a</t>
        </is>
      </c>
      <c r="M543" s="14" t="inlineStr">
        <is>
          <t>El medio digital es un medio de prueba válido y se valora conforme a las reglas de la sana crítica, junto con el resto del acervo.</t>
        </is>
      </c>
      <c r="N543" s="14" t="inlineStr">
        <is>
          <t>La opción b) lo excluye por su soporte y la opción c) le da un valor tarifado que el ordenamiento no reconoce.</t>
        </is>
      </c>
      <c r="O543" s="14" t="inlineStr">
        <is>
          <t>Ley 1952 de 2019; Ley 1564 de 2012</t>
        </is>
      </c>
      <c r="P543" s="14" t="inlineStr">
        <is>
          <t>SI</t>
        </is>
      </c>
      <c r="Q543" s="14" t="inlineStr">
        <is>
          <t>Alta</t>
        </is>
      </c>
      <c r="R543" s="14" t="inlineStr">
        <is>
          <t>v2</t>
        </is>
      </c>
    </row>
    <row r="544" ht="57" customHeight="1" s="12">
      <c r="A544" s="14" t="inlineStr">
        <is>
          <t>F0543</t>
        </is>
      </c>
      <c r="B544" s="14" t="inlineStr">
        <is>
          <t>PS 2782 de 2026 - ESE 2 - HUHMP Neiva</t>
        </is>
      </c>
      <c r="C544" s="14" t="inlineStr">
        <is>
          <t>Regimen disciplinario y CPACA</t>
        </is>
      </c>
      <c r="D544" s="14" t="inlineStr">
        <is>
          <t>Profesional</t>
        </is>
      </c>
      <c r="E544" s="14" t="inlineStr">
        <is>
          <t>C181</t>
        </is>
      </c>
      <c r="F544" s="14" t="inlineStr">
        <is>
          <t>Caso 181</t>
        </is>
      </c>
      <c r="G544" s="14" t="inlineStr">
        <is>
          <t>El 3 de abril llega una queja anónima contra un servidor del área de facturación: afirma que cobra por agilizar trámites y anexa dos pantallazos de chat sin remitente identificable. El jefe de la oficina de control interno disciplinario duda entre archivar por anónima, abrir indagación o pedirle explicaciones verbales al servidor.</t>
        </is>
      </c>
      <c r="H544" s="14" t="inlineStr">
        <is>
          <t>Si la conducta se comprueba, además de la falta disciplinaria podría configurarse:</t>
        </is>
      </c>
      <c r="I544" s="14" t="inlineStr">
        <is>
          <t>Un delito contra la administración pública, que debe ponerse en conocimiento de la Fiscalía</t>
        </is>
      </c>
      <c r="J544" s="14" t="inlineStr">
        <is>
          <t>Una falta administrativa sancionable por la Superintendencia Nacional de Salud</t>
        </is>
      </c>
      <c r="K544" s="14" t="inlineStr">
        <is>
          <t>Una responsabilidad fiscal, que investiga la Contraloría por el daño al patrimonio</t>
        </is>
      </c>
      <c r="L544" s="14" t="inlineStr">
        <is>
          <t>a</t>
        </is>
      </c>
      <c r="M544" s="14" t="inlineStr">
        <is>
          <t>Cobrar por agilizar un trámite propio del cargo puede tipificar concusión o cohecho, y el hecho debe ponerse en conocimiento de la Fiscalía.</t>
        </is>
      </c>
      <c r="N544" s="14" t="inlineStr">
        <is>
          <t>La opción b) corresponde a la vigilancia del sector salud y la opción c) exige un daño patrimonial que aquí no se describe.</t>
        </is>
      </c>
      <c r="O544" s="14" t="inlineStr">
        <is>
          <t>Código Penal, arts. 404 y 405; Ley 1952 de 2019</t>
        </is>
      </c>
      <c r="P544" s="14" t="inlineStr">
        <is>
          <t>SI</t>
        </is>
      </c>
      <c r="Q544" s="14" t="inlineStr">
        <is>
          <t>Alta</t>
        </is>
      </c>
      <c r="R544" s="14" t="inlineStr">
        <is>
          <t>v2</t>
        </is>
      </c>
    </row>
    <row r="545" ht="57" customHeight="1" s="12">
      <c r="A545" s="14" t="inlineStr">
        <is>
          <t>F0544</t>
        </is>
      </c>
      <c r="B545" s="14" t="inlineStr">
        <is>
          <t>PS 2782 de 2026 - ESE 2 - HUHMP Neiva</t>
        </is>
      </c>
      <c r="C545" s="14" t="inlineStr">
        <is>
          <t>Regimen disciplinario y CPACA</t>
        </is>
      </c>
      <c r="D545" s="14" t="inlineStr">
        <is>
          <t>Profesional</t>
        </is>
      </c>
      <c r="E545" s="14" t="inlineStr">
        <is>
          <t>C182</t>
        </is>
      </c>
      <c r="F545" s="14" t="inlineStr">
        <is>
          <t>Caso 182</t>
        </is>
      </c>
      <c r="G545" s="14" t="inlineStr">
        <is>
          <t>Un servidor con veintidós años en la entidad y sin antecedentes disciplinarios incurre en una falta grave culposa: omitió reportar a tiempo una novedad que causó un retraso administrativo, sin daño patrimonial. El operador disciplinario debe dosificar la sanción y el jefe de la dependencia pide «mano dura» para dar ejemplo al resto del equipo.</t>
        </is>
      </c>
      <c r="H545" s="14" t="inlineStr">
        <is>
          <t>¿Cómo debe dosificarse la sanción?</t>
        </is>
      </c>
      <c r="I545" s="14" t="inlineStr">
        <is>
          <t>Aplicar la sanción máxima prevista, conforme a la finalidad preventiva del régimen</t>
        </is>
      </c>
      <c r="J545" s="14" t="inlineStr">
        <is>
          <t>Graduar la sanción valorando los criterios legales, entre ellos la ausencia de antecedentes</t>
        </is>
      </c>
      <c r="K545" s="14" t="inlineStr">
        <is>
          <t>Aplicar la sanción mínima, conforme a la antigüedad y la hoja de vida del servidor</t>
        </is>
      </c>
      <c r="L545" s="14" t="inlineStr">
        <is>
          <t>b</t>
        </is>
      </c>
      <c r="M545" s="14" t="inlineStr">
        <is>
          <t>La dosificación exige valorar los criterios legales de graduación, como la modalidad de la conducta, el perjuicio causado y los antecedentes, sin partir del extremo.</t>
        </is>
      </c>
      <c r="N545" s="14" t="inlineStr">
        <is>
          <t>Las opciones a) y c) parten de un extremo fijo, una por el efecto ejemplarizante y otra por la hoja de vida, en lugar de ponderar los criterios.</t>
        </is>
      </c>
      <c r="O545" s="14" t="inlineStr">
        <is>
          <t>Ley 1952 de 2019, arts. 47 y 49</t>
        </is>
      </c>
      <c r="P545" s="14" t="inlineStr">
        <is>
          <t>SI</t>
        </is>
      </c>
      <c r="Q545" s="14" t="inlineStr">
        <is>
          <t>Media</t>
        </is>
      </c>
      <c r="R545" s="14" t="inlineStr">
        <is>
          <t>v2</t>
        </is>
      </c>
    </row>
    <row r="546" ht="57" customHeight="1" s="12">
      <c r="A546" s="14" t="inlineStr">
        <is>
          <t>F0545</t>
        </is>
      </c>
      <c r="B546" s="14" t="inlineStr">
        <is>
          <t>PS 2782 de 2026 - ESE 2 - HUHMP Neiva</t>
        </is>
      </c>
      <c r="C546" s="14" t="inlineStr">
        <is>
          <t>Regimen disciplinario y CPACA</t>
        </is>
      </c>
      <c r="D546" s="14" t="inlineStr">
        <is>
          <t>Profesional</t>
        </is>
      </c>
      <c r="E546" s="14" t="inlineStr">
        <is>
          <t>C182</t>
        </is>
      </c>
      <c r="F546" s="14" t="inlineStr">
        <is>
          <t>Caso 182</t>
        </is>
      </c>
      <c r="G546" s="14" t="inlineStr">
        <is>
          <t>Un servidor con veintidós años en la entidad y sin antecedentes disciplinarios incurre en una falta grave culposa: omitió reportar a tiempo una novedad que causó un retraso administrativo, sin daño patrimonial. El operador disciplinario debe dosificar la sanción y el jefe de la dependencia pide «mano dura» para dar ejemplo al resto del equipo.</t>
        </is>
      </c>
      <c r="H546" s="14" t="inlineStr">
        <is>
          <t>A una falta grave culposa le corresponde, como regla, la sanción de:</t>
        </is>
      </c>
      <c r="I546" s="14" t="inlineStr">
        <is>
          <t>Destitución del cargo e inhabilidad general por el término que fije la ley</t>
        </is>
      </c>
      <c r="J546" s="14" t="inlineStr">
        <is>
          <t>Suspensión en el ejercicio del cargo, sin que proceda la inhabilidad especial</t>
        </is>
      </c>
      <c r="K546" s="14" t="inlineStr">
        <is>
          <t>Multa, que se liquida conforme al salario devengado al momento de la falta</t>
        </is>
      </c>
      <c r="L546" s="14" t="inlineStr">
        <is>
          <t>c</t>
        </is>
      </c>
      <c r="M546" s="14" t="inlineStr">
        <is>
          <t>A las faltas graves culposas les corresponde multa; la suspensión e inhabilidad especial aplican a las graves dolosas o gravísimas culposas.</t>
        </is>
      </c>
      <c r="N546" s="14" t="inlineStr">
        <is>
          <t>La opción a) corresponde a las gravísimas dolosas y la opción b) describe una sanción de otro rango, además de excluir la inhabilidad que la acompaña.</t>
        </is>
      </c>
      <c r="O546" s="14" t="inlineStr">
        <is>
          <t>Ley 1952 de 2019, art. 48</t>
        </is>
      </c>
      <c r="P546" s="14" t="inlineStr">
        <is>
          <t>SI</t>
        </is>
      </c>
      <c r="Q546" s="14" t="inlineStr">
        <is>
          <t>Media</t>
        </is>
      </c>
      <c r="R546" s="14" t="inlineStr">
        <is>
          <t>v2</t>
        </is>
      </c>
    </row>
    <row r="547" ht="57" customHeight="1" s="12">
      <c r="A547" s="14" t="inlineStr">
        <is>
          <t>F0546</t>
        </is>
      </c>
      <c r="B547" s="14" t="inlineStr">
        <is>
          <t>PS 2782 de 2026 - ESE 2 - HUHMP Neiva</t>
        </is>
      </c>
      <c r="C547" s="14" t="inlineStr">
        <is>
          <t>Regimen disciplinario y CPACA</t>
        </is>
      </c>
      <c r="D547" s="14" t="inlineStr">
        <is>
          <t>Profesional</t>
        </is>
      </c>
      <c r="E547" s="14" t="inlineStr">
        <is>
          <t>C182</t>
        </is>
      </c>
      <c r="F547" s="14" t="inlineStr">
        <is>
          <t>Caso 182</t>
        </is>
      </c>
      <c r="G547" s="14" t="inlineStr">
        <is>
          <t>Un servidor con veintidós años en la entidad y sin antecedentes disciplinarios incurre en una falta grave culposa: omitió reportar a tiempo una novedad que causó un retraso administrativo, sin daño patrimonial. El operador disciplinario debe dosificar la sanción y el jefe de la dependencia pide «mano dura» para dar ejemplo al resto del equipo.</t>
        </is>
      </c>
      <c r="H547" s="14" t="inlineStr">
        <is>
          <t>El jefe insiste en que la sanción se divulgue en cartelera para «sentar precedente». Eso:</t>
        </is>
      </c>
      <c r="I547" s="14" t="inlineStr">
        <is>
          <t>Procede, dejando constancia de la publicación en el expediente disciplinario del servidor</t>
        </is>
      </c>
      <c r="J547" s="14" t="inlineStr">
        <is>
          <t>No procede: la sanción se anota en el registro dispuesto por la ley, no se expone al personal</t>
        </is>
      </c>
      <c r="K547" s="14" t="inlineStr">
        <is>
          <t>Procede solo si el servidor autoriza por escrito la divulgación de la decisión adoptada</t>
        </is>
      </c>
      <c r="L547" s="14" t="inlineStr">
        <is>
          <t>b</t>
        </is>
      </c>
      <c r="M547" s="14" t="inlineStr">
        <is>
          <t>La sanción se comunica y se registra ante la autoridad competente; exponerla al personal vulnera la dignidad y el tratamiento de datos del servidor.</t>
        </is>
      </c>
      <c r="N547" s="14" t="inlineStr">
        <is>
          <t>La opción a) valida la exposición con un formalismo y la opción c) somete a autorización algo que no debe hacerse.</t>
        </is>
      </c>
      <c r="O547" s="14" t="inlineStr">
        <is>
          <t>Ley 1952 de 2019; Ley 1581 de 2012</t>
        </is>
      </c>
      <c r="P547" s="14" t="inlineStr">
        <is>
          <t>SI</t>
        </is>
      </c>
      <c r="Q547" s="14" t="inlineStr">
        <is>
          <t>Media</t>
        </is>
      </c>
      <c r="R547" s="14" t="inlineStr">
        <is>
          <t>v2</t>
        </is>
      </c>
    </row>
    <row r="548" ht="45.75" customHeight="1" s="12">
      <c r="A548" s="14" t="inlineStr">
        <is>
          <t>F0547</t>
        </is>
      </c>
      <c r="B548" s="14" t="inlineStr">
        <is>
          <t>PS 2782 de 2026 - ESE 2 - HUHMP Neiva</t>
        </is>
      </c>
      <c r="C548" s="14" t="inlineStr">
        <is>
          <t>Regimen disciplinario y CPACA</t>
        </is>
      </c>
      <c r="D548" s="14" t="inlineStr">
        <is>
          <t>Profesional</t>
        </is>
      </c>
      <c r="E548" s="14" t="inlineStr">
        <is>
          <t>C183</t>
        </is>
      </c>
      <c r="F548" s="14" t="inlineStr">
        <is>
          <t>Caso 183</t>
        </is>
      </c>
      <c r="G548" s="14" t="inlineStr">
        <is>
          <t>Durante una investigación, el operador disciplinario advierte que la conducta ocurrió hace cuatro años y siete meses y que aún no se ha proferido el auto de apertura. El quejoso presiona para que se avance y el jefe pide «no dejar impune el caso». El expediente está completo y la prueba es sólida.</t>
        </is>
      </c>
      <c r="H548" s="14" t="inlineStr">
        <is>
          <t>¿Qué debe hacer el operador disciplinario?</t>
        </is>
      </c>
      <c r="I548" s="14" t="inlineStr">
        <is>
          <t>Continuar la actuación, dado que la prueba es sólida y el expediente está completo</t>
        </is>
      </c>
      <c r="J548" s="14" t="inlineStr">
        <is>
          <t>Verificar el término de caducidad y, si se cumplió, declararla mediante decisión motivada</t>
        </is>
      </c>
      <c r="K548" s="14" t="inlineStr">
        <is>
          <t>Suspender la actuación hasta que el quejoso ratifique su interés en el proceso</t>
        </is>
      </c>
      <c r="L548" s="14" t="inlineStr">
        <is>
          <t>b</t>
        </is>
      </c>
      <c r="M548" s="14" t="inlineStr">
        <is>
          <t>La caducidad opera por el transcurso del término legal desde la ocurrencia de la falta sin que se haya proferido el auto de apertura, y debe declararse aunque la prueba sea sólida.</t>
        </is>
      </c>
      <c r="N548" s="14" t="inlineStr">
        <is>
          <t>La opción a) desconoce un término de orden público y la opción c) condiciona la actuación a la voluntad del quejoso.</t>
        </is>
      </c>
      <c r="O548" s="14" t="inlineStr">
        <is>
          <t>Ley 1952 de 2019, art. 33</t>
        </is>
      </c>
      <c r="P548" s="14" t="inlineStr">
        <is>
          <t>SI</t>
        </is>
      </c>
      <c r="Q548" s="14" t="inlineStr">
        <is>
          <t>Alta</t>
        </is>
      </c>
      <c r="R548" s="14" t="inlineStr">
        <is>
          <t>v2</t>
        </is>
      </c>
    </row>
    <row r="549" ht="45.75" customHeight="1" s="12">
      <c r="A549" s="14" t="inlineStr">
        <is>
          <t>F0548</t>
        </is>
      </c>
      <c r="B549" s="14" t="inlineStr">
        <is>
          <t>PS 2782 de 2026 - ESE 2 - HUHMP Neiva</t>
        </is>
      </c>
      <c r="C549" s="14" t="inlineStr">
        <is>
          <t>Regimen disciplinario y CPACA</t>
        </is>
      </c>
      <c r="D549" s="14" t="inlineStr">
        <is>
          <t>Profesional</t>
        </is>
      </c>
      <c r="E549" s="14" t="inlineStr">
        <is>
          <t>C183</t>
        </is>
      </c>
      <c r="F549" s="14" t="inlineStr">
        <is>
          <t>Caso 183</t>
        </is>
      </c>
      <c r="G549" s="14" t="inlineStr">
        <is>
          <t>Durante una investigación, el operador disciplinario advierte que la conducta ocurrió hace cuatro años y siete meses y que aún no se ha proferido el auto de apertura. El quejoso presiona para que se avance y el jefe pide «no dejar impune el caso». El expediente está completo y la prueba es sólida.</t>
        </is>
      </c>
      <c r="H549" s="14" t="inlineStr">
        <is>
          <t>La diferencia entre caducidad y prescripción, en materia disciplinaria, es que:</t>
        </is>
      </c>
      <c r="I549" s="14" t="inlineStr">
        <is>
          <t>La caducidad impide iniciar la actuación y la prescripción extingue la ya iniciada</t>
        </is>
      </c>
      <c r="J549" s="14" t="inlineStr">
        <is>
          <t>La caducidad extingue la sanción impuesta y la prescripción impide ejecutarla</t>
        </is>
      </c>
      <c r="K549" s="14" t="inlineStr">
        <is>
          <t>La caducidad opera de oficio y la prescripción solo a solicitud del investigado</t>
        </is>
      </c>
      <c r="L549" s="14" t="inlineStr">
        <is>
          <t>a</t>
        </is>
      </c>
      <c r="M549" s="14" t="inlineStr">
        <is>
          <t>La caducidad impide iniciar la actuación por el paso del tiempo desde el hecho; la prescripción extingue la acción ya iniciada.</t>
        </is>
      </c>
      <c r="N549" s="14" t="inlineStr">
        <is>
          <t>La opción b) traslada ambas figuras a la etapa de ejecución y la opción c) las distingue por quién las alega, que no es el criterio.</t>
        </is>
      </c>
      <c r="O549" s="14" t="inlineStr">
        <is>
          <t>Ley 1952 de 2019, art. 33</t>
        </is>
      </c>
      <c r="P549" s="14" t="inlineStr">
        <is>
          <t>SI</t>
        </is>
      </c>
      <c r="Q549" s="14" t="inlineStr">
        <is>
          <t>Alta</t>
        </is>
      </c>
      <c r="R549" s="14" t="inlineStr">
        <is>
          <t>v2</t>
        </is>
      </c>
    </row>
    <row r="550" ht="45.75" customHeight="1" s="12">
      <c r="A550" s="14" t="inlineStr">
        <is>
          <t>F0549</t>
        </is>
      </c>
      <c r="B550" s="14" t="inlineStr">
        <is>
          <t>PS 2782 de 2026 - ESE 2 - HUHMP Neiva</t>
        </is>
      </c>
      <c r="C550" s="14" t="inlineStr">
        <is>
          <t>Regimen disciplinario y CPACA</t>
        </is>
      </c>
      <c r="D550" s="14" t="inlineStr">
        <is>
          <t>Profesional</t>
        </is>
      </c>
      <c r="E550" s="14" t="inlineStr">
        <is>
          <t>C183</t>
        </is>
      </c>
      <c r="F550" s="14" t="inlineStr">
        <is>
          <t>Caso 183</t>
        </is>
      </c>
      <c r="G550" s="14" t="inlineStr">
        <is>
          <t>Durante una investigación, el operador disciplinario advierte que la conducta ocurrió hace cuatro años y siete meses y que aún no se ha proferido el auto de apertura. El quejoso presiona para que se avance y el jefe pide «no dejar impune el caso». El expediente está completo y la prueba es sólida.</t>
        </is>
      </c>
      <c r="H550" s="14" t="inlineStr">
        <is>
          <t>Frente a la presión del quejoso, la actuación del operador debe:</t>
        </is>
      </c>
      <c r="I550" s="14" t="inlineStr">
        <is>
          <t>Ajustarse a la ley y responder al quejoso explicando la decisión y sus fundamentos</t>
        </is>
      </c>
      <c r="J550" s="14" t="inlineStr">
        <is>
          <t>Ajustarse a la instrucción del jefe, que responde por los resultados de la oficina</t>
        </is>
      </c>
      <c r="K550" s="14" t="inlineStr">
        <is>
          <t>Ajustarse al interés del quejoso, que es el titular de la queja presentada</t>
        </is>
      </c>
      <c r="L550" s="14" t="inlineStr">
        <is>
          <t>a</t>
        </is>
      </c>
      <c r="M550" s="14" t="inlineStr">
        <is>
          <t>El operador disciplinario actúa con independencia y autonomía, con sujeción a la ley, e informa al quejoso el sentido de la decisión.</t>
        </is>
      </c>
      <c r="N550" s="14" t="inlineStr">
        <is>
          <t>Las opciones b) y c) subordinan la decisión a la jerarquía o al interés de una parte.</t>
        </is>
      </c>
      <c r="O550" s="14" t="inlineStr">
        <is>
          <t>Ley 1952 de 2019, art. 92</t>
        </is>
      </c>
      <c r="P550" s="14" t="inlineStr">
        <is>
          <t>SI</t>
        </is>
      </c>
      <c r="Q550" s="14" t="inlineStr">
        <is>
          <t>Alta</t>
        </is>
      </c>
      <c r="R550" s="14" t="inlineStr">
        <is>
          <t>v2</t>
        </is>
      </c>
    </row>
    <row r="551" ht="57" customHeight="1" s="12">
      <c r="A551" s="14" t="inlineStr">
        <is>
          <t>F0550</t>
        </is>
      </c>
      <c r="B551" s="14" t="inlineStr">
        <is>
          <t>PS 2782 de 2026 - ESE 2 - HUHMP Neiva</t>
        </is>
      </c>
      <c r="C551" s="14" t="inlineStr">
        <is>
          <t>Regimen disciplinario y CPACA</t>
        </is>
      </c>
      <c r="D551" s="14" t="inlineStr">
        <is>
          <t>Profesional</t>
        </is>
      </c>
      <c r="E551" s="14" t="inlineStr">
        <is>
          <t>C184</t>
        </is>
      </c>
      <c r="F551" s="14" t="inlineStr">
        <is>
          <t>Caso 184</t>
        </is>
      </c>
      <c r="G551" s="14" t="inlineStr">
        <is>
          <t>El hospital notifica personalmente a un contratista una decisión que le impone una multa. El contratista firma la notificación el 10 de mayo y el 27 de mayo radica recurso de reposición. El área jurídica debe decidir si lo tramita o lo rechaza por extemporáneo, y el contratista alega que estuvo incapacitado.</t>
        </is>
      </c>
      <c r="H551" s="14" t="inlineStr">
        <is>
          <t>¿Qué procede con el recurso radicado el 27 de mayo?</t>
        </is>
      </c>
      <c r="I551" s="14" t="inlineStr">
        <is>
          <t>Rechazarlo por extemporáneo, dejando constancia de la fecha de notificación y de radicación</t>
        </is>
      </c>
      <c r="J551" s="14" t="inlineStr">
        <is>
          <t>Tramitarlo, dado que la incapacidad alegada suspende los términos del recurso</t>
        </is>
      </c>
      <c r="K551" s="14" t="inlineStr">
        <is>
          <t>Tramitarlo, conforme al principio de favorabilidad aplicable al régimen sancionatorio</t>
        </is>
      </c>
      <c r="L551" s="14" t="inlineStr">
        <is>
          <t>a</t>
        </is>
      </c>
      <c r="M551" s="14" t="inlineStr">
        <is>
          <t>El recurso debe interponerse dentro de los diez días siguientes a la notificación; vencido el término, la decisión queda en firme y el recurso se rechaza.</t>
        </is>
      </c>
      <c r="N551" s="14" t="inlineStr">
        <is>
          <t>La opción b) atribuye a la incapacidad un efecto suspensivo que la norma no prevé y la opción c) invoca un principio que no amplía términos.</t>
        </is>
      </c>
      <c r="O551" s="14" t="inlineStr">
        <is>
          <t>Ley 1437 de 2011, arts. 76 y 87</t>
        </is>
      </c>
      <c r="P551" s="14" t="inlineStr">
        <is>
          <t>SI</t>
        </is>
      </c>
      <c r="Q551" s="14" t="inlineStr">
        <is>
          <t>Media</t>
        </is>
      </c>
      <c r="R551" s="14" t="inlineStr">
        <is>
          <t>v2</t>
        </is>
      </c>
    </row>
    <row r="552" ht="57" customHeight="1" s="12">
      <c r="A552" s="14" t="inlineStr">
        <is>
          <t>F0551</t>
        </is>
      </c>
      <c r="B552" s="14" t="inlineStr">
        <is>
          <t>PS 2782 de 2026 - ESE 2 - HUHMP Neiva</t>
        </is>
      </c>
      <c r="C552" s="14" t="inlineStr">
        <is>
          <t>Regimen disciplinario y CPACA</t>
        </is>
      </c>
      <c r="D552" s="14" t="inlineStr">
        <is>
          <t>Profesional</t>
        </is>
      </c>
      <c r="E552" s="14" t="inlineStr">
        <is>
          <t>C184</t>
        </is>
      </c>
      <c r="F552" s="14" t="inlineStr">
        <is>
          <t>Caso 184</t>
        </is>
      </c>
      <c r="G552" s="14" t="inlineStr">
        <is>
          <t>El hospital notifica personalmente a un contratista una decisión que le impone una multa. El contratista firma la notificación el 10 de mayo y el 27 de mayo radica recurso de reposición. El área jurídica debe decidir si lo tramita o lo rechaza por extemporáneo, y el contratista alega que estuvo incapacitado.</t>
        </is>
      </c>
      <c r="H552" s="14" t="inlineStr">
        <is>
          <t>Firme la decisión, la administración puede:</t>
        </is>
      </c>
      <c r="I552" s="14" t="inlineStr">
        <is>
          <t>Ejecutarla, sin necesidad de acudir al juez para hacerla efectiva</t>
        </is>
      </c>
      <c r="J552" s="14" t="inlineStr">
        <is>
          <t>Ejecutarla, previa autorización del juez administrativo del circuito</t>
        </is>
      </c>
      <c r="K552" s="14" t="inlineStr">
        <is>
          <t>Ejecutarla, previa conciliación prejudicial con el contratista sancionado</t>
        </is>
      </c>
      <c r="L552" s="14" t="inlineStr">
        <is>
          <t>a</t>
        </is>
      </c>
      <c r="M552" s="14" t="inlineStr">
        <is>
          <t>La administración goza del privilegio de ejecución oficiosa de sus propios actos una vez quedan en firme.</t>
        </is>
      </c>
      <c r="N552" s="14" t="inlineStr">
        <is>
          <t>Las opciones b) y c) exigen intervenciones previas que no condicionan la ejecución del acto en firme.</t>
        </is>
      </c>
      <c r="O552" s="14" t="inlineStr">
        <is>
          <t>Ley 1437 de 2011, arts. 87 y 89</t>
        </is>
      </c>
      <c r="P552" s="14" t="inlineStr">
        <is>
          <t>SI</t>
        </is>
      </c>
      <c r="Q552" s="14" t="inlineStr">
        <is>
          <t>Media</t>
        </is>
      </c>
      <c r="R552" s="14" t="inlineStr">
        <is>
          <t>v2</t>
        </is>
      </c>
    </row>
    <row r="553" ht="57" customHeight="1" s="12">
      <c r="A553" s="14" t="inlineStr">
        <is>
          <t>F0552</t>
        </is>
      </c>
      <c r="B553" s="14" t="inlineStr">
        <is>
          <t>PS 2782 de 2026 - ESE 2 - HUHMP Neiva</t>
        </is>
      </c>
      <c r="C553" s="14" t="inlineStr">
        <is>
          <t>Regimen disciplinario y CPACA</t>
        </is>
      </c>
      <c r="D553" s="14" t="inlineStr">
        <is>
          <t>Profesional</t>
        </is>
      </c>
      <c r="E553" s="14" t="inlineStr">
        <is>
          <t>C184</t>
        </is>
      </c>
      <c r="F553" s="14" t="inlineStr">
        <is>
          <t>Caso 184</t>
        </is>
      </c>
      <c r="G553" s="14" t="inlineStr">
        <is>
          <t>El hospital notifica personalmente a un contratista una decisión que le impone una multa. El contratista firma la notificación el 10 de mayo y el 27 de mayo radica recurso de reposición. El área jurídica debe decidir si lo tramita o lo rechaza por extemporáneo, y el contratista alega que estuvo incapacitado.</t>
        </is>
      </c>
      <c r="H553" s="14" t="inlineStr">
        <is>
          <t>Si el contratista demanda, el término de caducidad del medio de control es de:</t>
        </is>
      </c>
      <c r="I553" s="14" t="inlineStr">
        <is>
          <t>Cuatro meses contados desde el día siguiente a la notificación del acto</t>
        </is>
      </c>
      <c r="J553" s="14" t="inlineStr">
        <is>
          <t>Seis meses contados desde el día siguiente a la notificación del acto</t>
        </is>
      </c>
      <c r="K553" s="14" t="inlineStr">
        <is>
          <t>Dos años contados desde el día siguiente a la notificación del acto</t>
        </is>
      </c>
      <c r="L553" s="14" t="inlineStr">
        <is>
          <t>a</t>
        </is>
      </c>
      <c r="M553" s="14" t="inlineStr">
        <is>
          <t>El medio de control de nulidad y restablecimiento del derecho caduca a los cuatro meses siguientes a la notificación del acto.</t>
        </is>
      </c>
      <c r="N553" s="14" t="inlineStr">
        <is>
          <t>Las opciones b) y c) usan términos previstos para otros medios de control o supuestos distintos.</t>
        </is>
      </c>
      <c r="O553" s="14" t="inlineStr">
        <is>
          <t>Ley 1437 de 2011, art. 164</t>
        </is>
      </c>
      <c r="P553" s="14" t="inlineStr">
        <is>
          <t>SI</t>
        </is>
      </c>
      <c r="Q553" s="14" t="inlineStr">
        <is>
          <t>Media</t>
        </is>
      </c>
      <c r="R553" s="14" t="inlineStr">
        <is>
          <t>v2</t>
        </is>
      </c>
    </row>
    <row r="554" ht="57" customHeight="1" s="12">
      <c r="A554" s="14" t="inlineStr">
        <is>
          <t>F0553</t>
        </is>
      </c>
      <c r="B554" s="14" t="inlineStr">
        <is>
          <t>PS 2782 de 2026 - ESE 2 - HUHMP Neiva</t>
        </is>
      </c>
      <c r="C554" s="14" t="inlineStr">
        <is>
          <t>Regimen disciplinario y CPACA</t>
        </is>
      </c>
      <c r="D554" s="14" t="inlineStr">
        <is>
          <t>Tecnico</t>
        </is>
      </c>
      <c r="E554" s="14" t="inlineStr">
        <is>
          <t>C185</t>
        </is>
      </c>
      <c r="F554" s="14" t="inlineStr">
        <is>
          <t>Caso 185</t>
        </is>
      </c>
      <c r="G554" s="14" t="inlineStr">
        <is>
          <t>Un ciudadano presenta un derecho de petición el 2 de junio solicitando información sobre un trámite propio. El 20 de junio no ha recibido respuesta. El 25 de junio radica una segunda petición reclamando por el silencio y anunciando tutela. La dependencia responsable estuvo con el personal en comisión toda la quincena.</t>
        </is>
      </c>
      <c r="H554" s="14" t="inlineStr">
        <is>
          <t>¿Cuál es la actuación prioritaria de la entidad?</t>
        </is>
      </c>
      <c r="I554" s="14" t="inlineStr">
        <is>
          <t>Responder de fondo la petición inicial de inmediato y explicar en la misma respuesta la demora</t>
        </is>
      </c>
      <c r="J554" s="14" t="inlineStr">
        <is>
          <t>Responder primero el reclamo del 25 de junio, dejando constancia de la comisión del personal</t>
        </is>
      </c>
      <c r="K554" s="14" t="inlineStr">
        <is>
          <t>Esperar el pronunciamiento del juez de tutela y responder conforme a lo que él ordene</t>
        </is>
      </c>
      <c r="L554" s="14" t="inlineStr">
        <is>
          <t>a</t>
        </is>
      </c>
      <c r="M554" s="14" t="inlineStr">
        <is>
          <t>Lo que resuelve la vulneración es responder de fondo la petición inicial; la explicación de la demora acompaña esa respuesta, no la sustituye.</t>
        </is>
      </c>
      <c r="N554" s="14" t="inlineStr">
        <is>
          <t>La opción b) atiende el reclamo y deja sin resolver lo pedido; la opción c) aplaza una obligación que ya está vencida.</t>
        </is>
      </c>
      <c r="O554" s="14" t="inlineStr">
        <is>
          <t>Ley 1755 de 2015, art. 14</t>
        </is>
      </c>
      <c r="P554" s="14" t="inlineStr">
        <is>
          <t>SI</t>
        </is>
      </c>
      <c r="Q554" s="14" t="inlineStr">
        <is>
          <t>Media</t>
        </is>
      </c>
      <c r="R554" s="14" t="inlineStr">
        <is>
          <t>v2</t>
        </is>
      </c>
    </row>
    <row r="555" ht="57" customHeight="1" s="12">
      <c r="A555" s="14" t="inlineStr">
        <is>
          <t>F0554</t>
        </is>
      </c>
      <c r="B555" s="14" t="inlineStr">
        <is>
          <t>PS 2782 de 2026 - ESE 2 - HUHMP Neiva</t>
        </is>
      </c>
      <c r="C555" s="14" t="inlineStr">
        <is>
          <t>Regimen disciplinario y CPACA</t>
        </is>
      </c>
      <c r="D555" s="14" t="inlineStr">
        <is>
          <t>Tecnico</t>
        </is>
      </c>
      <c r="E555" s="14" t="inlineStr">
        <is>
          <t>C185</t>
        </is>
      </c>
      <c r="F555" s="14" t="inlineStr">
        <is>
          <t>Caso 185</t>
        </is>
      </c>
      <c r="G555" s="14" t="inlineStr">
        <is>
          <t>Un ciudadano presenta un derecho de petición el 2 de junio solicitando información sobre un trámite propio. El 20 de junio no ha recibido respuesta. El 25 de junio radica una segunda petición reclamando por el silencio y anunciando tutela. La dependencia responsable estuvo con el personal en comisión toda la quincena.</t>
        </is>
      </c>
      <c r="H555" s="14" t="inlineStr">
        <is>
          <t>La ausencia de personal por comisión, como justificación:</t>
        </is>
      </c>
      <c r="I555" s="14" t="inlineStr">
        <is>
          <t>Exonera a la entidad, siempre que se documente en el expediente de la petición</t>
        </is>
      </c>
      <c r="J555" s="14" t="inlineStr">
        <is>
          <t>No exonera a la entidad, que debe garantizar la continuidad del servicio</t>
        </is>
      </c>
      <c r="K555" s="14" t="inlineStr">
        <is>
          <t>Exonera a la entidad frente al ciudadano, pero no frente al control disciplinario</t>
        </is>
      </c>
      <c r="L555" s="14" t="inlineStr">
        <is>
          <t>b</t>
        </is>
      </c>
      <c r="M555" s="14" t="inlineStr">
        <is>
          <t>La organización interna del servicio es responsabilidad de la entidad y no constituye excusa frente al derecho de petición.</t>
        </is>
      </c>
      <c r="N555" s="14" t="inlineStr">
        <is>
          <t>Las opciones a) y c) convierten un problema de organización en causal de exoneración total o parcial.</t>
        </is>
      </c>
      <c r="O555" s="14" t="inlineStr">
        <is>
          <t>Ley 1755 de 2015; Ley 1437 de 2011, art. 3</t>
        </is>
      </c>
      <c r="P555" s="14" t="inlineStr">
        <is>
          <t>SI</t>
        </is>
      </c>
      <c r="Q555" s="14" t="inlineStr">
        <is>
          <t>Media</t>
        </is>
      </c>
      <c r="R555" s="14" t="inlineStr">
        <is>
          <t>v2</t>
        </is>
      </c>
    </row>
    <row r="556" ht="57" customHeight="1" s="12">
      <c r="A556" s="14" t="inlineStr">
        <is>
          <t>F0555</t>
        </is>
      </c>
      <c r="B556" s="14" t="inlineStr">
        <is>
          <t>PS 2782 de 2026 - ESE 2 - HUHMP Neiva</t>
        </is>
      </c>
      <c r="C556" s="14" t="inlineStr">
        <is>
          <t>Regimen disciplinario y CPACA</t>
        </is>
      </c>
      <c r="D556" s="14" t="inlineStr">
        <is>
          <t>Tecnico</t>
        </is>
      </c>
      <c r="E556" s="14" t="inlineStr">
        <is>
          <t>C185</t>
        </is>
      </c>
      <c r="F556" s="14" t="inlineStr">
        <is>
          <t>Caso 185</t>
        </is>
      </c>
      <c r="G556" s="14" t="inlineStr">
        <is>
          <t>Un ciudadano presenta un derecho de petición el 2 de junio solicitando información sobre un trámite propio. El 20 de junio no ha recibido respuesta. El 25 de junio radica una segunda petición reclamando por el silencio y anunciando tutela. La dependencia responsable estuvo con el personal en comisión toda la quincena.</t>
        </is>
      </c>
      <c r="H556" s="14" t="inlineStr">
        <is>
          <t>La conducta del servidor que dejó vencer el término puede constituir:</t>
        </is>
      </c>
      <c r="I556" s="14" t="inlineStr">
        <is>
          <t>Falta disciplinaria, por incumplir un deber funcional sin justificación</t>
        </is>
      </c>
      <c r="J556" s="14" t="inlineStr">
        <is>
          <t>Falta disciplinaria, únicamente si el ciudadano interpone y gana la tutela</t>
        </is>
      </c>
      <c r="K556" s="14" t="inlineStr">
        <is>
          <t>Falta disciplinaria, solo cuando la omisión se repite en tres o más casos</t>
        </is>
      </c>
      <c r="L556" s="14" t="inlineStr">
        <is>
          <t>a</t>
        </is>
      </c>
      <c r="M556" s="14" t="inlineStr">
        <is>
          <t>Incumplir el término del derecho de petición afecta el deber funcional y puede constituir falta disciplinaria, con independencia de la tutela.</t>
        </is>
      </c>
      <c r="N556" s="14" t="inlineStr">
        <is>
          <t>Las opciones b) y c) condicionan la falta a un resultado judicial o a una reincidencia que la ley no exige.</t>
        </is>
      </c>
      <c r="O556" s="14" t="inlineStr">
        <is>
          <t>Ley 1952 de 2019, art. 38</t>
        </is>
      </c>
      <c r="P556" s="14" t="inlineStr">
        <is>
          <t>SI</t>
        </is>
      </c>
      <c r="Q556" s="14" t="inlineStr">
        <is>
          <t>Media</t>
        </is>
      </c>
      <c r="R556" s="14" t="inlineStr">
        <is>
          <t>v2</t>
        </is>
      </c>
    </row>
    <row r="557" ht="45.75" customHeight="1" s="12">
      <c r="A557" s="14" t="inlineStr">
        <is>
          <t>F0556</t>
        </is>
      </c>
      <c r="B557" s="14" t="inlineStr">
        <is>
          <t>PS 2782 de 2026 - ESE 2 - HUHMP Neiva</t>
        </is>
      </c>
      <c r="C557" s="14" t="inlineStr">
        <is>
          <t>Regimen disciplinario y CPACA</t>
        </is>
      </c>
      <c r="D557" s="14" t="inlineStr">
        <is>
          <t>Profesional</t>
        </is>
      </c>
      <c r="E557" s="14" t="inlineStr">
        <is>
          <t>C186</t>
        </is>
      </c>
      <c r="F557" s="14" t="inlineStr">
        <is>
          <t>Caso 186</t>
        </is>
      </c>
      <c r="G557" s="14" t="inlineStr">
        <is>
          <t>Un servidor es sancionado con suspensión. Interpone recurso, que resuelve el mismo funcionario que lo sancionó, confirmando la decisión. El servidor alega que su derecho a impugnar quedó vacío porque nadie distinto revisó el caso, y la oficina jurídica debe conceptuar antes de ejecutar la sanción.</t>
        </is>
      </c>
      <c r="H557" s="14" t="inlineStr">
        <is>
          <t>¿Cómo debe conceptuar la oficina jurídica?</t>
        </is>
      </c>
      <c r="I557" s="14" t="inlineStr">
        <is>
          <t>La actuación es válida, dado que el recurso de reposición lo resuelve quien profirió el acto</t>
        </is>
      </c>
      <c r="J557" s="14" t="inlineStr">
        <is>
          <t>La actuación desconoce la doble conformidad, que exige una autoridad distinta de la sancionadora</t>
        </is>
      </c>
      <c r="K557" s="14" t="inlineStr">
        <is>
          <t>La actuación es válida, conforme al principio de economía procesal en materia disciplinaria</t>
        </is>
      </c>
      <c r="L557" s="14" t="inlineStr">
        <is>
          <t>b</t>
        </is>
      </c>
      <c r="M557" s="14" t="inlineStr">
        <is>
          <t>La reforma al régimen disciplinario incorporó la garantía de impugnar la primera decisión sancionatoria ante una autoridad diferente de la que la profirió.</t>
        </is>
      </c>
      <c r="N557" s="14" t="inlineStr">
        <is>
          <t>Las opciones a) y c) aplican reglas generales del procedimiento administrativo que la garantía de doble conformidad desplazó en esta materia.</t>
        </is>
      </c>
      <c r="O557" s="14" t="inlineStr">
        <is>
          <t>Ley 2094 de 2021; Constitución Política de 1991, art. 29</t>
        </is>
      </c>
      <c r="P557" s="14" t="inlineStr">
        <is>
          <t>SI</t>
        </is>
      </c>
      <c r="Q557" s="14" t="inlineStr">
        <is>
          <t>Alta</t>
        </is>
      </c>
      <c r="R557" s="14" t="inlineStr">
        <is>
          <t>v2</t>
        </is>
      </c>
    </row>
    <row r="558" ht="45.75" customHeight="1" s="12">
      <c r="A558" s="14" t="inlineStr">
        <is>
          <t>F0557</t>
        </is>
      </c>
      <c r="B558" s="14" t="inlineStr">
        <is>
          <t>PS 2782 de 2026 - ESE 2 - HUHMP Neiva</t>
        </is>
      </c>
      <c r="C558" s="14" t="inlineStr">
        <is>
          <t>Regimen disciplinario y CPACA</t>
        </is>
      </c>
      <c r="D558" s="14" t="inlineStr">
        <is>
          <t>Profesional</t>
        </is>
      </c>
      <c r="E558" s="14" t="inlineStr">
        <is>
          <t>C186</t>
        </is>
      </c>
      <c r="F558" s="14" t="inlineStr">
        <is>
          <t>Caso 186</t>
        </is>
      </c>
      <c r="G558" s="14" t="inlineStr">
        <is>
          <t>Un servidor es sancionado con suspensión. Interpone recurso, que resuelve el mismo funcionario que lo sancionó, confirmando la decisión. El servidor alega que su derecho a impugnar quedó vacío porque nadie distinto revisó el caso, y la oficina jurídica debe conceptuar antes de ejecutar la sanción.</t>
        </is>
      </c>
      <c r="H558" s="14" t="inlineStr">
        <is>
          <t>La finalidad de esa garantía es:</t>
        </is>
      </c>
      <c r="I558" s="14" t="inlineStr">
        <is>
          <t>Asegurar que la primera sanción sea revisada por quien no participó en la decisión</t>
        </is>
      </c>
      <c r="J558" s="14" t="inlineStr">
        <is>
          <t>Asegurar que el investigado cuente con defensa técnica durante toda la actuación</t>
        </is>
      </c>
      <c r="K558" s="14" t="inlineStr">
        <is>
          <t>Asegurar que la sanción se ejecute solo cuando quede ejecutoriada la decisión</t>
        </is>
      </c>
      <c r="L558" s="14" t="inlineStr">
        <is>
          <t>a</t>
        </is>
      </c>
      <c r="M558" s="14" t="inlineStr">
        <is>
          <t>La doble conformidad busca una revisión por autoridad distinta de la que sancionó en primera instancia.</t>
        </is>
      </c>
      <c r="N558" s="14" t="inlineStr">
        <is>
          <t>Las opciones b) y c) enuncian garantías reales, pero corresponden a la defensa técnica y a la firmeza del acto.</t>
        </is>
      </c>
      <c r="O558" s="14" t="inlineStr">
        <is>
          <t>Ley 2094 de 2021</t>
        </is>
      </c>
      <c r="P558" s="14" t="inlineStr">
        <is>
          <t>SI</t>
        </is>
      </c>
      <c r="Q558" s="14" t="inlineStr">
        <is>
          <t>Alta</t>
        </is>
      </c>
      <c r="R558" s="14" t="inlineStr">
        <is>
          <t>v2</t>
        </is>
      </c>
    </row>
    <row r="559" ht="45.75" customHeight="1" s="12">
      <c r="A559" s="14" t="inlineStr">
        <is>
          <t>F0558</t>
        </is>
      </c>
      <c r="B559" s="14" t="inlineStr">
        <is>
          <t>PS 2782 de 2026 - ESE 2 - HUHMP Neiva</t>
        </is>
      </c>
      <c r="C559" s="14" t="inlineStr">
        <is>
          <t>Regimen disciplinario y CPACA</t>
        </is>
      </c>
      <c r="D559" s="14" t="inlineStr">
        <is>
          <t>Profesional</t>
        </is>
      </c>
      <c r="E559" s="14" t="inlineStr">
        <is>
          <t>C186</t>
        </is>
      </c>
      <c r="F559" s="14" t="inlineStr">
        <is>
          <t>Caso 186</t>
        </is>
      </c>
      <c r="G559" s="14" t="inlineStr">
        <is>
          <t>Un servidor es sancionado con suspensión. Interpone recurso, que resuelve el mismo funcionario que lo sancionó, confirmando la decisión. El servidor alega que su derecho a impugnar quedó vacío porque nadie distinto revisó el caso, y la oficina jurídica debe conceptuar antes de ejecutar la sanción.</t>
        </is>
      </c>
      <c r="H559" s="14" t="inlineStr">
        <is>
          <t>Mientras no se resuelva esa impugnación, la sanción:</t>
        </is>
      </c>
      <c r="I559" s="14" t="inlineStr">
        <is>
          <t>Se ejecuta, dejando constancia de que la impugnación se encuentra en curso</t>
        </is>
      </c>
      <c r="J559" s="14" t="inlineStr">
        <is>
          <t>No se ejecuta, porque la decisión no ha quedado en firme</t>
        </is>
      </c>
      <c r="K559" s="14" t="inlineStr">
        <is>
          <t>Se ejecuta parcialmente, conforme al tiempo de suspensión ya cumplido</t>
        </is>
      </c>
      <c r="L559" s="14" t="inlineStr">
        <is>
          <t>b</t>
        </is>
      </c>
      <c r="M559" s="14" t="inlineStr">
        <is>
          <t>La sanción solo se ejecuta cuando la decisión queda en firme, y la impugnación pendiente lo impide.</t>
        </is>
      </c>
      <c r="N559" s="14" t="inlineStr">
        <is>
          <t>Las opciones a) y c) ejecutan total o parcialmente una decisión que aún no está en firme.</t>
        </is>
      </c>
      <c r="O559" s="14" t="inlineStr">
        <is>
          <t>Ley 1437 de 2011, art. 87; Ley 1952 de 2019</t>
        </is>
      </c>
      <c r="P559" s="14" t="inlineStr">
        <is>
          <t>SI</t>
        </is>
      </c>
      <c r="Q559" s="14" t="inlineStr">
        <is>
          <t>Alta</t>
        </is>
      </c>
      <c r="R559" s="14" t="inlineStr">
        <is>
          <t>v2</t>
        </is>
      </c>
    </row>
    <row r="560" ht="57" customHeight="1" s="12">
      <c r="A560" s="14" t="inlineStr">
        <is>
          <t>F0559</t>
        </is>
      </c>
      <c r="B560" s="14" t="inlineStr">
        <is>
          <t>PS 2782 de 2026 - ESE 2 - HUHMP Neiva</t>
        </is>
      </c>
      <c r="C560" s="14" t="inlineStr">
        <is>
          <t>Regimen disciplinario y CPACA</t>
        </is>
      </c>
      <c r="D560" s="14" t="inlineStr">
        <is>
          <t>Tecnico</t>
        </is>
      </c>
      <c r="E560" s="14" t="inlineStr">
        <is>
          <t>C187</t>
        </is>
      </c>
      <c r="F560" s="14" t="inlineStr">
        <is>
          <t>Caso 187</t>
        </is>
      </c>
      <c r="G560" s="14" t="inlineStr">
        <is>
          <t>Una servidora de la oficina de talento humano recibe la solicitud de un compañero para que le «ayude» a corregir una fecha en su historia laboral, porque esa fecha le impide cumplir el requisito de experiencia de un encargo. Le asegura que es un error de digitación y que él tiene los soportes en la casa.</t>
        </is>
      </c>
      <c r="H560" s="14" t="inlineStr">
        <is>
          <t>¿Cómo debe proceder la servidora de talento humano?</t>
        </is>
      </c>
      <c r="I560" s="14" t="inlineStr">
        <is>
          <t>Corregir la fecha y pedirle que allegue después los soportes que respaldan el cambio</t>
        </is>
      </c>
      <c r="J560" s="14" t="inlineStr">
        <is>
          <t>Corregir la fecha solo si el jefe de talento humano lo autoriza verbalmente</t>
        </is>
      </c>
      <c r="K560" s="14" t="inlineStr">
        <is>
          <t>Corregir la fecha únicamente con el soporte documental que acredite el dato real</t>
        </is>
      </c>
      <c r="L560" s="14" t="inlineStr">
        <is>
          <t>c</t>
        </is>
      </c>
      <c r="M560" s="14" t="inlineStr">
        <is>
          <t>Cualquier modificación de la historia laboral exige el soporte documental que la respalde; sin él, la corrección altera un documento público.</t>
        </is>
      </c>
      <c r="N560" s="14" t="inlineStr">
        <is>
          <t>Las opciones a) y b) modifican el registro antes de tener la prueba, aunque una lo condicione a una autorización verbal.</t>
        </is>
      </c>
      <c r="O560" s="14" t="inlineStr">
        <is>
          <t>Ley 594 de 2000; Ley 1952 de 2019</t>
        </is>
      </c>
      <c r="P560" s="14" t="inlineStr">
        <is>
          <t>SI</t>
        </is>
      </c>
      <c r="Q560" s="14" t="inlineStr">
        <is>
          <t>Basica</t>
        </is>
      </c>
      <c r="R560" s="14" t="inlineStr">
        <is>
          <t>v2</t>
        </is>
      </c>
    </row>
    <row r="561" ht="57" customHeight="1" s="12">
      <c r="A561" s="14" t="inlineStr">
        <is>
          <t>F0560</t>
        </is>
      </c>
      <c r="B561" s="14" t="inlineStr">
        <is>
          <t>PS 2782 de 2026 - ESE 2 - HUHMP Neiva</t>
        </is>
      </c>
      <c r="C561" s="14" t="inlineStr">
        <is>
          <t>Regimen disciplinario y CPACA</t>
        </is>
      </c>
      <c r="D561" s="14" t="inlineStr">
        <is>
          <t>Tecnico</t>
        </is>
      </c>
      <c r="E561" s="14" t="inlineStr">
        <is>
          <t>C187</t>
        </is>
      </c>
      <c r="F561" s="14" t="inlineStr">
        <is>
          <t>Caso 187</t>
        </is>
      </c>
      <c r="G561" s="14" t="inlineStr">
        <is>
          <t>Una servidora de la oficina de talento humano recibe la solicitud de un compañero para que le «ayude» a corregir una fecha en su historia laboral, porque esa fecha le impide cumplir el requisito de experiencia de un encargo. Le asegura que es un error de digitación y que él tiene los soportes en la casa.</t>
        </is>
      </c>
      <c r="H561" s="14" t="inlineStr">
        <is>
          <t>Si accede a corregir sin soporte, la conducta puede constituir:</t>
        </is>
      </c>
      <c r="I561" s="14" t="inlineStr">
        <is>
          <t>Falta gravísima, por alterar un documento que produce efectos en un proceso de provisión</t>
        </is>
      </c>
      <c r="J561" s="14" t="inlineStr">
        <is>
          <t>Falta leve, por tratarse de un error de digitación advertido por el propio interesado</t>
        </is>
      </c>
      <c r="K561" s="14" t="inlineStr">
        <is>
          <t>Falta grave, siempre que el compañero llegue a obtener el encargo solicitado</t>
        </is>
      </c>
      <c r="L561" s="14" t="inlineStr">
        <is>
          <t>a</t>
        </is>
      </c>
      <c r="M561" s="14" t="inlineStr">
        <is>
          <t>Alterar un documento que produce efectos en la provisión de un empleo constituye falta gravísima, con independencia del resultado.</t>
        </is>
      </c>
      <c r="N561" s="14" t="inlineStr">
        <is>
          <t>La opción b) minimiza la conducta por su apariencia formal y la opción c) hace depender la calificación del resultado obtenido.</t>
        </is>
      </c>
      <c r="O561" s="14" t="inlineStr">
        <is>
          <t>Ley 1952 de 2019, art. 52</t>
        </is>
      </c>
      <c r="P561" s="14" t="inlineStr">
        <is>
          <t>SI</t>
        </is>
      </c>
      <c r="Q561" s="14" t="inlineStr">
        <is>
          <t>Basica</t>
        </is>
      </c>
      <c r="R561" s="14" t="inlineStr">
        <is>
          <t>v2</t>
        </is>
      </c>
    </row>
    <row r="562" ht="57" customHeight="1" s="12">
      <c r="A562" s="14" t="inlineStr">
        <is>
          <t>F0561</t>
        </is>
      </c>
      <c r="B562" s="14" t="inlineStr">
        <is>
          <t>PS 2782 de 2026 - ESE 2 - HUHMP Neiva</t>
        </is>
      </c>
      <c r="C562" s="14" t="inlineStr">
        <is>
          <t>Regimen disciplinario y CPACA</t>
        </is>
      </c>
      <c r="D562" s="14" t="inlineStr">
        <is>
          <t>Tecnico</t>
        </is>
      </c>
      <c r="E562" s="14" t="inlineStr">
        <is>
          <t>C187</t>
        </is>
      </c>
      <c r="F562" s="14" t="inlineStr">
        <is>
          <t>Caso 187</t>
        </is>
      </c>
      <c r="G562" s="14" t="inlineStr">
        <is>
          <t>Una servidora de la oficina de talento humano recibe la solicitud de un compañero para que le «ayude» a corregir una fecha en su historia laboral, porque esa fecha le impide cumplir el requisito de experiencia de un encargo. Le asegura que es un error de digitación y que él tiene los soportes en la casa.</t>
        </is>
      </c>
      <c r="H562" s="14" t="inlineStr">
        <is>
          <t>La conducta correcta frente a la solicitud es:</t>
        </is>
      </c>
      <c r="I562" s="14" t="inlineStr">
        <is>
          <t>Explicar el requisito documental y orientar el trámite formal de corrección</t>
        </is>
      </c>
      <c r="J562" s="14" t="inlineStr">
        <is>
          <t>Explicar el requisito y, si insiste, reportar de inmediato el hecho al jefe</t>
        </is>
      </c>
      <c r="K562" s="14" t="inlineStr">
        <is>
          <t>Explicar el requisito y abstenerse de cualquier gestión sobre ese expediente</t>
        </is>
      </c>
      <c r="L562" s="14" t="inlineStr">
        <is>
          <t>a</t>
        </is>
      </c>
      <c r="M562" s="14" t="inlineStr">
        <is>
          <t>Lo que corresponde es informar el requisito y encauzar la solicitud por el trámite formal, que existe justamente para estos casos.</t>
        </is>
      </c>
      <c r="N562" s="14" t="inlineStr">
        <is>
          <t>La opción b) escala antes de que exista una conducta reprochable y la opción c) niega un trámite legítimo al compañero.</t>
        </is>
      </c>
      <c r="O562" s="14" t="inlineStr">
        <is>
          <t>Ley 594 de 2000; Ley 1437 de 2011, art. 45</t>
        </is>
      </c>
      <c r="P562" s="14" t="inlineStr">
        <is>
          <t>SI</t>
        </is>
      </c>
      <c r="Q562" s="14" t="inlineStr">
        <is>
          <t>Basica</t>
        </is>
      </c>
      <c r="R562" s="14" t="inlineStr">
        <is>
          <t>v2</t>
        </is>
      </c>
    </row>
    <row r="563" ht="45.75" customHeight="1" s="12">
      <c r="A563" s="14" t="inlineStr">
        <is>
          <t>F0562</t>
        </is>
      </c>
      <c r="B563" s="14" t="inlineStr">
        <is>
          <t>PS 2782 de 2026 - ESE 2 - HUHMP Neiva</t>
        </is>
      </c>
      <c r="C563" s="14" t="inlineStr">
        <is>
          <t>Regimen disciplinario y CPACA</t>
        </is>
      </c>
      <c r="D563" s="14" t="inlineStr">
        <is>
          <t>Profesional</t>
        </is>
      </c>
      <c r="E563" s="14" t="inlineStr">
        <is>
          <t>C188</t>
        </is>
      </c>
      <c r="F563" s="14" t="inlineStr">
        <is>
          <t>Caso 188</t>
        </is>
      </c>
      <c r="G563" s="14" t="inlineStr">
        <is>
          <t>El hospital expide una resolución que reconoce un pago a un exfuncionario. Dos meses después, la oficina jurídica advierte que el reconocimiento se hizo sobre una base de liquidación equivocada y que el acto ya fue notificado y está en firme. El exfuncionario ya recibió el dinero.</t>
        </is>
      </c>
      <c r="H563" s="14" t="inlineStr">
        <is>
          <t>¿Qué puede hacer el hospital con ese acto?</t>
        </is>
      </c>
      <c r="I563" s="14" t="inlineStr">
        <is>
          <t>Revocar directamente el acto, dado que el error es manifiesto y compromete recursos públicos</t>
        </is>
      </c>
      <c r="J563" s="14" t="inlineStr">
        <is>
          <t>Revocar directamente el acto, previo consentimiento expreso y escrito del exfuncionario</t>
        </is>
      </c>
      <c r="K563" s="14" t="inlineStr">
        <is>
          <t>Revocar directamente el acto, dejando constancia del error en el expediente administrativo</t>
        </is>
      </c>
      <c r="L563" s="14" t="inlineStr">
        <is>
          <t>b</t>
        </is>
      </c>
      <c r="M563" s="14" t="inlineStr">
        <is>
          <t>La revocatoria de un acto que creó una situación jurídica particular exige el consentimiento expreso y escrito del titular; sin él, la entidad debe acudir al juez.</t>
        </is>
      </c>
      <c r="N563" s="14" t="inlineStr">
        <is>
          <t>Las opciones a) y c) prescinden de ese consentimiento y convierten en trámite interno una decisión que afecta un derecho reconocido.</t>
        </is>
      </c>
      <c r="O563" s="14" t="inlineStr">
        <is>
          <t>Ley 1437 de 2011, art. 97</t>
        </is>
      </c>
      <c r="P563" s="14" t="inlineStr">
        <is>
          <t>SI</t>
        </is>
      </c>
      <c r="Q563" s="14" t="inlineStr">
        <is>
          <t>Media</t>
        </is>
      </c>
      <c r="R563" s="14" t="inlineStr">
        <is>
          <t>v2</t>
        </is>
      </c>
    </row>
    <row r="564" ht="45.75" customHeight="1" s="12">
      <c r="A564" s="14" t="inlineStr">
        <is>
          <t>F0563</t>
        </is>
      </c>
      <c r="B564" s="14" t="inlineStr">
        <is>
          <t>PS 2782 de 2026 - ESE 2 - HUHMP Neiva</t>
        </is>
      </c>
      <c r="C564" s="14" t="inlineStr">
        <is>
          <t>Regimen disciplinario y CPACA</t>
        </is>
      </c>
      <c r="D564" s="14" t="inlineStr">
        <is>
          <t>Profesional</t>
        </is>
      </c>
      <c r="E564" s="14" t="inlineStr">
        <is>
          <t>C188</t>
        </is>
      </c>
      <c r="F564" s="14" t="inlineStr">
        <is>
          <t>Caso 188</t>
        </is>
      </c>
      <c r="G564" s="14" t="inlineStr">
        <is>
          <t>El hospital expide una resolución que reconoce un pago a un exfuncionario. Dos meses después, la oficina jurídica advierte que el reconocimiento se hizo sobre una base de liquidación equivocada y que el acto ya fue notificado y está en firme. El exfuncionario ya recibió el dinero.</t>
        </is>
      </c>
      <c r="H564" s="14" t="inlineStr">
        <is>
          <t>Si el exfuncionario no consiente la revocatoria, la entidad debe:</t>
        </is>
      </c>
      <c r="I564" s="14" t="inlineStr">
        <is>
          <t>Demandar su propio acto ante la jurisdicción de lo contencioso administrativo</t>
        </is>
      </c>
      <c r="J564" s="14" t="inlineStr">
        <is>
          <t>Descontar el mayor valor de futuros reconocimientos que le corresponda al beneficiario</t>
        </is>
      </c>
      <c r="K564" s="14" t="inlineStr">
        <is>
          <t>Dejar sin efectos el acto mediante resolución motivada y comunicarla al interesado</t>
        </is>
      </c>
      <c r="L564" s="14" t="inlineStr">
        <is>
          <t>a</t>
        </is>
      </c>
      <c r="M564" s="14" t="inlineStr">
        <is>
          <t>Sin consentimiento del titular, la entidad debe demandar su propio acto ante la jurisdicción para obtener su nulidad.</t>
        </is>
      </c>
      <c r="N564" s="14" t="inlineStr">
        <is>
          <t>La opción b) hace justicia por mano propia y la opción c) revoca sin cumplir el requisito legal, solo que con otro nombre.</t>
        </is>
      </c>
      <c r="O564" s="14" t="inlineStr">
        <is>
          <t>Ley 1437 de 2011, arts. 97 y 141</t>
        </is>
      </c>
      <c r="P564" s="14" t="inlineStr">
        <is>
          <t>SI</t>
        </is>
      </c>
      <c r="Q564" s="14" t="inlineStr">
        <is>
          <t>Media</t>
        </is>
      </c>
      <c r="R564" s="14" t="inlineStr">
        <is>
          <t>v2</t>
        </is>
      </c>
    </row>
    <row r="565" ht="45.75" customHeight="1" s="12">
      <c r="A565" s="14" t="inlineStr">
        <is>
          <t>F0564</t>
        </is>
      </c>
      <c r="B565" s="14" t="inlineStr">
        <is>
          <t>PS 2782 de 2026 - ESE 2 - HUHMP Neiva</t>
        </is>
      </c>
      <c r="C565" s="14" t="inlineStr">
        <is>
          <t>Regimen disciplinario y CPACA</t>
        </is>
      </c>
      <c r="D565" s="14" t="inlineStr">
        <is>
          <t>Profesional</t>
        </is>
      </c>
      <c r="E565" s="14" t="inlineStr">
        <is>
          <t>C188</t>
        </is>
      </c>
      <c r="F565" s="14" t="inlineStr">
        <is>
          <t>Caso 188</t>
        </is>
      </c>
      <c r="G565" s="14" t="inlineStr">
        <is>
          <t>El hospital expide una resolución que reconoce un pago a un exfuncionario. Dos meses después, la oficina jurídica advierte que el reconocimiento se hizo sobre una base de liquidación equivocada y que el acto ya fue notificado y está en firme. El exfuncionario ya recibió el dinero.</t>
        </is>
      </c>
      <c r="H565" s="14" t="inlineStr">
        <is>
          <t>Frente al servidor que liquidó mal, el hecho:</t>
        </is>
      </c>
      <c r="I565" s="14" t="inlineStr">
        <is>
          <t>Da lugar a responsabilidad disciplinaria y, si hay daño patrimonial, también fiscal</t>
        </is>
      </c>
      <c r="J565" s="14" t="inlineStr">
        <is>
          <t>Da lugar únicamente a responsabilidad fiscal, por tratarse de recursos públicos</t>
        </is>
      </c>
      <c r="K565" s="14" t="inlineStr">
        <is>
          <t>Da lugar únicamente a un plan de mejoramiento del proceso de liquidación</t>
        </is>
      </c>
      <c r="L565" s="14" t="inlineStr">
        <is>
          <t>a</t>
        </is>
      </c>
      <c r="M565" s="14" t="inlineStr">
        <is>
          <t>El error en la liquidación puede comprometer la responsabilidad disciplinaria y, si se acredita daño patrimonial, la fiscal.</t>
        </is>
      </c>
      <c r="N565" s="14" t="inlineStr">
        <is>
          <t>La opción b) excluye el examen del deber funcional y la opción c) trata como falla de proceso una conducta individual.</t>
        </is>
      </c>
      <c r="O565" s="14" t="inlineStr">
        <is>
          <t>Ley 1952 de 2019; Ley 610 de 2000</t>
        </is>
      </c>
      <c r="P565" s="14" t="inlineStr">
        <is>
          <t>SI</t>
        </is>
      </c>
      <c r="Q565" s="14" t="inlineStr">
        <is>
          <t>Media</t>
        </is>
      </c>
      <c r="R565" s="14" t="inlineStr">
        <is>
          <t>v2</t>
        </is>
      </c>
    </row>
    <row r="566" ht="57" customHeight="1" s="12">
      <c r="A566" s="14" t="inlineStr">
        <is>
          <t>F0565</t>
        </is>
      </c>
      <c r="B566" s="14" t="inlineStr">
        <is>
          <t>PS 2782 de 2026 - ESE 2 - HUHMP Neiva</t>
        </is>
      </c>
      <c r="C566" s="14" t="inlineStr">
        <is>
          <t>Contratacion en la E.S.E. y transparencia</t>
        </is>
      </c>
      <c r="D566" s="14" t="inlineStr">
        <is>
          <t>Profesional</t>
        </is>
      </c>
      <c r="E566" s="14" t="inlineStr">
        <is>
          <t>C189</t>
        </is>
      </c>
      <c r="F566" s="14" t="inlineStr">
        <is>
          <t>Caso 189</t>
        </is>
      </c>
      <c r="G566" s="14" t="inlineStr">
        <is>
          <t>El hospital requiere contratar el servicio de lavandería por un año. El estatuto de contratación adoptado por la junta directiva prevé invitación a presentar ofertas para esa cuantía. El jefe de compras propone contratar directamente con el proveedor actual, que conoce el servicio, y dejar constancia de su buen desempeño.</t>
        </is>
      </c>
      <c r="H566" s="14" t="inlineStr">
        <is>
          <t>¿Cómo debe adelantarse la contratación?</t>
        </is>
      </c>
      <c r="I566" s="14" t="inlineStr">
        <is>
          <t>Contratar directamente con el proveedor actual, dejando constancia de su desempeño histórico</t>
        </is>
      </c>
      <c r="J566" s="14" t="inlineStr">
        <is>
          <t>Contratar mediante invitación a ofertar, conforme al procedimiento del estatuto vigente</t>
        </is>
      </c>
      <c r="K566" s="14" t="inlineStr">
        <is>
          <t>Contratar directamente, previa autorización verbal del ordenador del gasto del hospital</t>
        </is>
      </c>
      <c r="L566" s="14" t="inlineStr">
        <is>
          <t>b</t>
        </is>
      </c>
      <c r="M566" s="14" t="inlineStr">
        <is>
          <t>El régimen privado no exime de seguir el procedimiento que la propia entidad adoptó: el estatuto es vinculante para la administración que lo expidió.</t>
        </is>
      </c>
      <c r="N566" s="14" t="inlineStr">
        <is>
          <t>Las opciones a) y c) prescinden del procedimiento estatutario, aunque una lo respalde con antecedentes de desempeño.</t>
        </is>
      </c>
      <c r="O566" s="14" t="inlineStr">
        <is>
          <t>Ley 1438 de 2011, art. 76; Resolución 5185 de 2013</t>
        </is>
      </c>
      <c r="P566" s="14" t="inlineStr">
        <is>
          <t>SI</t>
        </is>
      </c>
      <c r="Q566" s="14" t="inlineStr">
        <is>
          <t>Alta</t>
        </is>
      </c>
      <c r="R566" s="14" t="inlineStr">
        <is>
          <t>v2</t>
        </is>
      </c>
    </row>
    <row r="567" ht="57" customHeight="1" s="12">
      <c r="A567" s="14" t="inlineStr">
        <is>
          <t>F0566</t>
        </is>
      </c>
      <c r="B567" s="14" t="inlineStr">
        <is>
          <t>PS 2782 de 2026 - ESE 2 - HUHMP Neiva</t>
        </is>
      </c>
      <c r="C567" s="14" t="inlineStr">
        <is>
          <t>Contratacion en la E.S.E. y transparencia</t>
        </is>
      </c>
      <c r="D567" s="14" t="inlineStr">
        <is>
          <t>Profesional</t>
        </is>
      </c>
      <c r="E567" s="14" t="inlineStr">
        <is>
          <t>C189</t>
        </is>
      </c>
      <c r="F567" s="14" t="inlineStr">
        <is>
          <t>Caso 189</t>
        </is>
      </c>
      <c r="G567" s="14" t="inlineStr">
        <is>
          <t>El hospital requiere contratar el servicio de lavandería por un año. El estatuto de contratación adoptado por la junta directiva prevé invitación a presentar ofertas para esa cuantía. El jefe de compras propone contratar directamente con el proveedor actual, que conoce el servicio, y dejar constancia de su buen desempeño.</t>
        </is>
      </c>
      <c r="H567" s="14" t="inlineStr">
        <is>
          <t>La selección objetiva, en el régimen de la E.S.E., implica que:</t>
        </is>
      </c>
      <c r="I567" s="14" t="inlineStr">
        <is>
          <t>El ofrecimiento más favorable se determina con criterios definidos antes de la evaluación</t>
        </is>
      </c>
      <c r="J567" s="14" t="inlineStr">
        <is>
          <t>El ofrecimiento más favorable es el de menor precio entre las ofertas presentadas</t>
        </is>
      </c>
      <c r="K567" s="14" t="inlineStr">
        <is>
          <t>El ofrecimiento más favorable lo define el ordenador del gasto conforme a su experiencia</t>
        </is>
      </c>
      <c r="L567" s="14" t="inlineStr">
        <is>
          <t>a</t>
        </is>
      </c>
      <c r="M567" s="14" t="inlineStr">
        <is>
          <t>La selección objetiva exige criterios definidos previamente y verificables, no la sola comparación de precios ni la apreciación del ordenador.</t>
        </is>
      </c>
      <c r="N567" s="14" t="inlineStr">
        <is>
          <t>La opción b) reduce la evaluación al precio y la opción c) la deja en la apreciación personal.</t>
        </is>
      </c>
      <c r="O567" s="14" t="inlineStr">
        <is>
          <t>Resolución 5185 de 2013; Ley 1150 de 2007, art. 13</t>
        </is>
      </c>
      <c r="P567" s="14" t="inlineStr">
        <is>
          <t>SI</t>
        </is>
      </c>
      <c r="Q567" s="14" t="inlineStr">
        <is>
          <t>Alta</t>
        </is>
      </c>
      <c r="R567" s="14" t="inlineStr">
        <is>
          <t>v2</t>
        </is>
      </c>
    </row>
    <row r="568" ht="57" customHeight="1" s="12">
      <c r="A568" s="14" t="inlineStr">
        <is>
          <t>F0567</t>
        </is>
      </c>
      <c r="B568" s="14" t="inlineStr">
        <is>
          <t>PS 2782 de 2026 - ESE 2 - HUHMP Neiva</t>
        </is>
      </c>
      <c r="C568" s="14" t="inlineStr">
        <is>
          <t>Contratacion en la E.S.E. y transparencia</t>
        </is>
      </c>
      <c r="D568" s="14" t="inlineStr">
        <is>
          <t>Profesional</t>
        </is>
      </c>
      <c r="E568" s="14" t="inlineStr">
        <is>
          <t>C189</t>
        </is>
      </c>
      <c r="F568" s="14" t="inlineStr">
        <is>
          <t>Caso 189</t>
        </is>
      </c>
      <c r="G568" s="14" t="inlineStr">
        <is>
          <t>El hospital requiere contratar el servicio de lavandería por un año. El estatuto de contratación adoptado por la junta directiva prevé invitación a presentar ofertas para esa cuantía. El jefe de compras propone contratar directamente con el proveedor actual, que conoce el servicio, y dejar constancia de su buen desempeño.</t>
        </is>
      </c>
      <c r="H568" s="14" t="inlineStr">
        <is>
          <t>La publicación del proceso en el SECOP, en este caso:</t>
        </is>
      </c>
      <c r="I568" s="14" t="inlineStr">
        <is>
          <t>Procede, porque el deber de publicidad cobija a las entidades con régimen especial</t>
        </is>
      </c>
      <c r="J568" s="14" t="inlineStr">
        <is>
          <t>No procede, porque el régimen privado excluye a la entidad de esa plataforma</t>
        </is>
      </c>
      <c r="K568" s="14" t="inlineStr">
        <is>
          <t>Procede solo si el contrato supera la menor cuantía definida en el estatuto propio</t>
        </is>
      </c>
      <c r="L568" s="14" t="inlineStr">
        <is>
          <t>a</t>
        </is>
      </c>
      <c r="M568" s="14" t="inlineStr">
        <is>
          <t>La actividad contractual de las entidades con régimen especial se publica en el SECOP, con independencia de la cuantía.</t>
        </is>
      </c>
      <c r="N568" s="14" t="inlineStr">
        <is>
          <t>La opción b) confunde el régimen sustantivo con el deber de publicidad y la opción c) inventa un umbral.</t>
        </is>
      </c>
      <c r="O568" s="14" t="inlineStr">
        <is>
          <t>Ley 1712 de 2014; Ley 2195 de 2022, art. 53</t>
        </is>
      </c>
      <c r="P568" s="14" t="inlineStr">
        <is>
          <t>SI</t>
        </is>
      </c>
      <c r="Q568" s="14" t="inlineStr">
        <is>
          <t>Alta</t>
        </is>
      </c>
      <c r="R568" s="14" t="inlineStr">
        <is>
          <t>v2</t>
        </is>
      </c>
    </row>
    <row r="569" ht="45.75" customHeight="1" s="12">
      <c r="A569" s="14" t="inlineStr">
        <is>
          <t>F0568</t>
        </is>
      </c>
      <c r="B569" s="14" t="inlineStr">
        <is>
          <t>PS 2782 de 2026 - ESE 2 - HUHMP Neiva</t>
        </is>
      </c>
      <c r="C569" s="14" t="inlineStr">
        <is>
          <t>Contratacion en la E.S.E. y transparencia</t>
        </is>
      </c>
      <c r="D569" s="14" t="inlineStr">
        <is>
          <t>Profesional</t>
        </is>
      </c>
      <c r="E569" s="14" t="inlineStr">
        <is>
          <t>C190</t>
        </is>
      </c>
      <c r="F569" s="14" t="inlineStr">
        <is>
          <t>Caso 190</t>
        </is>
      </c>
      <c r="G569" s="14" t="inlineStr">
        <is>
          <t>En la ejecución de un contrato de mantenimiento, el contratista solicita una adición del treinta por ciento del valor inicial porque aparecieron trabajos no previstos. El supervisor considera que los trabajos son necesarios y ya autorizó verbalmente que los inicie para no detener el servicio.</t>
        </is>
      </c>
      <c r="H569" s="14" t="inlineStr">
        <is>
          <t>¿En qué momento debe formalizarse la adición?</t>
        </is>
      </c>
      <c r="I569" s="14" t="inlineStr">
        <is>
          <t>Suscribir la adición antes de que continúen los trabajos, con la justificación técnica del caso</t>
        </is>
      </c>
      <c r="J569" s="14" t="inlineStr">
        <is>
          <t>Suscribir la adición al final, incorporando los trabajos ya ejecutados en el acta de liquidación</t>
        </is>
      </c>
      <c r="K569" s="14" t="inlineStr">
        <is>
          <t>Suscribir la adición cuando el contratista presente la factura de los trabajos adicionales</t>
        </is>
      </c>
      <c r="L569" s="14" t="inlineStr">
        <is>
          <t>a</t>
        </is>
      </c>
      <c r="M569" s="14" t="inlineStr">
        <is>
          <t>La modificación del contrato debe constar por escrito, motivada y antes de ejecutar lo modificado; de lo contrario se ejecuta sin respaldo contractual ni presupuestal.</t>
        </is>
      </c>
      <c r="N569" s="14" t="inlineStr">
        <is>
          <t>Las opciones b) y c) legalizan después una ejecución que ya ocurrió, lo que compromete a la entidad y al supervisor.</t>
        </is>
      </c>
      <c r="O569" s="14" t="inlineStr">
        <is>
          <t>Resolución 5185 de 2013; Ley 1150 de 2007</t>
        </is>
      </c>
      <c r="P569" s="14" t="inlineStr">
        <is>
          <t>SI</t>
        </is>
      </c>
      <c r="Q569" s="14" t="inlineStr">
        <is>
          <t>Media</t>
        </is>
      </c>
      <c r="R569" s="14" t="inlineStr">
        <is>
          <t>v2</t>
        </is>
      </c>
    </row>
    <row r="570" ht="45.75" customHeight="1" s="12">
      <c r="A570" s="14" t="inlineStr">
        <is>
          <t>F0569</t>
        </is>
      </c>
      <c r="B570" s="14" t="inlineStr">
        <is>
          <t>PS 2782 de 2026 - ESE 2 - HUHMP Neiva</t>
        </is>
      </c>
      <c r="C570" s="14" t="inlineStr">
        <is>
          <t>Contratacion en la E.S.E. y transparencia</t>
        </is>
      </c>
      <c r="D570" s="14" t="inlineStr">
        <is>
          <t>Profesional</t>
        </is>
      </c>
      <c r="E570" s="14" t="inlineStr">
        <is>
          <t>C190</t>
        </is>
      </c>
      <c r="F570" s="14" t="inlineStr">
        <is>
          <t>Caso 190</t>
        </is>
      </c>
      <c r="G570" s="14" t="inlineStr">
        <is>
          <t>En la ejecución de un contrato de mantenimiento, el contratista solicita una adición del treinta por ciento del valor inicial porque aparecieron trabajos no previstos. El supervisor considera que los trabajos son necesarios y ya autorizó verbalmente que los inicie para no detener el servicio.</t>
        </is>
      </c>
      <c r="H570" s="14" t="inlineStr">
        <is>
          <t>La autorización verbal dada por el supervisor:</t>
        </is>
      </c>
      <c r="I570" s="14" t="inlineStr">
        <is>
          <t>Compromete su responsabilidad, porque excede las facultades propias de la supervisión</t>
        </is>
      </c>
      <c r="J570" s="14" t="inlineStr">
        <is>
          <t>Es válida, dado que el supervisor representa a la entidad durante la ejecución del contrato</t>
        </is>
      </c>
      <c r="K570" s="14" t="inlineStr">
        <is>
          <t>Es válida si se ratifica por escrito dentro de los cinco días siguientes a la orden impartida</t>
        </is>
      </c>
      <c r="L570" s="14" t="inlineStr">
        <is>
          <t>a</t>
        </is>
      </c>
      <c r="M570" s="14" t="inlineStr">
        <is>
          <t>El supervisor vigila la ejecución, pero no puede modificar el contrato ni autorizar mayores cantidades: hacerlo compromete su responsabilidad.</t>
        </is>
      </c>
      <c r="N570" s="14" t="inlineStr">
        <is>
          <t>La opción b) le atribuye una representación que no tiene y la opción c) supone un saneamiento que la norma no prevé.</t>
        </is>
      </c>
      <c r="O570" s="14" t="inlineStr">
        <is>
          <t>Ley 1474 de 2011, arts. 83 y 84</t>
        </is>
      </c>
      <c r="P570" s="14" t="inlineStr">
        <is>
          <t>SI</t>
        </is>
      </c>
      <c r="Q570" s="14" t="inlineStr">
        <is>
          <t>Media</t>
        </is>
      </c>
      <c r="R570" s="14" t="inlineStr">
        <is>
          <t>v2</t>
        </is>
      </c>
    </row>
    <row r="571" ht="45.75" customHeight="1" s="12">
      <c r="A571" s="14" t="inlineStr">
        <is>
          <t>F0570</t>
        </is>
      </c>
      <c r="B571" s="14" t="inlineStr">
        <is>
          <t>PS 2782 de 2026 - ESE 2 - HUHMP Neiva</t>
        </is>
      </c>
      <c r="C571" s="14" t="inlineStr">
        <is>
          <t>Contratacion en la E.S.E. y transparencia</t>
        </is>
      </c>
      <c r="D571" s="14" t="inlineStr">
        <is>
          <t>Profesional</t>
        </is>
      </c>
      <c r="E571" s="14" t="inlineStr">
        <is>
          <t>C190</t>
        </is>
      </c>
      <c r="F571" s="14" t="inlineStr">
        <is>
          <t>Caso 190</t>
        </is>
      </c>
      <c r="G571" s="14" t="inlineStr">
        <is>
          <t>En la ejecución de un contrato de mantenimiento, el contratista solicita una adición del treinta por ciento del valor inicial porque aparecieron trabajos no previstos. El supervisor considera que los trabajos son necesarios y ya autorizó verbalmente que los inicie para no detener el servicio.</t>
        </is>
      </c>
      <c r="H571" s="14" t="inlineStr">
        <is>
          <t>Frente al pago de esos trabajos ya ejecutados sin respaldo, procede:</t>
        </is>
      </c>
      <c r="I571" s="14" t="inlineStr">
        <is>
          <t>Verificar si hubo enriquecimiento sin causa y tramitar el reconocimiento por la vía que corresponda</t>
        </is>
      </c>
      <c r="J571" s="14" t="inlineStr">
        <is>
          <t>Pagarlos con cargo al contrato inicial, dejando constancia del mayor valor ejecutado</t>
        </is>
      </c>
      <c r="K571" s="14" t="inlineStr">
        <is>
          <t>Negar todo pago, dado que el contratista ejecutó por su cuenta y riesgo esos trabajos</t>
        </is>
      </c>
      <c r="L571" s="14" t="inlineStr">
        <is>
          <t>a</t>
        </is>
      </c>
      <c r="M571" s="14" t="inlineStr">
        <is>
          <t>Ejecutado el trabajo sin soporte contractual, la entidad debe examinar la figura del enriquecimiento sin causa y encauzar el reconocimiento por la vía procedente.</t>
        </is>
      </c>
      <c r="N571" s="14" t="inlineStr">
        <is>
          <t>La opción b) paga por fuera del objeto pactado y la opción c) resuelve de plano una situación que exige análisis.</t>
        </is>
      </c>
      <c r="O571" s="14" t="inlineStr">
        <is>
          <t>Ley 1150 de 2007; jurisprudencia del Consejo de Estado</t>
        </is>
      </c>
      <c r="P571" s="14" t="inlineStr">
        <is>
          <t>SI</t>
        </is>
      </c>
      <c r="Q571" s="14" t="inlineStr">
        <is>
          <t>Media</t>
        </is>
      </c>
      <c r="R571" s="14" t="inlineStr">
        <is>
          <t>v2</t>
        </is>
      </c>
    </row>
    <row r="572" ht="57" customHeight="1" s="12">
      <c r="A572" s="14" t="inlineStr">
        <is>
          <t>F0571</t>
        </is>
      </c>
      <c r="B572" s="14" t="inlineStr">
        <is>
          <t>PS 2782 de 2026 - ESE 2 - HUHMP Neiva</t>
        </is>
      </c>
      <c r="C572" s="14" t="inlineStr">
        <is>
          <t>Contratacion en la E.S.E. y transparencia</t>
        </is>
      </c>
      <c r="D572" s="14" t="inlineStr">
        <is>
          <t>Profesional</t>
        </is>
      </c>
      <c r="E572" s="14" t="inlineStr">
        <is>
          <t>C191</t>
        </is>
      </c>
      <c r="F572" s="14" t="inlineStr">
        <is>
          <t>Caso 191</t>
        </is>
      </c>
      <c r="G572" s="14" t="inlineStr">
        <is>
          <t>El hospital publica una invitación para contratar insumos. Un oferente pregunta por correo si puede presentar una certificación de experiencia expedida por su propia empresa. El comité evaluador responde que sí, sin modificar los términos de la invitación, y con esa certificación el oferente resulta adjudicatario.</t>
        </is>
      </c>
      <c r="H572" s="14" t="inlineStr">
        <is>
          <t>¿Cómo debe calificarse la respuesta del comité evaluador?</t>
        </is>
      </c>
      <c r="I572" s="14" t="inlineStr">
        <is>
          <t>La respuesta modificó de hecho las reglas y debió hacerse mediante adenda conocida por todos</t>
        </is>
      </c>
      <c r="J572" s="14" t="inlineStr">
        <is>
          <t>La respuesta fue válida, dado que se dio por escrito y quedó en el expediente del proceso</t>
        </is>
      </c>
      <c r="K572" s="14" t="inlineStr">
        <is>
          <t>La respuesta fue válida, porque la invitación no prohibía expresamente esa clase de certificación</t>
        </is>
      </c>
      <c r="L572" s="14" t="inlineStr">
        <is>
          <t>a</t>
        </is>
      </c>
      <c r="M572" s="14" t="inlineStr">
        <is>
          <t>Una respuesta que altera el alcance de un requisito modifica las reglas del proceso y debe formalizarse en adenda, conocida por todos los interesados.</t>
        </is>
      </c>
      <c r="N572" s="14" t="inlineStr">
        <is>
          <t>Las opciones b) y c) validan un cambio informal por constar por escrito o por no estar prohibido, lo que rompe la igualdad entre oferentes.</t>
        </is>
      </c>
      <c r="O572" s="14" t="inlineStr">
        <is>
          <t>Resolución 5185 de 2013; Constitución Política de 1991, art. 209</t>
        </is>
      </c>
      <c r="P572" s="14" t="inlineStr">
        <is>
          <t>SI</t>
        </is>
      </c>
      <c r="Q572" s="14" t="inlineStr">
        <is>
          <t>Alta</t>
        </is>
      </c>
      <c r="R572" s="14" t="inlineStr">
        <is>
          <t>v2</t>
        </is>
      </c>
    </row>
    <row r="573" ht="57" customHeight="1" s="12">
      <c r="A573" s="14" t="inlineStr">
        <is>
          <t>F0572</t>
        </is>
      </c>
      <c r="B573" s="14" t="inlineStr">
        <is>
          <t>PS 2782 de 2026 - ESE 2 - HUHMP Neiva</t>
        </is>
      </c>
      <c r="C573" s="14" t="inlineStr">
        <is>
          <t>Contratacion en la E.S.E. y transparencia</t>
        </is>
      </c>
      <c r="D573" s="14" t="inlineStr">
        <is>
          <t>Profesional</t>
        </is>
      </c>
      <c r="E573" s="14" t="inlineStr">
        <is>
          <t>C191</t>
        </is>
      </c>
      <c r="F573" s="14" t="inlineStr">
        <is>
          <t>Caso 191</t>
        </is>
      </c>
      <c r="G573" s="14" t="inlineStr">
        <is>
          <t>El hospital publica una invitación para contratar insumos. Un oferente pregunta por correo si puede presentar una certificación de experiencia expedida por su propia empresa. El comité evaluador responde que sí, sin modificar los términos de la invitación, y con esa certificación el oferente resulta adjudicatario.</t>
        </is>
      </c>
      <c r="H573" s="14" t="inlineStr">
        <is>
          <t>Una certificación de experiencia expedida por el propio oferente:</t>
        </is>
      </c>
      <c r="I573" s="14" t="inlineStr">
        <is>
          <t>Carece de idoneidad, porque nadie puede crear su propia prueba de experiencia</t>
        </is>
      </c>
      <c r="J573" s="14" t="inlineStr">
        <is>
          <t>Es idónea si el representante legal la firma y la acompaña de sus estados financieros</t>
        </is>
      </c>
      <c r="K573" s="14" t="inlineStr">
        <is>
          <t>Es idónea cuando el oferente no tiene contratos anteriores con entidades públicas</t>
        </is>
      </c>
      <c r="L573" s="14" t="inlineStr">
        <is>
          <t>a</t>
        </is>
      </c>
      <c r="M573" s="14" t="inlineStr">
        <is>
          <t>La experiencia se acredita con certificaciones expedidas por los contratantes: el oferente no puede crear su propia prueba.</t>
        </is>
      </c>
      <c r="N573" s="14" t="inlineStr">
        <is>
          <t>Las opciones b) y c) buscan suplir la falta de un tercero con la firma del interesado o con su historial.</t>
        </is>
      </c>
      <c r="O573" s="14" t="inlineStr">
        <is>
          <t>Resolución 5185 de 2013; Decreto 1082 de 2015</t>
        </is>
      </c>
      <c r="P573" s="14" t="inlineStr">
        <is>
          <t>SI</t>
        </is>
      </c>
      <c r="Q573" s="14" t="inlineStr">
        <is>
          <t>Alta</t>
        </is>
      </c>
      <c r="R573" s="14" t="inlineStr">
        <is>
          <t>v2</t>
        </is>
      </c>
    </row>
    <row r="574" ht="57" customHeight="1" s="12">
      <c r="A574" s="14" t="inlineStr">
        <is>
          <t>F0573</t>
        </is>
      </c>
      <c r="B574" s="14" t="inlineStr">
        <is>
          <t>PS 2782 de 2026 - ESE 2 - HUHMP Neiva</t>
        </is>
      </c>
      <c r="C574" s="14" t="inlineStr">
        <is>
          <t>Contratacion en la E.S.E. y transparencia</t>
        </is>
      </c>
      <c r="D574" s="14" t="inlineStr">
        <is>
          <t>Profesional</t>
        </is>
      </c>
      <c r="E574" s="14" t="inlineStr">
        <is>
          <t>C191</t>
        </is>
      </c>
      <c r="F574" s="14" t="inlineStr">
        <is>
          <t>Caso 191</t>
        </is>
      </c>
      <c r="G574" s="14" t="inlineStr">
        <is>
          <t>El hospital publica una invitación para contratar insumos. Un oferente pregunta por correo si puede presentar una certificación de experiencia expedida por su propia empresa. El comité evaluador responde que sí, sin modificar los términos de la invitación, y con esa certificación el oferente resulta adjudicatario.</t>
        </is>
      </c>
      <c r="H574" s="14" t="inlineStr">
        <is>
          <t>Un oferente no favorecido advierte el hecho después de la adjudicación. Puede:</t>
        </is>
      </c>
      <c r="I574" s="14" t="inlineStr">
        <is>
          <t>Presentar reclamación ante la entidad y, si persiste, demandar el acto de adjudicación</t>
        </is>
      </c>
      <c r="J574" s="14" t="inlineStr">
        <is>
          <t>Presentar denuncia penal como única vía, por tratarse de un proceso ya adjudicado</t>
        </is>
      </c>
      <c r="K574" s="14" t="inlineStr">
        <is>
          <t>Presentar queja ante la Superintendencia Nacional de Salud, que revisa la adjudicación</t>
        </is>
      </c>
      <c r="L574" s="14" t="inlineStr">
        <is>
          <t>a</t>
        </is>
      </c>
      <c r="M574" s="14" t="inlineStr">
        <is>
          <t>El interesado puede reclamar ante la entidad y, agotado ese camino, demandar el acto de adjudicación ante la jurisdicción.</t>
        </is>
      </c>
      <c r="N574" s="14" t="inlineStr">
        <is>
          <t>La opción b) descarta las vías administrativas y judiciales propias y la opción c) atribuye a la superintendencia una competencia que no tiene sobre la adjudicación.</t>
        </is>
      </c>
      <c r="O574" s="14" t="inlineStr">
        <is>
          <t>Ley 1437 de 2011; Ley 1150 de 2007</t>
        </is>
      </c>
      <c r="P574" s="14" t="inlineStr">
        <is>
          <t>SI</t>
        </is>
      </c>
      <c r="Q574" s="14" t="inlineStr">
        <is>
          <t>Alta</t>
        </is>
      </c>
      <c r="R574" s="14" t="inlineStr">
        <is>
          <t>v2</t>
        </is>
      </c>
    </row>
    <row r="575" ht="45.75" customHeight="1" s="12">
      <c r="A575" s="14" t="inlineStr">
        <is>
          <t>F0574</t>
        </is>
      </c>
      <c r="B575" s="14" t="inlineStr">
        <is>
          <t>PS 2782 de 2026 - ESE 2 - HUHMP Neiva</t>
        </is>
      </c>
      <c r="C575" s="14" t="inlineStr">
        <is>
          <t>Contratacion en la E.S.E. y transparencia</t>
        </is>
      </c>
      <c r="D575" s="14" t="inlineStr">
        <is>
          <t>Tecnico</t>
        </is>
      </c>
      <c r="E575" s="14" t="inlineStr">
        <is>
          <t>C192</t>
        </is>
      </c>
      <c r="F575" s="14" t="inlineStr">
        <is>
          <t>Caso 192</t>
        </is>
      </c>
      <c r="G575" s="14" t="inlineStr">
        <is>
          <t>El almacén reporta que un contratista entregó insumos de una marca distinta a la ofertada, con ficha técnica equivalente y menor precio de mercado. El servicio ya los usó porque había desabastecimiento. El supervisor debe decidir cómo dejar el asunto antes del pago del periodo.</t>
        </is>
      </c>
      <c r="H575" s="14" t="inlineStr">
        <is>
          <t>¿Cuál es la primera actuación del supervisor?</t>
        </is>
      </c>
      <c r="I575" s="14" t="inlineStr">
        <is>
          <t>Documentar la entrega distinta, verificar la equivalencia técnica y decidir con soporte el pago</t>
        </is>
      </c>
      <c r="J575" s="14" t="inlineStr">
        <is>
          <t>Autorizar el pago completo, dado que la ficha técnica es equivalente y el servicio ya los usó</t>
        </is>
      </c>
      <c r="K575" s="14" t="inlineStr">
        <is>
          <t>Rechazar el pago del periodo, porque lo entregado no corresponde con lo ofertado por el contratista</t>
        </is>
      </c>
      <c r="L575" s="14" t="inlineStr">
        <is>
          <t>a</t>
        </is>
      </c>
      <c r="M575" s="14" t="inlineStr">
        <is>
          <t>Lo primero es documentar el hecho y verificar técnicamente la equivalencia; con ese soporte se decide el pago y las consecuencias contractuales.</t>
        </is>
      </c>
      <c r="N575" s="14" t="inlineStr">
        <is>
          <t>La opción b) convalida el cambio sin verificación y la opción c) rechaza de plano sin analizar la equivalencia ni el consumo ya realizado.</t>
        </is>
      </c>
      <c r="O575" s="14" t="inlineStr">
        <is>
          <t>Ley 1474 de 2011, art. 83; Resolución 5185 de 2013</t>
        </is>
      </c>
      <c r="P575" s="14" t="inlineStr">
        <is>
          <t>SI</t>
        </is>
      </c>
      <c r="Q575" s="14" t="inlineStr">
        <is>
          <t>Media</t>
        </is>
      </c>
      <c r="R575" s="14" t="inlineStr">
        <is>
          <t>v2</t>
        </is>
      </c>
    </row>
    <row r="576" ht="45.75" customHeight="1" s="12">
      <c r="A576" s="14" t="inlineStr">
        <is>
          <t>F0575</t>
        </is>
      </c>
      <c r="B576" s="14" t="inlineStr">
        <is>
          <t>PS 2782 de 2026 - ESE 2 - HUHMP Neiva</t>
        </is>
      </c>
      <c r="C576" s="14" t="inlineStr">
        <is>
          <t>Contratacion en la E.S.E. y transparencia</t>
        </is>
      </c>
      <c r="D576" s="14" t="inlineStr">
        <is>
          <t>Tecnico</t>
        </is>
      </c>
      <c r="E576" s="14" t="inlineStr">
        <is>
          <t>C192</t>
        </is>
      </c>
      <c r="F576" s="14" t="inlineStr">
        <is>
          <t>Caso 192</t>
        </is>
      </c>
      <c r="G576" s="14" t="inlineStr">
        <is>
          <t>El almacén reporta que un contratista entregó insumos de una marca distinta a la ofertada, con ficha técnica equivalente y menor precio de mercado. El servicio ya los usó porque había desabastecimiento. El supervisor debe decidir cómo dejar el asunto antes del pago del periodo.</t>
        </is>
      </c>
      <c r="H576" s="14" t="inlineStr">
        <is>
          <t>El cambio de marca sin autorización previa constituye:</t>
        </is>
      </c>
      <c r="I576" s="14" t="inlineStr">
        <is>
          <t>Un incumplimiento, con independencia de que la ficha técnica resulte equivalente</t>
        </is>
      </c>
      <c r="J576" s="14" t="inlineStr">
        <is>
          <t>Un ajuste admisible, dado que la equivalencia técnica preserva el objeto contratado</t>
        </is>
      </c>
      <c r="K576" s="14" t="inlineStr">
        <is>
          <t>Una novedad menor, que se resuelve con la anotación del supervisor en el acta parcial</t>
        </is>
      </c>
      <c r="L576" s="14" t="inlineStr">
        <is>
          <t>a</t>
        </is>
      </c>
      <c r="M576" s="14" t="inlineStr">
        <is>
          <t>Entregar algo distinto de lo ofertado es incumplimiento, aunque después se acredite equivalencia: la modificación requería autorización previa.</t>
        </is>
      </c>
      <c r="N576" s="14" t="inlineStr">
        <is>
          <t>Las opciones b) y c) tratan como ajuste operativo una modificación del objeto que debía aprobarse antes.</t>
        </is>
      </c>
      <c r="O576" s="14" t="inlineStr">
        <is>
          <t>Resolución 5185 de 2013</t>
        </is>
      </c>
      <c r="P576" s="14" t="inlineStr">
        <is>
          <t>SI</t>
        </is>
      </c>
      <c r="Q576" s="14" t="inlineStr">
        <is>
          <t>Media</t>
        </is>
      </c>
      <c r="R576" s="14" t="inlineStr">
        <is>
          <t>v2</t>
        </is>
      </c>
    </row>
    <row r="577" ht="45.75" customHeight="1" s="12">
      <c r="A577" s="14" t="inlineStr">
        <is>
          <t>F0576</t>
        </is>
      </c>
      <c r="B577" s="14" t="inlineStr">
        <is>
          <t>PS 2782 de 2026 - ESE 2 - HUHMP Neiva</t>
        </is>
      </c>
      <c r="C577" s="14" t="inlineStr">
        <is>
          <t>Contratacion en la E.S.E. y transparencia</t>
        </is>
      </c>
      <c r="D577" s="14" t="inlineStr">
        <is>
          <t>Tecnico</t>
        </is>
      </c>
      <c r="E577" s="14" t="inlineStr">
        <is>
          <t>C192</t>
        </is>
      </c>
      <c r="F577" s="14" t="inlineStr">
        <is>
          <t>Caso 192</t>
        </is>
      </c>
      <c r="G577" s="14" t="inlineStr">
        <is>
          <t>El almacén reporta que un contratista entregó insumos de una marca distinta a la ofertada, con ficha técnica equivalente y menor precio de mercado. El servicio ya los usó porque había desabastecimiento. El supervisor debe decidir cómo dejar el asunto antes del pago del periodo.</t>
        </is>
      </c>
      <c r="H577" s="14" t="inlineStr">
        <is>
          <t>Si la equivalencia se acredita y el hospital ya consumió los insumos, corresponde:</t>
        </is>
      </c>
      <c r="I577" s="14" t="inlineStr">
        <is>
          <t>Pagar lo efectivamente recibido y dejar el incumplimiento documentado en la carpeta contractual</t>
        </is>
      </c>
      <c r="J577" s="14" t="inlineStr">
        <is>
          <t>Pagar el valor de lo ofertado inicialmente, sin referencia a lo que finalmente se entregó</t>
        </is>
      </c>
      <c r="K577" s="14" t="inlineStr">
        <is>
          <t>Pagar el menor valor de mercado y compensar la diferencia en la siguiente entrega del contrato</t>
        </is>
      </c>
      <c r="L577" s="14" t="inlineStr">
        <is>
          <t>a</t>
        </is>
      </c>
      <c r="M577" s="14" t="inlineStr">
        <is>
          <t>Se paga lo efectivamente recibido y se documenta el incumplimiento para las actuaciones contractuales que procedan.</t>
        </is>
      </c>
      <c r="N577" s="14" t="inlineStr">
        <is>
          <t>La opción b) desconoce lo realmente entregado y la opción c) inventa una compensación no pactada.</t>
        </is>
      </c>
      <c r="O577" s="14" t="inlineStr">
        <is>
          <t>Ley 1474 de 2011; Resolución 5185 de 2013</t>
        </is>
      </c>
      <c r="P577" s="14" t="inlineStr">
        <is>
          <t>SI</t>
        </is>
      </c>
      <c r="Q577" s="14" t="inlineStr">
        <is>
          <t>Media</t>
        </is>
      </c>
      <c r="R577" s="14" t="inlineStr">
        <is>
          <t>v2</t>
        </is>
      </c>
    </row>
    <row r="578" ht="57" customHeight="1" s="12">
      <c r="A578" s="14" t="inlineStr">
        <is>
          <t>F0577</t>
        </is>
      </c>
      <c r="B578" s="14" t="inlineStr">
        <is>
          <t>PS 2782 de 2026 - ESE 2 - HUHMP Neiva</t>
        </is>
      </c>
      <c r="C578" s="14" t="inlineStr">
        <is>
          <t>Contratacion en la E.S.E. y transparencia</t>
        </is>
      </c>
      <c r="D578" s="14" t="inlineStr">
        <is>
          <t>Profesional</t>
        </is>
      </c>
      <c r="E578" s="14" t="inlineStr">
        <is>
          <t>C193</t>
        </is>
      </c>
      <c r="F578" s="14" t="inlineStr">
        <is>
          <t>Caso 193</t>
        </is>
      </c>
      <c r="G578" s="14" t="inlineStr">
        <is>
          <t>Una veeduría ciudadana solicita asistir a la audiencia de evaluación de ofertas de un proceso del hospital y pide con antelación las propuestas presentadas. El comité evaluador teme que la presencia de terceros entorpezca la sesión y que la entrega de propuestas afecte información de los oferentes.</t>
        </is>
      </c>
      <c r="H578" s="14" t="inlineStr">
        <is>
          <t>¿Qué debe decidir el comité frente a la solicitud?</t>
        </is>
      </c>
      <c r="I578" s="14" t="inlineStr">
        <is>
          <t>Permitir la participación de la veeduría y entregar la información pública del proceso</t>
        </is>
      </c>
      <c r="J578" s="14" t="inlineStr">
        <is>
          <t>Permitir la participación solo como observadores, sin acceso a documento alguno del proceso</t>
        </is>
      </c>
      <c r="K578" s="14" t="inlineStr">
        <is>
          <t>Permitir la participación cuando el comité evaluador lo autorice mediante acta motivada</t>
        </is>
      </c>
      <c r="L578" s="14" t="inlineStr">
        <is>
          <t>a</t>
        </is>
      </c>
      <c r="M578" s="14" t="inlineStr">
        <is>
          <t>Las veedurías ciudadanas pueden intervenir en los procesos contractuales y acceder a la información pública, protegiendo solo lo amparado por reserva.</t>
        </is>
      </c>
      <c r="N578" s="14" t="inlineStr">
        <is>
          <t>Las opciones b) y c) restringen un derecho legal condicionándolo al silencio documental o a una autorización del propio evaluado.</t>
        </is>
      </c>
      <c r="O578" s="14" t="inlineStr">
        <is>
          <t>Ley 850 de 2003; Ley 1712 de 2014</t>
        </is>
      </c>
      <c r="P578" s="14" t="inlineStr">
        <is>
          <t>SI</t>
        </is>
      </c>
      <c r="Q578" s="14" t="inlineStr">
        <is>
          <t>Media</t>
        </is>
      </c>
      <c r="R578" s="14" t="inlineStr">
        <is>
          <t>v2</t>
        </is>
      </c>
    </row>
    <row r="579" ht="57" customHeight="1" s="12">
      <c r="A579" s="14" t="inlineStr">
        <is>
          <t>F0578</t>
        </is>
      </c>
      <c r="B579" s="14" t="inlineStr">
        <is>
          <t>PS 2782 de 2026 - ESE 2 - HUHMP Neiva</t>
        </is>
      </c>
      <c r="C579" s="14" t="inlineStr">
        <is>
          <t>Contratacion en la E.S.E. y transparencia</t>
        </is>
      </c>
      <c r="D579" s="14" t="inlineStr">
        <is>
          <t>Profesional</t>
        </is>
      </c>
      <c r="E579" s="14" t="inlineStr">
        <is>
          <t>C193</t>
        </is>
      </c>
      <c r="F579" s="14" t="inlineStr">
        <is>
          <t>Caso 193</t>
        </is>
      </c>
      <c r="G579" s="14" t="inlineStr">
        <is>
          <t>Una veeduría ciudadana solicita asistir a la audiencia de evaluación de ofertas de un proceso del hospital y pide con antelación las propuestas presentadas. El comité evaluador teme que la presencia de terceros entorpezca la sesión y que la entrega de propuestas afecte información de los oferentes.</t>
        </is>
      </c>
      <c r="H579" s="14" t="inlineStr">
        <is>
          <t>Sobre las propuestas solicitadas, la entidad debe:</t>
        </is>
      </c>
      <c r="I579" s="14" t="inlineStr">
        <is>
          <t>Entregarlas protegiendo con tacha lo que esté amparado por reserva legal expresa</t>
        </is>
      </c>
      <c r="J579" s="14" t="inlineStr">
        <is>
          <t>Entregarlas completas, dado que los oferentes aceptaron las reglas del proceso</t>
        </is>
      </c>
      <c r="K579" s="14" t="inlineStr">
        <is>
          <t>Reservarlas hasta la adjudicación, conforme a la práctica habitual de la entidad</t>
        </is>
      </c>
      <c r="L579" s="14" t="inlineStr">
        <is>
          <t>a</t>
        </is>
      </c>
      <c r="M579" s="14" t="inlineStr">
        <is>
          <t>Se entrega la información pública y se protege únicamente lo cobijado por una reserva legal, como el secreto industrial debidamente acreditado.</t>
        </is>
      </c>
      <c r="N579" s="14" t="inlineStr">
        <is>
          <t>La opción b) desconoce esa protección y la opción c) crea una reserva basada en la costumbre.</t>
        </is>
      </c>
      <c r="O579" s="14" t="inlineStr">
        <is>
          <t>Ley 1712 de 2014, arts. 18 y 21</t>
        </is>
      </c>
      <c r="P579" s="14" t="inlineStr">
        <is>
          <t>SI</t>
        </is>
      </c>
      <c r="Q579" s="14" t="inlineStr">
        <is>
          <t>Media</t>
        </is>
      </c>
      <c r="R579" s="14" t="inlineStr">
        <is>
          <t>v2</t>
        </is>
      </c>
    </row>
    <row r="580" ht="57" customHeight="1" s="12">
      <c r="A580" s="14" t="inlineStr">
        <is>
          <t>F0579</t>
        </is>
      </c>
      <c r="B580" s="14" t="inlineStr">
        <is>
          <t>PS 2782 de 2026 - ESE 2 - HUHMP Neiva</t>
        </is>
      </c>
      <c r="C580" s="14" t="inlineStr">
        <is>
          <t>Contratacion en la E.S.E. y transparencia</t>
        </is>
      </c>
      <c r="D580" s="14" t="inlineStr">
        <is>
          <t>Profesional</t>
        </is>
      </c>
      <c r="E580" s="14" t="inlineStr">
        <is>
          <t>C193</t>
        </is>
      </c>
      <c r="F580" s="14" t="inlineStr">
        <is>
          <t>Caso 193</t>
        </is>
      </c>
      <c r="G580" s="14" t="inlineStr">
        <is>
          <t>Una veeduría ciudadana solicita asistir a la audiencia de evaluación de ofertas de un proceso del hospital y pide con antelación las propuestas presentadas. El comité evaluador teme que la presencia de terceros entorpezca la sesión y que la entrega de propuestas afecte información de los oferentes.</t>
        </is>
      </c>
      <c r="H580" s="14" t="inlineStr">
        <is>
          <t>Si la veeduría advierte una irregularidad en la evaluación, el comité debe:</t>
        </is>
      </c>
      <c r="I580" s="14" t="inlineStr">
        <is>
          <t>Analizar la observación y responderla de manera motivada antes de adjudicar</t>
        </is>
      </c>
      <c r="J580" s="14" t="inlineStr">
        <is>
          <t>Registrar la observación en el acta y continuar con la adjudicación prevista</t>
        </is>
      </c>
      <c r="K580" s="14" t="inlineStr">
        <is>
          <t>Remitir la observación a los órganos de control para que ellos la resuelvan</t>
        </is>
      </c>
      <c r="L580" s="14" t="inlineStr">
        <is>
          <t>a</t>
        </is>
      </c>
      <c r="M580" s="14" t="inlineStr">
        <is>
          <t>Las observaciones deben analizarse y responderse de forma motivada antes de adjudicar, porque pueden incidir en la decisión.</t>
        </is>
      </c>
      <c r="N580" s="14" t="inlineStr">
        <is>
          <t>La opción b) las archiva y la opción c) traslada a un tercero una respuesta que corresponde a la entidad.</t>
        </is>
      </c>
      <c r="O580" s="14" t="inlineStr">
        <is>
          <t>Ley 850 de 2003; Resolución 5185 de 2013</t>
        </is>
      </c>
      <c r="P580" s="14" t="inlineStr">
        <is>
          <t>SI</t>
        </is>
      </c>
      <c r="Q580" s="14" t="inlineStr">
        <is>
          <t>Media</t>
        </is>
      </c>
      <c r="R580" s="14" t="inlineStr">
        <is>
          <t>v2</t>
        </is>
      </c>
    </row>
    <row r="581" ht="57" customHeight="1" s="12">
      <c r="A581" s="14" t="inlineStr">
        <is>
          <t>F0580</t>
        </is>
      </c>
      <c r="B581" s="14" t="inlineStr">
        <is>
          <t>PS 2782 de 2026 - ESE 2 - HUHMP Neiva</t>
        </is>
      </c>
      <c r="C581" s="14" t="inlineStr">
        <is>
          <t>Contratacion en la E.S.E. y transparencia</t>
        </is>
      </c>
      <c r="D581" s="14" t="inlineStr">
        <is>
          <t>Tecnico</t>
        </is>
      </c>
      <c r="E581" s="14" t="inlineStr">
        <is>
          <t>C194</t>
        </is>
      </c>
      <c r="F581" s="14" t="inlineStr">
        <is>
          <t>Caso 194</t>
        </is>
      </c>
      <c r="G581" s="14" t="inlineStr">
        <is>
          <t>Un contrato de prestación de servicios terminó hace cinco meses y no se ha liquidado. El contratista pide una certificación de experiencia para presentarse a otro proceso y la oficina de contratación duda si puede expedirla sin la liquidación, o si eso compromete a la entidad frente a saldos pendientes.</t>
        </is>
      </c>
      <c r="H581" s="14" t="inlineStr">
        <is>
          <t>¿Puede expedirse la certificación solicitada?</t>
        </is>
      </c>
      <c r="I581" s="14" t="inlineStr">
        <is>
          <t>Expedir la certificación con los datos de ejecución, precisando que el contrato no está liquidado</t>
        </is>
      </c>
      <c r="J581" s="14" t="inlineStr">
        <is>
          <t>Expedir la certificación solo después de suscrita el acta de liquidación del contrato</t>
        </is>
      </c>
      <c r="K581" s="14" t="inlineStr">
        <is>
          <t>Expedir la certificación una vez el contratista acredite que no tiene saldos pendientes</t>
        </is>
      </c>
      <c r="L581" s="14" t="inlineStr">
        <is>
          <t>a</t>
        </is>
      </c>
      <c r="M581" s="14" t="inlineStr">
        <is>
          <t>La certificación da cuenta de la ejecución y puede expedirse precisando el estado del contrato; la liquidación es un trámite distinto que no condiciona ese derecho.</t>
        </is>
      </c>
      <c r="N581" s="14" t="inlineStr">
        <is>
          <t>Las opciones b) y c) condicionan la certificación a trámites ajenos y afectan sin razón la posibilidad de participar en otros procesos.</t>
        </is>
      </c>
      <c r="O581" s="14" t="inlineStr">
        <is>
          <t>Ley 1437 de 2011, art. 5; Resolución 5185 de 2013</t>
        </is>
      </c>
      <c r="P581" s="14" t="inlineStr">
        <is>
          <t>SI</t>
        </is>
      </c>
      <c r="Q581" s="14" t="inlineStr">
        <is>
          <t>Basica</t>
        </is>
      </c>
      <c r="R581" s="14" t="inlineStr">
        <is>
          <t>v2</t>
        </is>
      </c>
    </row>
    <row r="582" ht="57" customHeight="1" s="12">
      <c r="A582" s="14" t="inlineStr">
        <is>
          <t>F0581</t>
        </is>
      </c>
      <c r="B582" s="14" t="inlineStr">
        <is>
          <t>PS 2782 de 2026 - ESE 2 - HUHMP Neiva</t>
        </is>
      </c>
      <c r="C582" s="14" t="inlineStr">
        <is>
          <t>Contratacion en la E.S.E. y transparencia</t>
        </is>
      </c>
      <c r="D582" s="14" t="inlineStr">
        <is>
          <t>Tecnico</t>
        </is>
      </c>
      <c r="E582" s="14" t="inlineStr">
        <is>
          <t>C194</t>
        </is>
      </c>
      <c r="F582" s="14" t="inlineStr">
        <is>
          <t>Caso 194</t>
        </is>
      </c>
      <c r="G582" s="14" t="inlineStr">
        <is>
          <t>Un contrato de prestación de servicios terminó hace cinco meses y no se ha liquidado. El contratista pide una certificación de experiencia para presentarse a otro proceso y la oficina de contratación duda si puede expedirla sin la liquidación, o si eso compromete a la entidad frente a saldos pendientes.</t>
        </is>
      </c>
      <c r="H582" s="14" t="inlineStr">
        <is>
          <t>El término para liquidar de común acuerdo el contrato, salvo pacto distinto, es:</t>
        </is>
      </c>
      <c r="I582" s="14" t="inlineStr">
        <is>
          <t>Cuatro meses siguientes al vencimiento del plazo de ejecución del contrato</t>
        </is>
      </c>
      <c r="J582" s="14" t="inlineStr">
        <is>
          <t>Seis meses siguientes al vencimiento del plazo de ejecución del contrato</t>
        </is>
      </c>
      <c r="K582" s="14" t="inlineStr">
        <is>
          <t>Doce meses siguientes al vencimiento del plazo de ejecución del contrato</t>
        </is>
      </c>
      <c r="L582" s="14" t="inlineStr">
        <is>
          <t>a</t>
        </is>
      </c>
      <c r="M582" s="14" t="inlineStr">
        <is>
          <t>La liquidación de común acuerdo procede dentro de los cuatro meses siguientes al vencimiento del plazo, salvo que las partes pacten otro término.</t>
        </is>
      </c>
      <c r="N582" s="14" t="inlineStr">
        <is>
          <t>Las opciones b) y c) corresponden a los plazos de la liquidación unilateral o judicial, no a la bilateral.</t>
        </is>
      </c>
      <c r="O582" s="14" t="inlineStr">
        <is>
          <t>Ley 1150 de 2007, art. 11</t>
        </is>
      </c>
      <c r="P582" s="14" t="inlineStr">
        <is>
          <t>SI</t>
        </is>
      </c>
      <c r="Q582" s="14" t="inlineStr">
        <is>
          <t>Basica</t>
        </is>
      </c>
      <c r="R582" s="14" t="inlineStr">
        <is>
          <t>v2</t>
        </is>
      </c>
    </row>
    <row r="583" ht="57" customHeight="1" s="12">
      <c r="A583" s="14" t="inlineStr">
        <is>
          <t>F0582</t>
        </is>
      </c>
      <c r="B583" s="14" t="inlineStr">
        <is>
          <t>PS 2782 de 2026 - ESE 2 - HUHMP Neiva</t>
        </is>
      </c>
      <c r="C583" s="14" t="inlineStr">
        <is>
          <t>Contratacion en la E.S.E. y transparencia</t>
        </is>
      </c>
      <c r="D583" s="14" t="inlineStr">
        <is>
          <t>Tecnico</t>
        </is>
      </c>
      <c r="E583" s="14" t="inlineStr">
        <is>
          <t>C194</t>
        </is>
      </c>
      <c r="F583" s="14" t="inlineStr">
        <is>
          <t>Caso 194</t>
        </is>
      </c>
      <c r="G583" s="14" t="inlineStr">
        <is>
          <t>Un contrato de prestación de servicios terminó hace cinco meses y no se ha liquidado. El contratista pide una certificación de experiencia para presentarse a otro proceso y la oficina de contratación duda si puede expedirla sin la liquidación, o si eso compromete a la entidad frente a saldos pendientes.</t>
        </is>
      </c>
      <c r="H583" s="14" t="inlineStr">
        <is>
          <t>La liquidación del contrato tiene por finalidad:</t>
        </is>
      </c>
      <c r="I583" s="14" t="inlineStr">
        <is>
          <t>Establecer el balance final de la ejecución y dejar constancia de acuerdos y salvedades</t>
        </is>
      </c>
      <c r="J583" s="14" t="inlineStr">
        <is>
          <t>Habilitar el pago del último periodo ejecutado por el contratista durante la vigencia</t>
        </is>
      </c>
      <c r="K583" s="14" t="inlineStr">
        <is>
          <t>Certificar ante terceros que el contratista cumplió a satisfacción todo el objeto</t>
        </is>
      </c>
      <c r="L583" s="14" t="inlineStr">
        <is>
          <t>a</t>
        </is>
      </c>
      <c r="M583" s="14" t="inlineStr">
        <is>
          <t>La liquidación fija el balance final de la ejecución y recoge los acuerdos y salvedades de las partes.</t>
        </is>
      </c>
      <c r="N583" s="14" t="inlineStr">
        <is>
          <t>La opción b) confunde la liquidación con el trámite de pago y la opción c) con la certificación de cumplimiento.</t>
        </is>
      </c>
      <c r="O583" s="14" t="inlineStr">
        <is>
          <t>Ley 1150 de 2007, art. 11</t>
        </is>
      </c>
      <c r="P583" s="14" t="inlineStr">
        <is>
          <t>SI</t>
        </is>
      </c>
      <c r="Q583" s="14" t="inlineStr">
        <is>
          <t>Basica</t>
        </is>
      </c>
      <c r="R583" s="14" t="inlineStr">
        <is>
          <t>v2</t>
        </is>
      </c>
    </row>
    <row r="584" ht="57" customHeight="1" s="12">
      <c r="A584" s="14" t="inlineStr">
        <is>
          <t>F0583</t>
        </is>
      </c>
      <c r="B584" s="14" t="inlineStr">
        <is>
          <t>PS 2782 de 2026 - ESE 2 - HUHMP Neiva</t>
        </is>
      </c>
      <c r="C584" s="14" t="inlineStr">
        <is>
          <t>Seguridad del paciente</t>
        </is>
      </c>
      <c r="D584" s="14" t="inlineStr">
        <is>
          <t>Profesional</t>
        </is>
      </c>
      <c r="E584" s="14" t="inlineStr">
        <is>
          <t>C195</t>
        </is>
      </c>
      <c r="F584" s="14" t="inlineStr">
        <is>
          <t>Caso 195</t>
        </is>
      </c>
      <c r="G584" s="14" t="inlineStr">
        <is>
          <t>En la ronda de la mañana, el residente encuentra que un paciente recibió durante dos días la dosis de un anticoagulante calculada para otro peso. El paciente presenta hematomas y una caída de hemoglobina. La enfermera del turno dice que siguió la orden tal como estaba escrita y el médico que prescribió sostiene que el peso en la historia estaba errado.</t>
        </is>
      </c>
      <c r="H584" s="14" t="inlineStr">
        <is>
          <t>¿Cuál es la actuación prioritaria del equipo?</t>
        </is>
      </c>
      <c r="I584" s="14" t="inlineStr">
        <is>
          <t>Atender de inmediato al paciente, informar el hecho al equipo tratante y registrar lo ocurrido</t>
        </is>
      </c>
      <c r="J584" s="14" t="inlineStr">
        <is>
          <t>Atender al paciente y convocar el comité de seguridad antes de informar a la familia</t>
        </is>
      </c>
      <c r="K584" s="14" t="inlineStr">
        <is>
          <t>Atender al paciente y esperar el resultado del análisis causal para definir qué se informa</t>
        </is>
      </c>
      <c r="L584" s="14" t="inlineStr">
        <is>
          <t>a</t>
        </is>
      </c>
      <c r="M584" s="14" t="inlineStr">
        <is>
          <t>La prioridad es el manejo clínico del daño y el registro veraz; la información al paciente y a su familia no depende del avance de la investigación interna.</t>
        </is>
      </c>
      <c r="N584" s="14" t="inlineStr">
        <is>
          <t>Las opciones b) y c) subordinan un deber de información inmediato a un trámite interno que puede tomar semanas.</t>
        </is>
      </c>
      <c r="O584" s="14" t="inlineStr">
        <is>
          <t>Ley 1751 de 2015, art. 10; Política de Seguridad del Paciente, Minsalud</t>
        </is>
      </c>
      <c r="P584" s="14" t="inlineStr">
        <is>
          <t>SI</t>
        </is>
      </c>
      <c r="Q584" s="14" t="inlineStr">
        <is>
          <t>Alta</t>
        </is>
      </c>
      <c r="R584" s="14" t="inlineStr">
        <is>
          <t>v2</t>
        </is>
      </c>
    </row>
    <row r="585" ht="57" customHeight="1" s="12">
      <c r="A585" s="14" t="inlineStr">
        <is>
          <t>F0584</t>
        </is>
      </c>
      <c r="B585" s="14" t="inlineStr">
        <is>
          <t>PS 2782 de 2026 - ESE 2 - HUHMP Neiva</t>
        </is>
      </c>
      <c r="C585" s="14" t="inlineStr">
        <is>
          <t>Seguridad del paciente</t>
        </is>
      </c>
      <c r="D585" s="14" t="inlineStr">
        <is>
          <t>Profesional</t>
        </is>
      </c>
      <c r="E585" s="14" t="inlineStr">
        <is>
          <t>C195</t>
        </is>
      </c>
      <c r="F585" s="14" t="inlineStr">
        <is>
          <t>Caso 195</t>
        </is>
      </c>
      <c r="G585" s="14" t="inlineStr">
        <is>
          <t>En la ronda de la mañana, el residente encuentra que un paciente recibió durante dos días la dosis de un anticoagulante calculada para otro peso. El paciente presenta hematomas y una caída de hemoglobina. La enfermera del turno dice que siguió la orden tal como estaba escrita y el médico que prescribió sostiene que el peso en la historia estaba errado.</t>
        </is>
      </c>
      <c r="H585" s="14" t="inlineStr">
        <is>
          <t>Frente a la discusión sobre quién tuvo la culpa, el análisis institucional debe:</t>
        </is>
      </c>
      <c r="I585" s="14" t="inlineStr">
        <is>
          <t>Identificar las fallas activas y latentes del proceso de prescripción y administración</t>
        </is>
      </c>
      <c r="J585" s="14" t="inlineStr">
        <is>
          <t>Identificar al responsable directo del error para aplicar la medida correctiva del caso</t>
        </is>
      </c>
      <c r="K585" s="14" t="inlineStr">
        <is>
          <t>Identificar si el dato del peso fue registrado por personal en formación o de planta</t>
        </is>
      </c>
      <c r="L585" s="14" t="inlineStr">
        <is>
          <t>a</t>
        </is>
      </c>
      <c r="M585" s="14" t="inlineStr">
        <is>
          <t>El análisis causal busca las fallas del sistema, activas y latentes, porque el error suele ser el resultado de varias barreras que fallaron.</t>
        </is>
      </c>
      <c r="N585" s="14" t="inlineStr">
        <is>
          <t>Las opciones b) y c) buscan un culpable individual, con lo cual el proceso queda igual y el error puede repetirse.</t>
        </is>
      </c>
      <c r="O585" s="14" t="inlineStr">
        <is>
          <t>Política de Seguridad del Paciente, Minsalud</t>
        </is>
      </c>
      <c r="P585" s="14" t="inlineStr">
        <is>
          <t>SI</t>
        </is>
      </c>
      <c r="Q585" s="14" t="inlineStr">
        <is>
          <t>Alta</t>
        </is>
      </c>
      <c r="R585" s="14" t="inlineStr">
        <is>
          <t>v2</t>
        </is>
      </c>
    </row>
    <row r="586" ht="57" customHeight="1" s="12">
      <c r="A586" s="14" t="inlineStr">
        <is>
          <t>F0585</t>
        </is>
      </c>
      <c r="B586" s="14" t="inlineStr">
        <is>
          <t>PS 2782 de 2026 - ESE 2 - HUHMP Neiva</t>
        </is>
      </c>
      <c r="C586" s="14" t="inlineStr">
        <is>
          <t>Seguridad del paciente</t>
        </is>
      </c>
      <c r="D586" s="14" t="inlineStr">
        <is>
          <t>Profesional</t>
        </is>
      </c>
      <c r="E586" s="14" t="inlineStr">
        <is>
          <t>C195</t>
        </is>
      </c>
      <c r="F586" s="14" t="inlineStr">
        <is>
          <t>Caso 195</t>
        </is>
      </c>
      <c r="G586" s="14" t="inlineStr">
        <is>
          <t>En la ronda de la mañana, el residente encuentra que un paciente recibió durante dos días la dosis de un anticoagulante calculada para otro peso. El paciente presenta hematomas y una caída de hemoglobina. La enfermera del turno dice que siguió la orden tal como estaba escrita y el médico que prescribió sostiene que el peso en la historia estaba errado.</t>
        </is>
      </c>
      <c r="H586" s="14" t="inlineStr">
        <is>
          <t>Como el anticoagulante es un medicamento de alto riesgo, la barrera exigible es:</t>
        </is>
      </c>
      <c r="I586" s="14" t="inlineStr">
        <is>
          <t>Verificar la dosis con doble chequeo independiente antes de cada administración</t>
        </is>
      </c>
      <c r="J586" s="14" t="inlineStr">
        <is>
          <t>Verificar la dosis con el médico prescriptor al inicio de cada turno del servicio</t>
        </is>
      </c>
      <c r="K586" s="14" t="inlineStr">
        <is>
          <t>Verificar la dosis contra el peso registrado al ingreso del paciente al servicio</t>
        </is>
      </c>
      <c r="L586" s="14" t="inlineStr">
        <is>
          <t>a</t>
        </is>
      </c>
      <c r="M586" s="14" t="inlineStr">
        <is>
          <t>Los medicamentos de alto riesgo exigen doble verificación independiente antes de administrarse, no solo la lectura de la orden.</t>
        </is>
      </c>
      <c r="N586" s="14" t="inlineStr">
        <is>
          <t>La opción b) depende de la disponibilidad del médico y la opción c) valida contra un dato que en este caso estaba errado.</t>
        </is>
      </c>
      <c r="O586" s="14" t="inlineStr">
        <is>
          <t>Resolución 1403 de 2007; paquetes instruccionales de Minsalud</t>
        </is>
      </c>
      <c r="P586" s="14" t="inlineStr">
        <is>
          <t>SI</t>
        </is>
      </c>
      <c r="Q586" s="14" t="inlineStr">
        <is>
          <t>Alta</t>
        </is>
      </c>
      <c r="R586" s="14" t="inlineStr">
        <is>
          <t>v2</t>
        </is>
      </c>
    </row>
    <row r="587" ht="57" customHeight="1" s="12">
      <c r="A587" s="14" t="inlineStr">
        <is>
          <t>F0586</t>
        </is>
      </c>
      <c r="B587" s="14" t="inlineStr">
        <is>
          <t>PS 2782 de 2026 - ESE 2 - HUHMP Neiva</t>
        </is>
      </c>
      <c r="C587" s="14" t="inlineStr">
        <is>
          <t>Seguridad del paciente</t>
        </is>
      </c>
      <c r="D587" s="14" t="inlineStr">
        <is>
          <t>Profesional</t>
        </is>
      </c>
      <c r="E587" s="14" t="inlineStr">
        <is>
          <t>C196</t>
        </is>
      </c>
      <c r="F587" s="14" t="inlineStr">
        <is>
          <t>Caso 196</t>
        </is>
      </c>
      <c r="G587" s="14" t="inlineStr">
        <is>
          <t>El servicio reporta tres casos de úlceras por presión en pacientes hospitalizados más de diez días. La escala de valoración del riesgo se diligencia al ingreso, pero no se repite después. El jefe del servicio atribuye los casos a la sobrecarga y pide más personal antes de intervenir el proceso.</t>
        </is>
      </c>
      <c r="H587" s="14" t="inlineStr">
        <is>
          <t>¿Dónde debe intervenir primero el servicio?</t>
        </is>
      </c>
      <c r="I587" s="14" t="inlineStr">
        <is>
          <t>Reevaluar el riesgo con la periodicidad definida y medir la adherencia a los cambios de posición</t>
        </is>
      </c>
      <c r="J587" s="14" t="inlineStr">
        <is>
          <t>Reevaluar la dotación del servicio y gestionar la ampliación del personal asistencial</t>
        </is>
      </c>
      <c r="K587" s="14" t="inlineStr">
        <is>
          <t>Reevaluar los casos en comité y documentar la sobrecarga como causa principal del hallazgo</t>
        </is>
      </c>
      <c r="L587" s="14" t="inlineStr">
        <is>
          <t>a</t>
        </is>
      </c>
      <c r="M587" s="14" t="inlineStr">
        <is>
          <t>La barrera que falló es la reevaluación periódica del riesgo y la adherencia a las medidas preventivas; ahí debe intervenirse primero.</t>
        </is>
      </c>
      <c r="N587" s="14" t="inlineStr">
        <is>
          <t>Las opciones b) y c) actúan sobre un factor contribuyente sin corregir la práctica que falló.</t>
        </is>
      </c>
      <c r="O587" s="14" t="inlineStr">
        <is>
          <t>Paquetes instruccionales de seguridad del paciente, Minsalud</t>
        </is>
      </c>
      <c r="P587" s="14" t="inlineStr">
        <is>
          <t>SI</t>
        </is>
      </c>
      <c r="Q587" s="14" t="inlineStr">
        <is>
          <t>Media</t>
        </is>
      </c>
      <c r="R587" s="14" t="inlineStr">
        <is>
          <t>v2</t>
        </is>
      </c>
    </row>
    <row r="588" ht="57" customHeight="1" s="12">
      <c r="A588" s="14" t="inlineStr">
        <is>
          <t>F0587</t>
        </is>
      </c>
      <c r="B588" s="14" t="inlineStr">
        <is>
          <t>PS 2782 de 2026 - ESE 2 - HUHMP Neiva</t>
        </is>
      </c>
      <c r="C588" s="14" t="inlineStr">
        <is>
          <t>Seguridad del paciente</t>
        </is>
      </c>
      <c r="D588" s="14" t="inlineStr">
        <is>
          <t>Profesional</t>
        </is>
      </c>
      <c r="E588" s="14" t="inlineStr">
        <is>
          <t>C196</t>
        </is>
      </c>
      <c r="F588" s="14" t="inlineStr">
        <is>
          <t>Caso 196</t>
        </is>
      </c>
      <c r="G588" s="14" t="inlineStr">
        <is>
          <t>El servicio reporta tres casos de úlceras por presión en pacientes hospitalizados más de diez días. La escala de valoración del riesgo se diligencia al ingreso, pero no se repite después. El jefe del servicio atribuye los casos a la sobrecarga y pide más personal antes de intervenir el proceso.</t>
        </is>
      </c>
      <c r="H588" s="14" t="inlineStr">
        <is>
          <t>La aparición de una úlcera por presión durante la hospitalización se clasifica como:</t>
        </is>
      </c>
      <c r="I588" s="14" t="inlineStr">
        <is>
          <t>Evento adverso, cuando se asocia al cuidado recibido durante la estancia</t>
        </is>
      </c>
      <c r="J588" s="14" t="inlineStr">
        <is>
          <t>Complicación esperable, cuando el paciente tiene movilidad reducida al ingreso</t>
        </is>
      </c>
      <c r="K588" s="14" t="inlineStr">
        <is>
          <t>Incidente sin daño, cuando la lesión se detecta en estadio inicial y se revierte</t>
        </is>
      </c>
      <c r="L588" s="14" t="inlineStr">
        <is>
          <t>a</t>
        </is>
      </c>
      <c r="M588" s="14" t="inlineStr">
        <is>
          <t>Es un daño no intencional derivado de la atención y se gestiona como evento adverso, aunque existan factores de riesgo propios del paciente.</t>
        </is>
      </c>
      <c r="N588" s="14" t="inlineStr">
        <is>
          <t>La opción b) lo atribuye a la condición basal y la opción c) desconoce que la lesión ya se produjo.</t>
        </is>
      </c>
      <c r="O588" s="14" t="inlineStr">
        <is>
          <t>Política de Seguridad del Paciente, Minsalud</t>
        </is>
      </c>
      <c r="P588" s="14" t="inlineStr">
        <is>
          <t>SI</t>
        </is>
      </c>
      <c r="Q588" s="14" t="inlineStr">
        <is>
          <t>Media</t>
        </is>
      </c>
      <c r="R588" s="14" t="inlineStr">
        <is>
          <t>v2</t>
        </is>
      </c>
    </row>
    <row r="589" ht="57" customHeight="1" s="12">
      <c r="A589" s="14" t="inlineStr">
        <is>
          <t>F0588</t>
        </is>
      </c>
      <c r="B589" s="14" t="inlineStr">
        <is>
          <t>PS 2782 de 2026 - ESE 2 - HUHMP Neiva</t>
        </is>
      </c>
      <c r="C589" s="14" t="inlineStr">
        <is>
          <t>Seguridad del paciente</t>
        </is>
      </c>
      <c r="D589" s="14" t="inlineStr">
        <is>
          <t>Profesional</t>
        </is>
      </c>
      <c r="E589" s="14" t="inlineStr">
        <is>
          <t>C196</t>
        </is>
      </c>
      <c r="F589" s="14" t="inlineStr">
        <is>
          <t>Caso 196</t>
        </is>
      </c>
      <c r="G589" s="14" t="inlineStr">
        <is>
          <t>El servicio reporta tres casos de úlceras por presión en pacientes hospitalizados más de diez días. La escala de valoración del riesgo se diligencia al ingreso, pero no se repite después. El jefe del servicio atribuye los casos a la sobrecarga y pide más personal antes de intervenir el proceso.</t>
        </is>
      </c>
      <c r="H589" s="14" t="inlineStr">
        <is>
          <t>Para saber si la intervención sirvió, el indicador que debe seguirse es:</t>
        </is>
      </c>
      <c r="I589" s="14" t="inlineStr">
        <is>
          <t>La tasa de úlceras por presión comparada con la línea de base del servicio</t>
        </is>
      </c>
      <c r="J589" s="14" t="inlineStr">
        <is>
          <t>El número de capacitaciones realizadas al personal asistencial del servicio</t>
        </is>
      </c>
      <c r="K589" s="14" t="inlineStr">
        <is>
          <t>El porcentaje de escalas de valoración diligenciadas al ingreso del paciente</t>
        </is>
      </c>
      <c r="L589" s="14" t="inlineStr">
        <is>
          <t>a</t>
        </is>
      </c>
      <c r="M589" s="14" t="inlineStr">
        <is>
          <t>La efectividad se mide con el resultado, es decir con la tasa comparada con la línea de base, no con las actividades ejecutadas.</t>
        </is>
      </c>
      <c r="N589" s="14" t="inlineStr">
        <is>
          <t>Las opciones b) y c) miden cumplimiento de tareas o de un registro parcial, no el efecto sobre el problema.</t>
        </is>
      </c>
      <c r="O589" s="14" t="inlineStr">
        <is>
          <t>PAMEC, Decreto 780 de 2016; Resolución 256 de 2016</t>
        </is>
      </c>
      <c r="P589" s="14" t="inlineStr">
        <is>
          <t>SI</t>
        </is>
      </c>
      <c r="Q589" s="14" t="inlineStr">
        <is>
          <t>Media</t>
        </is>
      </c>
      <c r="R589" s="14" t="inlineStr">
        <is>
          <t>v2</t>
        </is>
      </c>
    </row>
    <row r="590" ht="57" customHeight="1" s="12">
      <c r="A590" s="14" t="inlineStr">
        <is>
          <t>F0589</t>
        </is>
      </c>
      <c r="B590" s="14" t="inlineStr">
        <is>
          <t>PS 2782 de 2026 - ESE 2 - HUHMP Neiva</t>
        </is>
      </c>
      <c r="C590" s="14" t="inlineStr">
        <is>
          <t>Seguridad del paciente</t>
        </is>
      </c>
      <c r="D590" s="14" t="inlineStr">
        <is>
          <t>Tecnico</t>
        </is>
      </c>
      <c r="E590" s="14" t="inlineStr">
        <is>
          <t>C197</t>
        </is>
      </c>
      <c r="F590" s="14" t="inlineStr">
        <is>
          <t>Caso 197</t>
        </is>
      </c>
      <c r="G590" s="14" t="inlineStr">
        <is>
          <t>En el servicio de esterilización, el indicador biológico de un ciclo resulta positivo. Los paquetes de ese ciclo ya fueron distribuidos y dos se usaron en cirugías realizadas esa mañana. El jefe de quirófanos pregunta si es necesario alarmar al equipo, dado que los pacientes están sin complicaciones.</t>
        </is>
      </c>
      <c r="H590" s="14" t="inlineStr">
        <is>
          <t>¿Qué corresponde hacer ante el indicador positivo?</t>
        </is>
      </c>
      <c r="I590" s="14" t="inlineStr">
        <is>
          <t>Retirar los paquetes del ciclo, informar a los servicios y activar el seguimiento de los pacientes</t>
        </is>
      </c>
      <c r="J590" s="14" t="inlineStr">
        <is>
          <t>Retirar los paquetes del ciclo y repetir el proceso, sin necesidad de informar a los servicios</t>
        </is>
      </c>
      <c r="K590" s="14" t="inlineStr">
        <is>
          <t>Retirar los paquetes del ciclo y esperar la evolución de los pacientes antes de informar</t>
        </is>
      </c>
      <c r="L590" s="14" t="inlineStr">
        <is>
          <t>a</t>
        </is>
      </c>
      <c r="M590" s="14" t="inlineStr">
        <is>
          <t>Un indicador biológico positivo invalida el ciclo: se retiran los paquetes, se informa a los servicios donde se usaron y se hace seguimiento de los pacientes expuestos.</t>
        </is>
      </c>
      <c r="N590" s="14" t="inlineStr">
        <is>
          <t>Las opciones b) y c) contienen el problema en el servicio de esterilización y dejan sin seguimiento a quienes ya fueron intervenidos.</t>
        </is>
      </c>
      <c r="O590" s="14" t="inlineStr">
        <is>
          <t>Manual de esterilización, Minsalud; Resolución 3100 de 2019</t>
        </is>
      </c>
      <c r="P590" s="14" t="inlineStr">
        <is>
          <t>SI</t>
        </is>
      </c>
      <c r="Q590" s="14" t="inlineStr">
        <is>
          <t>Media</t>
        </is>
      </c>
      <c r="R590" s="14" t="inlineStr">
        <is>
          <t>v2</t>
        </is>
      </c>
    </row>
    <row r="591" ht="57" customHeight="1" s="12">
      <c r="A591" s="14" t="inlineStr">
        <is>
          <t>F0590</t>
        </is>
      </c>
      <c r="B591" s="14" t="inlineStr">
        <is>
          <t>PS 2782 de 2026 - ESE 2 - HUHMP Neiva</t>
        </is>
      </c>
      <c r="C591" s="14" t="inlineStr">
        <is>
          <t>Seguridad del paciente</t>
        </is>
      </c>
      <c r="D591" s="14" t="inlineStr">
        <is>
          <t>Tecnico</t>
        </is>
      </c>
      <c r="E591" s="14" t="inlineStr">
        <is>
          <t>C197</t>
        </is>
      </c>
      <c r="F591" s="14" t="inlineStr">
        <is>
          <t>Caso 197</t>
        </is>
      </c>
      <c r="G591" s="14" t="inlineStr">
        <is>
          <t>En el servicio de esterilización, el indicador biológico de un ciclo resulta positivo. Los paquetes de ese ciclo ya fueron distribuidos y dos se usaron en cirugías realizadas esa mañana. El jefe de quirófanos pregunta si es necesario alarmar al equipo, dado que los pacientes están sin complicaciones.</t>
        </is>
      </c>
      <c r="H591" s="14" t="inlineStr">
        <is>
          <t>El indicador biológico se diferencia del químico en que:</t>
        </is>
      </c>
      <c r="I591" s="14" t="inlineStr">
        <is>
          <t>Comprueba la muerte de microorganismos de prueba, no solo la exposición al proceso</t>
        </is>
      </c>
      <c r="J591" s="14" t="inlineStr">
        <is>
          <t>Comprueba el tiempo total del ciclo y la presión alcanzada dentro de la cámara</t>
        </is>
      </c>
      <c r="K591" s="14" t="inlineStr">
        <is>
          <t>Comprueba la integridad del empaque y la ausencia de humedad en los paquetes</t>
        </is>
      </c>
      <c r="L591" s="14" t="inlineStr">
        <is>
          <t>a</t>
        </is>
      </c>
      <c r="M591" s="14" t="inlineStr">
        <is>
          <t>El indicador biológico verifica la letalidad del proceso sobre microorganismos de prueba; el químico solo evidencia exposición a las condiciones.</t>
        </is>
      </c>
      <c r="N591" s="14" t="inlineStr">
        <is>
          <t>Las opciones b) y c) describen controles físicos o de integridad del empaque.</t>
        </is>
      </c>
      <c r="O591" s="14" t="inlineStr">
        <is>
          <t>Manual de esterilización, Minsalud</t>
        </is>
      </c>
      <c r="P591" s="14" t="inlineStr">
        <is>
          <t>SI</t>
        </is>
      </c>
      <c r="Q591" s="14" t="inlineStr">
        <is>
          <t>Media</t>
        </is>
      </c>
      <c r="R591" s="14" t="inlineStr">
        <is>
          <t>v2</t>
        </is>
      </c>
    </row>
    <row r="592" ht="57" customHeight="1" s="12">
      <c r="A592" s="14" t="inlineStr">
        <is>
          <t>F0591</t>
        </is>
      </c>
      <c r="B592" s="14" t="inlineStr">
        <is>
          <t>PS 2782 de 2026 - ESE 2 - HUHMP Neiva</t>
        </is>
      </c>
      <c r="C592" s="14" t="inlineStr">
        <is>
          <t>Seguridad del paciente</t>
        </is>
      </c>
      <c r="D592" s="14" t="inlineStr">
        <is>
          <t>Tecnico</t>
        </is>
      </c>
      <c r="E592" s="14" t="inlineStr">
        <is>
          <t>C197</t>
        </is>
      </c>
      <c r="F592" s="14" t="inlineStr">
        <is>
          <t>Caso 197</t>
        </is>
      </c>
      <c r="G592" s="14" t="inlineStr">
        <is>
          <t>En el servicio de esterilización, el indicador biológico de un ciclo resulta positivo. Los paquetes de ese ciclo ya fueron distribuidos y dos se usaron en cirugías realizadas esa mañana. El jefe de quirófanos pregunta si es necesario alarmar al equipo, dado que los pacientes están sin complicaciones.</t>
        </is>
      </c>
      <c r="H592" s="14" t="inlineStr">
        <is>
          <t>Los pacientes intervenidos con ese material deben:</t>
        </is>
      </c>
      <c r="I592" s="14" t="inlineStr">
        <is>
          <t>Recibir seguimiento documentado por el riesgo de infección asociado al proceso</t>
        </is>
      </c>
      <c r="J592" s="14" t="inlineStr">
        <is>
          <t>Recibir profilaxis antibiótica de amplio espectro como medida preventiva inmediata</t>
        </is>
      </c>
      <c r="K592" s="14" t="inlineStr">
        <is>
          <t>Recibir información solo si presentan signos de infección en los días siguientes</t>
        </is>
      </c>
      <c r="L592" s="14" t="inlineStr">
        <is>
          <t>a</t>
        </is>
      </c>
      <c r="M592" s="14" t="inlineStr">
        <is>
          <t>Corresponde un seguimiento clínico documentado del riesgo; la conducta terapéutica se define según la evolución, no de manera automática.</t>
        </is>
      </c>
      <c r="N592" s="14" t="inlineStr">
        <is>
          <t>La opción b) medica sin indicación y la opción c) condiciona la información a que el daño se manifieste.</t>
        </is>
      </c>
      <c r="O592" s="14" t="inlineStr">
        <is>
          <t>Programa de prevención de IAAS, Minsalud</t>
        </is>
      </c>
      <c r="P592" s="14" t="inlineStr">
        <is>
          <t>SI</t>
        </is>
      </c>
      <c r="Q592" s="14" t="inlineStr">
        <is>
          <t>Media</t>
        </is>
      </c>
      <c r="R592" s="14" t="inlineStr">
        <is>
          <t>v2</t>
        </is>
      </c>
    </row>
    <row r="593" ht="57" customHeight="1" s="12">
      <c r="A593" s="14" t="inlineStr">
        <is>
          <t>F0592</t>
        </is>
      </c>
      <c r="B593" s="14" t="inlineStr">
        <is>
          <t>PS 2782 de 2026 - ESE 2 - HUHMP Neiva</t>
        </is>
      </c>
      <c r="C593" s="14" t="inlineStr">
        <is>
          <t>Seguridad del paciente</t>
        </is>
      </c>
      <c r="D593" s="14" t="inlineStr">
        <is>
          <t>Profesional</t>
        </is>
      </c>
      <c r="E593" s="14" t="inlineStr">
        <is>
          <t>C198</t>
        </is>
      </c>
      <c r="F593" s="14" t="inlineStr">
        <is>
          <t>Caso 198</t>
        </is>
      </c>
      <c r="G593" s="14" t="inlineStr">
        <is>
          <t>Una paciente recibe una unidad de glóbulos rojos y a los diez minutos presenta fiebre, escalofrío y dolor lumbar. La auxiliar disminuye la velocidad de infusión y avisa al médico, que llega en cinco minutos. La bolsa sigue conectada y el registro de verificación previa a la transfusión está incompleto.</t>
        </is>
      </c>
      <c r="H593" s="14" t="inlineStr">
        <is>
          <t>¿Cuál es la conducta inmediata frente a la reacción?</t>
        </is>
      </c>
      <c r="I593" s="14" t="inlineStr">
        <is>
          <t>Suspender la transfusión de inmediato, mantener la vía y reportar el evento al banco de sangre</t>
        </is>
      </c>
      <c r="J593" s="14" t="inlineStr">
        <is>
          <t>Suspender la transfusión cuando el médico valore a la paciente y confirme la reacción</t>
        </is>
      </c>
      <c r="K593" s="14" t="inlineStr">
        <is>
          <t>Suspender la infusión de otros líquidos y mantener la transfusión a menor velocidad</t>
        </is>
      </c>
      <c r="L593" s="14" t="inlineStr">
        <is>
          <t>a</t>
        </is>
      </c>
      <c r="M593" s="14" t="inlineStr">
        <is>
          <t>Ante sospecha de reacción transfusional se suspende de inmediato la transfusión, se mantiene la vía permeable y se activa el reporte de hemovigilancia.</t>
        </is>
      </c>
      <c r="N593" s="14" t="inlineStr">
        <is>
          <t>Las opciones b) y c) mantienen la exposición al componente mientras se confirma el diagnóstico.</t>
        </is>
      </c>
      <c r="O593" s="14" t="inlineStr">
        <is>
          <t>Programa de hemovigilancia, INS; Decreto 1571 de 1993</t>
        </is>
      </c>
      <c r="P593" s="14" t="inlineStr">
        <is>
          <t>SI</t>
        </is>
      </c>
      <c r="Q593" s="14" t="inlineStr">
        <is>
          <t>Alta</t>
        </is>
      </c>
      <c r="R593" s="14" t="inlineStr">
        <is>
          <t>v2</t>
        </is>
      </c>
    </row>
    <row r="594" ht="57" customHeight="1" s="12">
      <c r="A594" s="14" t="inlineStr">
        <is>
          <t>F0593</t>
        </is>
      </c>
      <c r="B594" s="14" t="inlineStr">
        <is>
          <t>PS 2782 de 2026 - ESE 2 - HUHMP Neiva</t>
        </is>
      </c>
      <c r="C594" s="14" t="inlineStr">
        <is>
          <t>Seguridad del paciente</t>
        </is>
      </c>
      <c r="D594" s="14" t="inlineStr">
        <is>
          <t>Profesional</t>
        </is>
      </c>
      <c r="E594" s="14" t="inlineStr">
        <is>
          <t>C198</t>
        </is>
      </c>
      <c r="F594" s="14" t="inlineStr">
        <is>
          <t>Caso 198</t>
        </is>
      </c>
      <c r="G594" s="14" t="inlineStr">
        <is>
          <t>Una paciente recibe una unidad de glóbulos rojos y a los diez minutos presenta fiebre, escalofrío y dolor lumbar. La auxiliar disminuye la velocidad de infusión y avisa al médico, que llega en cinco minutos. La bolsa sigue conectada y el registro de verificación previa a la transfusión está incompleto.</t>
        </is>
      </c>
      <c r="H594" s="14" t="inlineStr">
        <is>
          <t>El registro incompleto de la verificación previa:</t>
        </is>
      </c>
      <c r="I594" s="14" t="inlineStr">
        <is>
          <t>Evidencia que la barrera se aplicó de manera parcial y debe analizarse en el caso</t>
        </is>
      </c>
      <c r="J594" s="14" t="inlineStr">
        <is>
          <t>Constituye por sí mismo la causa de la reacción presentada por la paciente</t>
        </is>
      </c>
      <c r="K594" s="14" t="inlineStr">
        <is>
          <t>Es un asunto administrativo, ajeno al análisis clínico del evento ocurrido</t>
        </is>
      </c>
      <c r="L594" s="14" t="inlineStr">
        <is>
          <t>a</t>
        </is>
      </c>
      <c r="M594" s="14" t="inlineStr">
        <is>
          <t>El registro incompleto muestra una barrera aplicada parcialmente y es un hallazgo relevante del análisis, sin que por sí solo explique la reacción.</t>
        </is>
      </c>
      <c r="N594" s="14" t="inlineStr">
        <is>
          <t>La opción b) confunde una falla de registro con la causa clínica y la opción c) la excluye del análisis.</t>
        </is>
      </c>
      <c r="O594" s="14" t="inlineStr">
        <is>
          <t>Paquetes instruccionales de seguridad del paciente, Minsalud</t>
        </is>
      </c>
      <c r="P594" s="14" t="inlineStr">
        <is>
          <t>SI</t>
        </is>
      </c>
      <c r="Q594" s="14" t="inlineStr">
        <is>
          <t>Alta</t>
        </is>
      </c>
      <c r="R594" s="14" t="inlineStr">
        <is>
          <t>v2</t>
        </is>
      </c>
    </row>
    <row r="595" ht="57" customHeight="1" s="12">
      <c r="A595" s="14" t="inlineStr">
        <is>
          <t>F0594</t>
        </is>
      </c>
      <c r="B595" s="14" t="inlineStr">
        <is>
          <t>PS 2782 de 2026 - ESE 2 - HUHMP Neiva</t>
        </is>
      </c>
      <c r="C595" s="14" t="inlineStr">
        <is>
          <t>Seguridad del paciente</t>
        </is>
      </c>
      <c r="D595" s="14" t="inlineStr">
        <is>
          <t>Profesional</t>
        </is>
      </c>
      <c r="E595" s="14" t="inlineStr">
        <is>
          <t>C198</t>
        </is>
      </c>
      <c r="F595" s="14" t="inlineStr">
        <is>
          <t>Caso 198</t>
        </is>
      </c>
      <c r="G595" s="14" t="inlineStr">
        <is>
          <t>Una paciente recibe una unidad de glóbulos rojos y a los diez minutos presenta fiebre, escalofrío y dolor lumbar. La auxiliar disminuye la velocidad de infusión y avisa al médico, que llega en cinco minutos. La bolsa sigue conectada y el registro de verificación previa a la transfusión está incompleto.</t>
        </is>
      </c>
      <c r="H595" s="14" t="inlineStr">
        <is>
          <t>El evento debe reportarse a:</t>
        </is>
      </c>
      <c r="I595" s="14" t="inlineStr">
        <is>
          <t>Hemovigilancia, que se ocupa de los eventos asociados a la cadena transfusional</t>
        </is>
      </c>
      <c r="J595" s="14" t="inlineStr">
        <is>
          <t>Tecnovigilancia, que se ocupa de los eventos asociados a los dispositivos médicos</t>
        </is>
      </c>
      <c r="K595" s="14" t="inlineStr">
        <is>
          <t>Farmacovigilancia, que se ocupa de los eventos asociados a los medicamentos</t>
        </is>
      </c>
      <c r="L595" s="14" t="inlineStr">
        <is>
          <t>a</t>
        </is>
      </c>
      <c r="M595" s="14" t="inlineStr">
        <is>
          <t>Los eventos asociados a la transfusión se reportan al programa de hemovigilancia.</t>
        </is>
      </c>
      <c r="N595" s="14" t="inlineStr">
        <is>
          <t>Las opciones b) y c) corresponden a dispositivos médicos y a medicamentos, que son otros programas de vigilancia.</t>
        </is>
      </c>
      <c r="O595" s="14" t="inlineStr">
        <is>
          <t>Programa de hemovigilancia, INS</t>
        </is>
      </c>
      <c r="P595" s="14" t="inlineStr">
        <is>
          <t>SI</t>
        </is>
      </c>
      <c r="Q595" s="14" t="inlineStr">
        <is>
          <t>Alta</t>
        </is>
      </c>
      <c r="R595" s="14" t="inlineStr">
        <is>
          <t>v2</t>
        </is>
      </c>
    </row>
    <row r="596" ht="57" customHeight="1" s="12">
      <c r="A596" s="14" t="inlineStr">
        <is>
          <t>F0595</t>
        </is>
      </c>
      <c r="B596" s="14" t="inlineStr">
        <is>
          <t>PS 2782 de 2026 - ESE 2 - HUHMP Neiva</t>
        </is>
      </c>
      <c r="C596" s="14" t="inlineStr">
        <is>
          <t>Seguridad del paciente</t>
        </is>
      </c>
      <c r="D596" s="14" t="inlineStr">
        <is>
          <t>Profesional</t>
        </is>
      </c>
      <c r="E596" s="14" t="inlineStr">
        <is>
          <t>C199</t>
        </is>
      </c>
      <c r="F596" s="14" t="inlineStr">
        <is>
          <t>Caso 199</t>
        </is>
      </c>
      <c r="G596" s="14" t="inlineStr">
        <is>
          <t>El comité de seguridad revisa el reporte de eventos del semestre: llegaron ciento veinte reportes del servicio de hospitalización y solo tres de cirugía, que tiene un volumen similar. El jefe de cirugía interpreta el dato como evidencia de que su servicio trabaja mejor y pide que se reconozca públicamente.</t>
        </is>
      </c>
      <c r="H596" s="14" t="inlineStr">
        <is>
          <t>¿Cómo debe leerse la diferencia entre los dos servicios?</t>
        </is>
      </c>
      <c r="I596" s="14" t="inlineStr">
        <is>
          <t>Interpretar el bajo reporte como posible subregistro y explorar por qué no se reporta</t>
        </is>
      </c>
      <c r="J596" s="14" t="inlineStr">
        <is>
          <t>Interpretar el bajo reporte como resultado favorable y reconocer al servicio de cirugía</t>
        </is>
      </c>
      <c r="K596" s="14" t="inlineStr">
        <is>
          <t>Interpretar el bajo reporte como falta de tiempo del personal y simplificar el formato</t>
        </is>
      </c>
      <c r="L596" s="14" t="inlineStr">
        <is>
          <t>a</t>
        </is>
      </c>
      <c r="M596" s="14" t="inlineStr">
        <is>
          <t>Un reporte muy bajo frente a servicios comparables sugiere subregistro; lo primero es indagar las barreras para reportar, entre ellas el temor a la sanción.</t>
        </is>
      </c>
      <c r="N596" s="14" t="inlineStr">
        <is>
          <t>La opción b) premia la ausencia de datos y la opción c) adopta una solución antes de conocer la causa.</t>
        </is>
      </c>
      <c r="O596" s="14" t="inlineStr">
        <is>
          <t>Política de Seguridad del Paciente, Minsalud</t>
        </is>
      </c>
      <c r="P596" s="14" t="inlineStr">
        <is>
          <t>SI</t>
        </is>
      </c>
      <c r="Q596" s="14" t="inlineStr">
        <is>
          <t>Media</t>
        </is>
      </c>
      <c r="R596" s="14" t="inlineStr">
        <is>
          <t>v2</t>
        </is>
      </c>
    </row>
    <row r="597" ht="57" customHeight="1" s="12">
      <c r="A597" s="14" t="inlineStr">
        <is>
          <t>F0596</t>
        </is>
      </c>
      <c r="B597" s="14" t="inlineStr">
        <is>
          <t>PS 2782 de 2026 - ESE 2 - HUHMP Neiva</t>
        </is>
      </c>
      <c r="C597" s="14" t="inlineStr">
        <is>
          <t>Seguridad del paciente</t>
        </is>
      </c>
      <c r="D597" s="14" t="inlineStr">
        <is>
          <t>Profesional</t>
        </is>
      </c>
      <c r="E597" s="14" t="inlineStr">
        <is>
          <t>C199</t>
        </is>
      </c>
      <c r="F597" s="14" t="inlineStr">
        <is>
          <t>Caso 199</t>
        </is>
      </c>
      <c r="G597" s="14" t="inlineStr">
        <is>
          <t>El comité de seguridad revisa el reporte de eventos del semestre: llegaron ciento veinte reportes del servicio de hospitalización y solo tres de cirugía, que tiene un volumen similar. El jefe de cirugía interpreta el dato como evidencia de que su servicio trabaja mejor y pide que se reconozca públicamente.</t>
        </is>
      </c>
      <c r="H597" s="14" t="inlineStr">
        <is>
          <t>Un aumento en el número de reportes, en una institución con cultura de seguridad, indica:</t>
        </is>
      </c>
      <c r="I597" s="14" t="inlineStr">
        <is>
          <t>Mayor confianza para reportar, no necesariamente más eventos en la institución</t>
        </is>
      </c>
      <c r="J597" s="14" t="inlineStr">
        <is>
          <t>Mayor número de eventos adversos, que exige intervenir el servicio que más reporta</t>
        </is>
      </c>
      <c r="K597" s="14" t="inlineStr">
        <is>
          <t>Mayor rotación de personal, que suele asociarse al incremento de los reportes</t>
        </is>
      </c>
      <c r="L597" s="14" t="inlineStr">
        <is>
          <t>a</t>
        </is>
      </c>
      <c r="M597" s="14" t="inlineStr">
        <is>
          <t>El incremento de reportes suele reflejar confianza en el sistema y no un deterioro de la seguridad.</t>
        </is>
      </c>
      <c r="N597" s="14" t="inlineStr">
        <is>
          <t>Las opciones b) y c) leen el dato como señal de daño o de un factor externo sin sustento.</t>
        </is>
      </c>
      <c r="O597" s="14" t="inlineStr">
        <is>
          <t>Política de Seguridad del Paciente, Minsalud</t>
        </is>
      </c>
      <c r="P597" s="14" t="inlineStr">
        <is>
          <t>SI</t>
        </is>
      </c>
      <c r="Q597" s="14" t="inlineStr">
        <is>
          <t>Media</t>
        </is>
      </c>
      <c r="R597" s="14" t="inlineStr">
        <is>
          <t>v2</t>
        </is>
      </c>
    </row>
    <row r="598" ht="57" customHeight="1" s="12">
      <c r="A598" s="14" t="inlineStr">
        <is>
          <t>F0597</t>
        </is>
      </c>
      <c r="B598" s="14" t="inlineStr">
        <is>
          <t>PS 2782 de 2026 - ESE 2 - HUHMP Neiva</t>
        </is>
      </c>
      <c r="C598" s="14" t="inlineStr">
        <is>
          <t>Seguridad del paciente</t>
        </is>
      </c>
      <c r="D598" s="14" t="inlineStr">
        <is>
          <t>Profesional</t>
        </is>
      </c>
      <c r="E598" s="14" t="inlineStr">
        <is>
          <t>C199</t>
        </is>
      </c>
      <c r="F598" s="14" t="inlineStr">
        <is>
          <t>Caso 199</t>
        </is>
      </c>
      <c r="G598" s="14" t="inlineStr">
        <is>
          <t>El comité de seguridad revisa el reporte de eventos del semestre: llegaron ciento veinte reportes del servicio de hospitalización y solo tres de cirugía, que tiene un volumen similar. El jefe de cirugía interpreta el dato como evidencia de que su servicio trabaja mejor y pide que se reconozca públicamente.</t>
        </is>
      </c>
      <c r="H598" s="14" t="inlineStr">
        <is>
          <t>La condición que sostiene el reporte en el tiempo es:</t>
        </is>
      </c>
      <c r="I598" s="14" t="inlineStr">
        <is>
          <t>Que quien reporta no sea sancionado por hacerlo y vea que algo cambia</t>
        </is>
      </c>
      <c r="J598" s="14" t="inlineStr">
        <is>
          <t>Que el reporte sea anónimo en todos los casos y sin posibilidad de seguimiento</t>
        </is>
      </c>
      <c r="K598" s="14" t="inlineStr">
        <is>
          <t>Que el reporte sea obligatorio y su incumplimiento tenga consecuencias laborales</t>
        </is>
      </c>
      <c r="L598" s="14" t="inlineStr">
        <is>
          <t>a</t>
        </is>
      </c>
      <c r="M598" s="14" t="inlineStr">
        <is>
          <t>El reporte se sostiene cuando no es punitivo y cuando el reportante observa cambios derivados de lo que informó.</t>
        </is>
      </c>
      <c r="N598" s="14" t="inlineStr">
        <is>
          <t>La opción b) impide el seguimiento del caso y la opción c) fuerza el reporte por la vía sancionatoria.</t>
        </is>
      </c>
      <c r="O598" s="14" t="inlineStr">
        <is>
          <t>Política de Seguridad del Paciente, Minsalud</t>
        </is>
      </c>
      <c r="P598" s="14" t="inlineStr">
        <is>
          <t>SI</t>
        </is>
      </c>
      <c r="Q598" s="14" t="inlineStr">
        <is>
          <t>Media</t>
        </is>
      </c>
      <c r="R598" s="14" t="inlineStr">
        <is>
          <t>v2</t>
        </is>
      </c>
    </row>
    <row r="599" ht="45.75" customHeight="1" s="12">
      <c r="A599" s="14" t="inlineStr">
        <is>
          <t>F0598</t>
        </is>
      </c>
      <c r="B599" s="14" t="inlineStr">
        <is>
          <t>PS 2782 de 2026 - ESE 2 - HUHMP Neiva</t>
        </is>
      </c>
      <c r="C599" s="14" t="inlineStr">
        <is>
          <t>Seguridad del paciente</t>
        </is>
      </c>
      <c r="D599" s="14" t="inlineStr">
        <is>
          <t>Tecnico</t>
        </is>
      </c>
      <c r="E599" s="14" t="inlineStr">
        <is>
          <t>C200</t>
        </is>
      </c>
      <c r="F599" s="14" t="inlineStr">
        <is>
          <t>Caso 200</t>
        </is>
      </c>
      <c r="G599" s="14" t="inlineStr">
        <is>
          <t>Un auxiliar se pincha con una aguja usada mientras descartaba material, a las 19:50, faltando diez minutos para terminar su turno. El paciente fuente es conocido y está hospitalizado. El auxiliar considera que el riesgo es bajo, que el reporte implica trámites y que puede hacerlo al día siguiente.</t>
        </is>
      </c>
      <c r="H599" s="14" t="inlineStr">
        <is>
          <t>¿Qué debe hacer el auxiliar en ese momento?</t>
        </is>
      </c>
      <c r="I599" s="14" t="inlineStr">
        <is>
          <t>Lavar la zona, reportar de inmediato y activar la valoración para profilaxis posexposición</t>
        </is>
      </c>
      <c r="J599" s="14" t="inlineStr">
        <is>
          <t>Lavar la zona, aplicar antiséptico y reportar el hecho al iniciar el turno siguiente</t>
        </is>
      </c>
      <c r="K599" s="14" t="inlineStr">
        <is>
          <t>Lavar la zona, informar al jefe del servicio y esperar los resultados del paciente fuente</t>
        </is>
      </c>
      <c r="L599" s="14" t="inlineStr">
        <is>
          <t>a</t>
        </is>
      </c>
      <c r="M599" s="14" t="inlineStr">
        <is>
          <t>La profilaxis posexposición tiene una ventana de tiempo corta, de modo que el reporte y la valoración deben ser inmediatos.</t>
        </is>
      </c>
      <c r="N599" s="14" t="inlineStr">
        <is>
          <t>Las opciones b) y c) posponen la valoración y pueden hacer perder la oportunidad de la profilaxis.</t>
        </is>
      </c>
      <c r="O599" s="14" t="inlineStr">
        <is>
          <t>Decreto 1072 de 2015; protocolos de bioseguridad</t>
        </is>
      </c>
      <c r="P599" s="14" t="inlineStr">
        <is>
          <t>SI</t>
        </is>
      </c>
      <c r="Q599" s="14" t="inlineStr">
        <is>
          <t>Basica</t>
        </is>
      </c>
      <c r="R599" s="14" t="inlineStr">
        <is>
          <t>v2</t>
        </is>
      </c>
    </row>
    <row r="600" ht="45.75" customHeight="1" s="12">
      <c r="A600" s="14" t="inlineStr">
        <is>
          <t>F0599</t>
        </is>
      </c>
      <c r="B600" s="14" t="inlineStr">
        <is>
          <t>PS 2782 de 2026 - ESE 2 - HUHMP Neiva</t>
        </is>
      </c>
      <c r="C600" s="14" t="inlineStr">
        <is>
          <t>Seguridad del paciente</t>
        </is>
      </c>
      <c r="D600" s="14" t="inlineStr">
        <is>
          <t>Tecnico</t>
        </is>
      </c>
      <c r="E600" s="14" t="inlineStr">
        <is>
          <t>C200</t>
        </is>
      </c>
      <c r="F600" s="14" t="inlineStr">
        <is>
          <t>Caso 200</t>
        </is>
      </c>
      <c r="G600" s="14" t="inlineStr">
        <is>
          <t>Un auxiliar se pincha con una aguja usada mientras descartaba material, a las 19:50, faltando diez minutos para terminar su turno. El paciente fuente es conocido y está hospitalizado. El auxiliar considera que el riesgo es bajo, que el reporte implica trámites y que puede hacerlo al día siguiente.</t>
        </is>
      </c>
      <c r="H600" s="14" t="inlineStr">
        <is>
          <t>El accidente debe reportarse a la administradora de riesgos laborales dentro de:</t>
        </is>
      </c>
      <c r="I600" s="14" t="inlineStr">
        <is>
          <t>Los dos días hábiles siguientes a la ocurrencia del accidente de trabajo</t>
        </is>
      </c>
      <c r="J600" s="14" t="inlineStr">
        <is>
          <t>Los cinco días hábiles siguientes a la ocurrencia del accidente de trabajo</t>
        </is>
      </c>
      <c r="K600" s="14" t="inlineStr">
        <is>
          <t>Los quince días hábiles siguientes a la ocurrencia del accidente de trabajo</t>
        </is>
      </c>
      <c r="L600" s="14" t="inlineStr">
        <is>
          <t>a</t>
        </is>
      </c>
      <c r="M600" s="14" t="inlineStr">
        <is>
          <t>El empleador debe reportar el accidente de trabajo a la administradora de riesgos laborales y a la EPS dentro de los dos días hábiles siguientes.</t>
        </is>
      </c>
      <c r="N600" s="14" t="inlineStr">
        <is>
          <t>Las opciones b) y c) exceden el término legal de reporte.</t>
        </is>
      </c>
      <c r="O600" s="14" t="inlineStr">
        <is>
          <t>Decreto 1072 de 2015</t>
        </is>
      </c>
      <c r="P600" s="14" t="inlineStr">
        <is>
          <t>SI</t>
        </is>
      </c>
      <c r="Q600" s="14" t="inlineStr">
        <is>
          <t>Basica</t>
        </is>
      </c>
      <c r="R600" s="14" t="inlineStr">
        <is>
          <t>v2</t>
        </is>
      </c>
    </row>
    <row r="601" ht="45.75" customHeight="1" s="12">
      <c r="A601" s="14" t="inlineStr">
        <is>
          <t>F0600</t>
        </is>
      </c>
      <c r="B601" s="14" t="inlineStr">
        <is>
          <t>PS 2782 de 2026 - ESE 2 - HUHMP Neiva</t>
        </is>
      </c>
      <c r="C601" s="14" t="inlineStr">
        <is>
          <t>Seguridad del paciente</t>
        </is>
      </c>
      <c r="D601" s="14" t="inlineStr">
        <is>
          <t>Tecnico</t>
        </is>
      </c>
      <c r="E601" s="14" t="inlineStr">
        <is>
          <t>C200</t>
        </is>
      </c>
      <c r="F601" s="14" t="inlineStr">
        <is>
          <t>Caso 200</t>
        </is>
      </c>
      <c r="G601" s="14" t="inlineStr">
        <is>
          <t>Un auxiliar se pincha con una aguja usada mientras descartaba material, a las 19:50, faltando diez minutos para terminar su turno. El paciente fuente es conocido y está hospitalizado. El auxiliar considera que el riesgo es bajo, que el reporte implica trámites y que puede hacerlo al día siguiente.</t>
        </is>
      </c>
      <c r="H601" s="14" t="inlineStr">
        <is>
          <t>El descarte de cortopunzantes debe hacerse:</t>
        </is>
      </c>
      <c r="I601" s="14" t="inlineStr">
        <is>
          <t>En el guardián, sin reencapuchar la aguja ni llenarlo por encima del límite marcado</t>
        </is>
      </c>
      <c r="J601" s="14" t="inlineStr">
        <is>
          <t>En el guardián, reencapuchando la aguja para evitar exposiciones durante el traslado</t>
        </is>
      </c>
      <c r="K601" s="14" t="inlineStr">
        <is>
          <t>En el guardián, cuando este alcance su capacidad total para optimizar el insumo</t>
        </is>
      </c>
      <c r="L601" s="14" t="inlineStr">
        <is>
          <t>a</t>
        </is>
      </c>
      <c r="M601" s="14" t="inlineStr">
        <is>
          <t>El descarte inmediato en el guardián, sin reencapuchar y sin exceder el nivel de llenado, es la barrera básica frente al riesgo biológico.</t>
        </is>
      </c>
      <c r="N601" s="14" t="inlineStr">
        <is>
          <t>Las opciones b) y c) incorporan prácticas que aumentan el riesgo de pinchazo.</t>
        </is>
      </c>
      <c r="O601" s="14" t="inlineStr">
        <is>
          <t>Resolución 1164 de 2002; protocolos de bioseguridad</t>
        </is>
      </c>
      <c r="P601" s="14" t="inlineStr">
        <is>
          <t>SI</t>
        </is>
      </c>
      <c r="Q601" s="14" t="inlineStr">
        <is>
          <t>Basica</t>
        </is>
      </c>
      <c r="R601" s="14" t="inlineStr">
        <is>
          <t>v2</t>
        </is>
      </c>
    </row>
    <row r="602" ht="57" customHeight="1" s="12">
      <c r="A602" s="14" t="inlineStr">
        <is>
          <t>F0601</t>
        </is>
      </c>
      <c r="B602" s="14" t="inlineStr">
        <is>
          <t>PS 2782 de 2026 - ESE 2 - HUHMP Neiva</t>
        </is>
      </c>
      <c r="C602" s="14" t="inlineStr">
        <is>
          <t>Habilitacion y calidad (Resolucion 3100 de 2019)</t>
        </is>
      </c>
      <c r="D602" s="14" t="inlineStr">
        <is>
          <t>Profesional</t>
        </is>
      </c>
      <c r="E602" s="14" t="inlineStr">
        <is>
          <t>C201</t>
        </is>
      </c>
      <c r="F602" s="14" t="inlineStr">
        <is>
          <t>Caso 201</t>
        </is>
      </c>
      <c r="G602" s="14" t="inlineStr">
        <is>
          <t>La entidad territorial anuncia visita de verificación para el servicio de imágenes diagnósticas. El líder de calidad encuentra que el protocolo de protección radiológica está desactualizado, que faltan dos certificados de capacitación del personal y que el cálculo de blindaje reposa en una carpeta que nadie ubica.</t>
        </is>
      </c>
      <c r="H602" s="14" t="inlineStr">
        <is>
          <t>¿Cómo debe prepararse el servicio para la visita?</t>
        </is>
      </c>
      <c r="I602" s="14" t="inlineStr">
        <is>
          <t>Reconstruir los soportes faltantes y actualizar el protocolo antes de la fecha de la visita</t>
        </is>
      </c>
      <c r="J602" s="14" t="inlineStr">
        <is>
          <t>Reconstruir los soportes faltantes y solicitar el aplazamiento de la visita programada</t>
        </is>
      </c>
      <c r="K602" s="14" t="inlineStr">
        <is>
          <t>Reconstruir los soportes durante la visita, con el acompañamiento del verificador designado</t>
        </is>
      </c>
      <c r="L602" s="14" t="inlineStr">
        <is>
          <t>a</t>
        </is>
      </c>
      <c r="M602" s="14" t="inlineStr">
        <is>
          <t>El cumplimiento es permanente y los soportes deben existir antes de la visita: la verificación constata, no construye la documentación.</t>
        </is>
      </c>
      <c r="N602" s="14" t="inlineStr">
        <is>
          <t>La opción b) aplaza la verificación sin resolver el incumplimiento y la opción c) improvisa durante la visita.</t>
        </is>
      </c>
      <c r="O602" s="14" t="inlineStr">
        <is>
          <t>Resolución 3100 de 2019</t>
        </is>
      </c>
      <c r="P602" s="14" t="inlineStr">
        <is>
          <t>SI</t>
        </is>
      </c>
      <c r="Q602" s="14" t="inlineStr">
        <is>
          <t>Media</t>
        </is>
      </c>
      <c r="R602" s="14" t="inlineStr">
        <is>
          <t>v2</t>
        </is>
      </c>
    </row>
    <row r="603" ht="57" customHeight="1" s="12">
      <c r="A603" s="14" t="inlineStr">
        <is>
          <t>F0602</t>
        </is>
      </c>
      <c r="B603" s="14" t="inlineStr">
        <is>
          <t>PS 2782 de 2026 - ESE 2 - HUHMP Neiva</t>
        </is>
      </c>
      <c r="C603" s="14" t="inlineStr">
        <is>
          <t>Habilitacion y calidad (Resolucion 3100 de 2019)</t>
        </is>
      </c>
      <c r="D603" s="14" t="inlineStr">
        <is>
          <t>Profesional</t>
        </is>
      </c>
      <c r="E603" s="14" t="inlineStr">
        <is>
          <t>C201</t>
        </is>
      </c>
      <c r="F603" s="14" t="inlineStr">
        <is>
          <t>Caso 201</t>
        </is>
      </c>
      <c r="G603" s="14" t="inlineStr">
        <is>
          <t>La entidad territorial anuncia visita de verificación para el servicio de imágenes diagnósticas. El líder de calidad encuentra que el protocolo de protección radiológica está desactualizado, que faltan dos certificados de capacitación del personal y que el cálculo de blindaje reposa en una carpeta que nadie ubica.</t>
        </is>
      </c>
      <c r="H603" s="14" t="inlineStr">
        <is>
          <t>La ausencia del cálculo de blindaje, en un servicio de imágenes, implica que:</t>
        </is>
      </c>
      <c r="I603" s="14" t="inlineStr">
        <is>
          <t>No se acredita una condición exigida y el servicio no debería estar prestándose</t>
        </is>
      </c>
      <c r="J603" s="14" t="inlineStr">
        <is>
          <t>Se acredita parcialmente la condición, si el equipo cuenta con mantenimiento vigente</t>
        </is>
      </c>
      <c r="K603" s="14" t="inlineStr">
        <is>
          <t>Se subsana con la certificación del proveedor que instaló el equipo en el servicio</t>
        </is>
      </c>
      <c r="L603" s="14" t="inlineStr">
        <is>
          <t>a</t>
        </is>
      </c>
      <c r="M603" s="14" t="inlineStr">
        <is>
          <t>El cálculo de blindaje es una condición de habilitación del servicio y su ausencia significa que la condición no está acreditada.</t>
        </is>
      </c>
      <c r="N603" s="14" t="inlineStr">
        <is>
          <t>Las opciones b) y c) sustituyen un requisito propio por otro documento distinto.</t>
        </is>
      </c>
      <c r="O603" s="14" t="inlineStr">
        <is>
          <t>Resolución 3100 de 2019; Resolución 482 de 2018</t>
        </is>
      </c>
      <c r="P603" s="14" t="inlineStr">
        <is>
          <t>SI</t>
        </is>
      </c>
      <c r="Q603" s="14" t="inlineStr">
        <is>
          <t>Media</t>
        </is>
      </c>
      <c r="R603" s="14" t="inlineStr">
        <is>
          <t>v2</t>
        </is>
      </c>
    </row>
    <row r="604" ht="57" customHeight="1" s="12">
      <c r="A604" s="14" t="inlineStr">
        <is>
          <t>F0603</t>
        </is>
      </c>
      <c r="B604" s="14" t="inlineStr">
        <is>
          <t>PS 2782 de 2026 - ESE 2 - HUHMP Neiva</t>
        </is>
      </c>
      <c r="C604" s="14" t="inlineStr">
        <is>
          <t>Habilitacion y calidad (Resolucion 3100 de 2019)</t>
        </is>
      </c>
      <c r="D604" s="14" t="inlineStr">
        <is>
          <t>Profesional</t>
        </is>
      </c>
      <c r="E604" s="14" t="inlineStr">
        <is>
          <t>C201</t>
        </is>
      </c>
      <c r="F604" s="14" t="inlineStr">
        <is>
          <t>Caso 201</t>
        </is>
      </c>
      <c r="G604" s="14" t="inlineStr">
        <is>
          <t>La entidad territorial anuncia visita de verificación para el servicio de imágenes diagnósticas. El líder de calidad encuentra que el protocolo de protección radiológica está desactualizado, que faltan dos certificados de capacitación del personal y que el cálculo de blindaje reposa en una carpeta que nadie ubica.</t>
        </is>
      </c>
      <c r="H604" s="14" t="inlineStr">
        <is>
          <t>Si el verificador deja hallazgos, el plan de cumplimiento debe:</t>
        </is>
      </c>
      <c r="I604" s="14" t="inlineStr">
        <is>
          <t>Precisar acciones, responsables y plazos, con verificación posterior del cierre</t>
        </is>
      </c>
      <c r="J604" s="14" t="inlineStr">
        <is>
          <t>Precisar el compromiso institucional de subsanar en el menor tiempo posible</t>
        </is>
      </c>
      <c r="K604" s="14" t="inlineStr">
        <is>
          <t>Precisar los recursos que se solicitarán a la junta directiva para el cierre</t>
        </is>
      </c>
      <c r="L604" s="14" t="inlineStr">
        <is>
          <t>a</t>
        </is>
      </c>
      <c r="M604" s="14" t="inlineStr">
        <is>
          <t>El plan exige acciones concretas, responsables, plazos y verificación del cierre de cada hallazgo.</t>
        </is>
      </c>
      <c r="N604" s="14" t="inlineStr">
        <is>
          <t>Las opciones b) y c) enuncian voluntad o gestión de recursos sin comprometer resultados verificables.</t>
        </is>
      </c>
      <c r="O604" s="14" t="inlineStr">
        <is>
          <t>Resolución 3100 de 2019</t>
        </is>
      </c>
      <c r="P604" s="14" t="inlineStr">
        <is>
          <t>SI</t>
        </is>
      </c>
      <c r="Q604" s="14" t="inlineStr">
        <is>
          <t>Media</t>
        </is>
      </c>
      <c r="R604" s="14" t="inlineStr">
        <is>
          <t>v2</t>
        </is>
      </c>
    </row>
    <row r="605" ht="45.75" customHeight="1" s="12">
      <c r="A605" s="14" t="inlineStr">
        <is>
          <t>F0604</t>
        </is>
      </c>
      <c r="B605" s="14" t="inlineStr">
        <is>
          <t>PS 2782 de 2026 - ESE 2 - HUHMP Neiva</t>
        </is>
      </c>
      <c r="C605" s="14" t="inlineStr">
        <is>
          <t>Habilitacion y calidad (Resolucion 3100 de 2019)</t>
        </is>
      </c>
      <c r="D605" s="14" t="inlineStr">
        <is>
          <t>Profesional</t>
        </is>
      </c>
      <c r="E605" s="14" t="inlineStr">
        <is>
          <t>C202</t>
        </is>
      </c>
      <c r="F605" s="14" t="inlineStr">
        <is>
          <t>Caso 202</t>
        </is>
      </c>
      <c r="G605" s="14" t="inlineStr">
        <is>
          <t>El hospital quiere ofertar consulta especializada en un municipio vecino, dos días por semana, usando la sede de otra institución. La gerencia propone hacerlo bajo la habilitación que ya tiene, porque los profesionales y los equipos son los mismos que usa en su sede principal.</t>
        </is>
      </c>
      <c r="H605" s="14" t="inlineStr">
        <is>
          <t>¿Qué debe hacer el hospital antes de ofertar allí?</t>
        </is>
      </c>
      <c r="I605" s="14" t="inlineStr">
        <is>
          <t>Declarar la sede y los servicios que allí se presten, porque la habilitación es por sede y servicio</t>
        </is>
      </c>
      <c r="J605" s="14" t="inlineStr">
        <is>
          <t>Declarar únicamente el nuevo horario, porque el servicio ya se encuentra habilitado en la sede principal</t>
        </is>
      </c>
      <c r="K605" s="14" t="inlineStr">
        <is>
          <t>Declarar la modalidad extramural, sin necesidad de registrar la sede donde se prestará</t>
        </is>
      </c>
      <c r="L605" s="14" t="inlineStr">
        <is>
          <t>a</t>
        </is>
      </c>
      <c r="M605" s="14" t="inlineStr">
        <is>
          <t>La habilitación se declara por prestador, sede y servicio: prestar en una sede distinta exige declararla, aunque el talento humano sea el mismo.</t>
        </is>
      </c>
      <c r="N605" s="14" t="inlineStr">
        <is>
          <t>Las opciones b) y c) extienden a otra sede una habilitación que no la cubre.</t>
        </is>
      </c>
      <c r="O605" s="14" t="inlineStr">
        <is>
          <t>Resolución 3100 de 2019</t>
        </is>
      </c>
      <c r="P605" s="14" t="inlineStr">
        <is>
          <t>SI</t>
        </is>
      </c>
      <c r="Q605" s="14" t="inlineStr">
        <is>
          <t>Alta</t>
        </is>
      </c>
      <c r="R605" s="14" t="inlineStr">
        <is>
          <t>v2</t>
        </is>
      </c>
    </row>
    <row r="606" ht="45.75" customHeight="1" s="12">
      <c r="A606" s="14" t="inlineStr">
        <is>
          <t>F0605</t>
        </is>
      </c>
      <c r="B606" s="14" t="inlineStr">
        <is>
          <t>PS 2782 de 2026 - ESE 2 - HUHMP Neiva</t>
        </is>
      </c>
      <c r="C606" s="14" t="inlineStr">
        <is>
          <t>Habilitacion y calidad (Resolucion 3100 de 2019)</t>
        </is>
      </c>
      <c r="D606" s="14" t="inlineStr">
        <is>
          <t>Profesional</t>
        </is>
      </c>
      <c r="E606" s="14" t="inlineStr">
        <is>
          <t>C202</t>
        </is>
      </c>
      <c r="F606" s="14" t="inlineStr">
        <is>
          <t>Caso 202</t>
        </is>
      </c>
      <c r="G606" s="14" t="inlineStr">
        <is>
          <t>El hospital quiere ofertar consulta especializada en un municipio vecino, dos días por semana, usando la sede de otra institución. La gerencia propone hacerlo bajo la habilitación que ya tiene, porque los profesionales y los equipos son los mismos que usa en su sede principal.</t>
        </is>
      </c>
      <c r="H606" s="14" t="inlineStr">
        <is>
          <t>Si la sede pertenece a otra institución, además debe:</t>
        </is>
      </c>
      <c r="I606" s="14" t="inlineStr">
        <is>
          <t>Definirse por escrito la responsabilidad de cada prestador sobre el servicio prestado</t>
        </is>
      </c>
      <c r="J606" s="14" t="inlineStr">
        <is>
          <t>Definirse un contrato de arrendamiento del espacio con la institución propietaria</t>
        </is>
      </c>
      <c r="K606" s="14" t="inlineStr">
        <is>
          <t>Definirse quién factura el servicio ante la entidad responsable de pago del usuario</t>
        </is>
      </c>
      <c r="L606" s="14" t="inlineStr">
        <is>
          <t>a</t>
        </is>
      </c>
      <c r="M606" s="14" t="inlineStr">
        <is>
          <t>Cuando se usa la infraestructura de un tercero debe quedar clara la responsabilidad de cada prestador frente al servicio y al usuario.</t>
        </is>
      </c>
      <c r="N606" s="14" t="inlineStr">
        <is>
          <t>Las opciones b) y c) resuelven aspectos económicos que no sustituyen la definición de responsabilidades asistenciales.</t>
        </is>
      </c>
      <c r="O606" s="14" t="inlineStr">
        <is>
          <t>Resolución 3100 de 2019</t>
        </is>
      </c>
      <c r="P606" s="14" t="inlineStr">
        <is>
          <t>SI</t>
        </is>
      </c>
      <c r="Q606" s="14" t="inlineStr">
        <is>
          <t>Alta</t>
        </is>
      </c>
      <c r="R606" s="14" t="inlineStr">
        <is>
          <t>v2</t>
        </is>
      </c>
    </row>
    <row r="607" ht="45.75" customHeight="1" s="12">
      <c r="A607" s="14" t="inlineStr">
        <is>
          <t>F0606</t>
        </is>
      </c>
      <c r="B607" s="14" t="inlineStr">
        <is>
          <t>PS 2782 de 2026 - ESE 2 - HUHMP Neiva</t>
        </is>
      </c>
      <c r="C607" s="14" t="inlineStr">
        <is>
          <t>Habilitacion y calidad (Resolucion 3100 de 2019)</t>
        </is>
      </c>
      <c r="D607" s="14" t="inlineStr">
        <is>
          <t>Profesional</t>
        </is>
      </c>
      <c r="E607" s="14" t="inlineStr">
        <is>
          <t>C202</t>
        </is>
      </c>
      <c r="F607" s="14" t="inlineStr">
        <is>
          <t>Caso 202</t>
        </is>
      </c>
      <c r="G607" s="14" t="inlineStr">
        <is>
          <t>El hospital quiere ofertar consulta especializada en un municipio vecino, dos días por semana, usando la sede de otra institución. La gerencia propone hacerlo bajo la habilitación que ya tiene, porque los profesionales y los equipos son los mismos que usa en su sede principal.</t>
        </is>
      </c>
      <c r="H607" s="14" t="inlineStr">
        <is>
          <t>Mientras no se declare la sede, ofertar allí la consulta:</t>
        </is>
      </c>
      <c r="I607" s="14" t="inlineStr">
        <is>
          <t>Constituye prestación de un servicio no habilitado en ese lugar</t>
        </is>
      </c>
      <c r="J607" s="14" t="inlineStr">
        <is>
          <t>Constituye una modalidad extramural amparada por la habilitación principal</t>
        </is>
      </c>
      <c r="K607" s="14" t="inlineStr">
        <is>
          <t>Constituye una contingencia de red autorizada por la entidad territorial</t>
        </is>
      </c>
      <c r="L607" s="14" t="inlineStr">
        <is>
          <t>a</t>
        </is>
      </c>
      <c r="M607" s="14" t="inlineStr">
        <is>
          <t>Sin declaración de la sede, el servicio prestado allí no está habilitado, con las consecuencias que ello acarrea.</t>
        </is>
      </c>
      <c r="N607" s="14" t="inlineStr">
        <is>
          <t>Las opciones b) y c) invocan figuras que no reemplazan la declaración de la sede.</t>
        </is>
      </c>
      <c r="O607" s="14" t="inlineStr">
        <is>
          <t>Resolución 3100 de 2019</t>
        </is>
      </c>
      <c r="P607" s="14" t="inlineStr">
        <is>
          <t>SI</t>
        </is>
      </c>
      <c r="Q607" s="14" t="inlineStr">
        <is>
          <t>Alta</t>
        </is>
      </c>
      <c r="R607" s="14" t="inlineStr">
        <is>
          <t>v2</t>
        </is>
      </c>
    </row>
    <row r="608" ht="45.75" customHeight="1" s="12">
      <c r="A608" s="14" t="inlineStr">
        <is>
          <t>F0607</t>
        </is>
      </c>
      <c r="B608" s="14" t="inlineStr">
        <is>
          <t>PS 2782 de 2026 - ESE 2 - HUHMP Neiva</t>
        </is>
      </c>
      <c r="C608" s="14" t="inlineStr">
        <is>
          <t>Habilitacion y calidad (Resolucion 3100 de 2019)</t>
        </is>
      </c>
      <c r="D608" s="14" t="inlineStr">
        <is>
          <t>Tecnico</t>
        </is>
      </c>
      <c r="E608" s="14" t="inlineStr">
        <is>
          <t>C203</t>
        </is>
      </c>
      <c r="F608" s="14" t="inlineStr">
        <is>
          <t>Caso 203</t>
        </is>
      </c>
      <c r="G608" s="14" t="inlineStr">
        <is>
          <t>El área de calidad debe reportar los indicadores del semestre y encuentra que el dato de oportunidad en consulta especializada quedó muy por debajo del promedio histórico. Al revisar, detecta que el sistema dejó de contar las citas asignadas por el canal telefónico durante dos meses.</t>
        </is>
      </c>
      <c r="H608" s="14" t="inlineStr">
        <is>
          <t>¿Qué debe hacer el área de calidad con ese indicador?</t>
        </is>
      </c>
      <c r="I608" s="14" t="inlineStr">
        <is>
          <t>Corregir el dato con la fuente completa y reportar la cifra real del semestre</t>
        </is>
      </c>
      <c r="J608" s="14" t="inlineStr">
        <is>
          <t>Reportar la cifra que arrojó el sistema y aclarar en observaciones la falla detectada</t>
        </is>
      </c>
      <c r="K608" s="14" t="inlineStr">
        <is>
          <t>Reportar el promedio histórico mientras el área de sistemas corrige el aplicativo</t>
        </is>
      </c>
      <c r="L608" s="14" t="inlineStr">
        <is>
          <t>a</t>
        </is>
      </c>
      <c r="M608" s="14" t="inlineStr">
        <is>
          <t>El reporte debe ser consistente con la fuente real; detectada la falla, se corrige el dato antes de reportar.</t>
        </is>
      </c>
      <c r="N608" s="14" t="inlineStr">
        <is>
          <t>La opción b) reporta un dato que se sabe incompleto y la opción c) sustituye la medición por una estimación.</t>
        </is>
      </c>
      <c r="O608" s="14" t="inlineStr">
        <is>
          <t>Resolución 256 de 2016</t>
        </is>
      </c>
      <c r="P608" s="14" t="inlineStr">
        <is>
          <t>SI</t>
        </is>
      </c>
      <c r="Q608" s="14" t="inlineStr">
        <is>
          <t>Media</t>
        </is>
      </c>
      <c r="R608" s="14" t="inlineStr">
        <is>
          <t>v2</t>
        </is>
      </c>
    </row>
    <row r="609" ht="45.75" customHeight="1" s="12">
      <c r="A609" s="14" t="inlineStr">
        <is>
          <t>F0608</t>
        </is>
      </c>
      <c r="B609" s="14" t="inlineStr">
        <is>
          <t>PS 2782 de 2026 - ESE 2 - HUHMP Neiva</t>
        </is>
      </c>
      <c r="C609" s="14" t="inlineStr">
        <is>
          <t>Habilitacion y calidad (Resolucion 3100 de 2019)</t>
        </is>
      </c>
      <c r="D609" s="14" t="inlineStr">
        <is>
          <t>Tecnico</t>
        </is>
      </c>
      <c r="E609" s="14" t="inlineStr">
        <is>
          <t>C203</t>
        </is>
      </c>
      <c r="F609" s="14" t="inlineStr">
        <is>
          <t>Caso 203</t>
        </is>
      </c>
      <c r="G609" s="14" t="inlineStr">
        <is>
          <t>El área de calidad debe reportar los indicadores del semestre y encuentra que el dato de oportunidad en consulta especializada quedó muy por debajo del promedio histórico. Al revisar, detecta que el sistema dejó de contar las citas asignadas por el canal telefónico durante dos meses.</t>
        </is>
      </c>
      <c r="H609" s="14" t="inlineStr">
        <is>
          <t>Reportar a sabiendas un dato incompleto puede constituir:</t>
        </is>
      </c>
      <c r="I609" s="14" t="inlineStr">
        <is>
          <t>Falta disciplinaria, por afectar la veracidad de la información oficial reportada</t>
        </is>
      </c>
      <c r="J609" s="14" t="inlineStr">
        <is>
          <t>Falla del sistema de información, sin consecuencias para quien remite el reporte</t>
        </is>
      </c>
      <c r="K609" s="14" t="inlineStr">
        <is>
          <t>Hallazgo de auditoría interna, que se resuelve con un plan de mejoramiento del área</t>
        </is>
      </c>
      <c r="L609" s="14" t="inlineStr">
        <is>
          <t>a</t>
        </is>
      </c>
      <c r="M609" s="14" t="inlineStr">
        <is>
          <t>Remitir información inexacta a sabiendas compromete el deber funcional de quien reporta.</t>
        </is>
      </c>
      <c r="N609" s="14" t="inlineStr">
        <is>
          <t>Las opciones b) y c) trasladan la responsabilidad al aplicativo o la reducen a un hallazgo interno.</t>
        </is>
      </c>
      <c r="O609" s="14" t="inlineStr">
        <is>
          <t>Ley 1952 de 2019; Resolución 256 de 2016</t>
        </is>
      </c>
      <c r="P609" s="14" t="inlineStr">
        <is>
          <t>SI</t>
        </is>
      </c>
      <c r="Q609" s="14" t="inlineStr">
        <is>
          <t>Media</t>
        </is>
      </c>
      <c r="R609" s="14" t="inlineStr">
        <is>
          <t>v2</t>
        </is>
      </c>
    </row>
    <row r="610" ht="45.75" customHeight="1" s="12">
      <c r="A610" s="14" t="inlineStr">
        <is>
          <t>F0609</t>
        </is>
      </c>
      <c r="B610" s="14" t="inlineStr">
        <is>
          <t>PS 2782 de 2026 - ESE 2 - HUHMP Neiva</t>
        </is>
      </c>
      <c r="C610" s="14" t="inlineStr">
        <is>
          <t>Habilitacion y calidad (Resolucion 3100 de 2019)</t>
        </is>
      </c>
      <c r="D610" s="14" t="inlineStr">
        <is>
          <t>Tecnico</t>
        </is>
      </c>
      <c r="E610" s="14" t="inlineStr">
        <is>
          <t>C203</t>
        </is>
      </c>
      <c r="F610" s="14" t="inlineStr">
        <is>
          <t>Caso 203</t>
        </is>
      </c>
      <c r="G610" s="14" t="inlineStr">
        <is>
          <t>El área de calidad debe reportar los indicadores del semestre y encuentra que el dato de oportunidad en consulta especializada quedó muy por debajo del promedio histórico. Al revisar, detecta que el sistema dejó de contar las citas asignadas por el canal telefónico durante dos meses.</t>
        </is>
      </c>
      <c r="H610" s="14" t="inlineStr">
        <is>
          <t>El propósito del sistema de información para la calidad es:</t>
        </is>
      </c>
      <c r="I610" s="14" t="inlineStr">
        <is>
          <t>Monitorear los resultados, permitir la comparación entre prestadores y orientar al usuario</t>
        </is>
      </c>
      <c r="J610" s="14" t="inlineStr">
        <is>
          <t>Verificar el cumplimiento de las condiciones de habilitación declaradas por el prestador</t>
        </is>
      </c>
      <c r="K610" s="14" t="inlineStr">
        <is>
          <t>Soportar la facturación de los servicios prestados ante las entidades responsables de pago</t>
        </is>
      </c>
      <c r="L610" s="14" t="inlineStr">
        <is>
          <t>a</t>
        </is>
      </c>
      <c r="M610" s="14" t="inlineStr">
        <is>
          <t>El sistema de información para la calidad busca monitoreo, referenciación comparativa y orientación del usuario.</t>
        </is>
      </c>
      <c r="N610" s="14" t="inlineStr">
        <is>
          <t>La opción b) corresponde a la habilitación y la opción c) a procesos administrativos de facturación.</t>
        </is>
      </c>
      <c r="O610" s="14" t="inlineStr">
        <is>
          <t>Resolución 256 de 2016</t>
        </is>
      </c>
      <c r="P610" s="14" t="inlineStr">
        <is>
          <t>SI</t>
        </is>
      </c>
      <c r="Q610" s="14" t="inlineStr">
        <is>
          <t>Media</t>
        </is>
      </c>
      <c r="R610" s="14" t="inlineStr">
        <is>
          <t>v2</t>
        </is>
      </c>
    </row>
    <row r="611" ht="45.75" customHeight="1" s="12">
      <c r="A611" s="14" t="inlineStr">
        <is>
          <t>F0610</t>
        </is>
      </c>
      <c r="B611" s="14" t="inlineStr">
        <is>
          <t>PS 2782 de 2026 - ESE 2 - HUHMP Neiva</t>
        </is>
      </c>
      <c r="C611" s="14" t="inlineStr">
        <is>
          <t>Habilitacion y calidad (Resolucion 3100 de 2019)</t>
        </is>
      </c>
      <c r="D611" s="14" t="inlineStr">
        <is>
          <t>Profesional</t>
        </is>
      </c>
      <c r="E611" s="14" t="inlineStr">
        <is>
          <t>C204</t>
        </is>
      </c>
      <c r="F611" s="14" t="inlineStr">
        <is>
          <t>Caso 204</t>
        </is>
      </c>
      <c r="G611" s="14" t="inlineStr">
        <is>
          <t>El hospital recibe una solicitud de la entidad territorial para aclarar por qué en el REPS figura habilitado un servicio de terapia respiratoria que, según una queja ciudadana, no se está prestando hace seis meses. El coordinador confirma que el servicio se suspendió por falta de talento humano.</t>
        </is>
      </c>
      <c r="H611" s="14" t="inlineStr">
        <is>
          <t>¿Qué corresponde hacer frente a esa situación?</t>
        </is>
      </c>
      <c r="I611" s="14" t="inlineStr">
        <is>
          <t>Reportar la novedad de cierre del servicio y responder a la entidad con esa constancia</t>
        </is>
      </c>
      <c r="J611" s="14" t="inlineStr">
        <is>
          <t>Reportar el reinicio del servicio dentro del mes siguiente y responder que fue temporal</t>
        </is>
      </c>
      <c r="K611" s="14" t="inlineStr">
        <is>
          <t>Reportar la situación solo si la entidad territorial lo requiere mediante acto motivado</t>
        </is>
      </c>
      <c r="L611" s="14" t="inlineStr">
        <is>
          <t>a</t>
        </is>
      </c>
      <c r="M611" s="14" t="inlineStr">
        <is>
          <t>La información declarada debe corresponder a la realidad: suspendido el servicio, se reporta la novedad y se informa a la entidad.</t>
        </is>
      </c>
      <c r="N611" s="14" t="inlineStr">
        <is>
          <t>La opción b) promete un reinicio sin corregir el registro y la opción c) condiciona un deber propio a un requerimiento externo.</t>
        </is>
      </c>
      <c r="O611" s="14" t="inlineStr">
        <is>
          <t>Resolución 3100 de 2019</t>
        </is>
      </c>
      <c r="P611" s="14" t="inlineStr">
        <is>
          <t>SI</t>
        </is>
      </c>
      <c r="Q611" s="14" t="inlineStr">
        <is>
          <t>Media</t>
        </is>
      </c>
      <c r="R611" s="14" t="inlineStr">
        <is>
          <t>v2</t>
        </is>
      </c>
    </row>
    <row r="612" ht="45.75" customHeight="1" s="12">
      <c r="A612" s="14" t="inlineStr">
        <is>
          <t>F0611</t>
        </is>
      </c>
      <c r="B612" s="14" t="inlineStr">
        <is>
          <t>PS 2782 de 2026 - ESE 2 - HUHMP Neiva</t>
        </is>
      </c>
      <c r="C612" s="14" t="inlineStr">
        <is>
          <t>Habilitacion y calidad (Resolucion 3100 de 2019)</t>
        </is>
      </c>
      <c r="D612" s="14" t="inlineStr">
        <is>
          <t>Profesional</t>
        </is>
      </c>
      <c r="E612" s="14" t="inlineStr">
        <is>
          <t>C204</t>
        </is>
      </c>
      <c r="F612" s="14" t="inlineStr">
        <is>
          <t>Caso 204</t>
        </is>
      </c>
      <c r="G612" s="14" t="inlineStr">
        <is>
          <t>El hospital recibe una solicitud de la entidad territorial para aclarar por qué en el REPS figura habilitado un servicio de terapia respiratoria que, según una queja ciudadana, no se está prestando hace seis meses. El coordinador confirma que el servicio se suspendió por falta de talento humano.</t>
        </is>
      </c>
      <c r="H612" s="14" t="inlineStr">
        <is>
          <t>Mantener declarado un servicio que no se presta:</t>
        </is>
      </c>
      <c r="I612" s="14" t="inlineStr">
        <is>
          <t>Desinforma al usuario y al sistema, y puede dar lugar a las medidas que la ley prevé</t>
        </is>
      </c>
      <c r="J612" s="14" t="inlineStr">
        <is>
          <t>Es admisible mientras dure la gestión de contratación del talento humano faltante</t>
        </is>
      </c>
      <c r="K612" s="14" t="inlineStr">
        <is>
          <t>Es admisible si el servicio se presta de manera intermitente según la disponibilidad</t>
        </is>
      </c>
      <c r="L612" s="14" t="inlineStr">
        <is>
          <t>a</t>
        </is>
      </c>
      <c r="M612" s="14" t="inlineStr">
        <is>
          <t>El registro debe reflejar la oferta real; mantener declarado un servicio inexistente induce a error y compromete al prestador.</t>
        </is>
      </c>
      <c r="N612" s="14" t="inlineStr">
        <is>
          <t>Las opciones b) y c) justifican la desactualización por la gestión interna o por la intermitencia.</t>
        </is>
      </c>
      <c r="O612" s="14" t="inlineStr">
        <is>
          <t>Resolución 3100 de 2019</t>
        </is>
      </c>
      <c r="P612" s="14" t="inlineStr">
        <is>
          <t>SI</t>
        </is>
      </c>
      <c r="Q612" s="14" t="inlineStr">
        <is>
          <t>Media</t>
        </is>
      </c>
      <c r="R612" s="14" t="inlineStr">
        <is>
          <t>v2</t>
        </is>
      </c>
    </row>
    <row r="613" ht="45.75" customHeight="1" s="12">
      <c r="A613" s="14" t="inlineStr">
        <is>
          <t>F0612</t>
        </is>
      </c>
      <c r="B613" s="14" t="inlineStr">
        <is>
          <t>PS 2782 de 2026 - ESE 2 - HUHMP Neiva</t>
        </is>
      </c>
      <c r="C613" s="14" t="inlineStr">
        <is>
          <t>Habilitacion y calidad (Resolucion 3100 de 2019)</t>
        </is>
      </c>
      <c r="D613" s="14" t="inlineStr">
        <is>
          <t>Profesional</t>
        </is>
      </c>
      <c r="E613" s="14" t="inlineStr">
        <is>
          <t>C204</t>
        </is>
      </c>
      <c r="F613" s="14" t="inlineStr">
        <is>
          <t>Caso 204</t>
        </is>
      </c>
      <c r="G613" s="14" t="inlineStr">
        <is>
          <t>El hospital recibe una solicitud de la entidad territorial para aclarar por qué en el REPS figura habilitado un servicio de terapia respiratoria que, según una queja ciudadana, no se está prestando hace seis meses. El coordinador confirma que el servicio se suspendió por falta de talento humano.</t>
        </is>
      </c>
      <c r="H613" s="14" t="inlineStr">
        <is>
          <t>Frente a la queja ciudadana, la respuesta del hospital debe:</t>
        </is>
      </c>
      <c r="I613" s="14" t="inlineStr">
        <is>
          <t>Informar la situación real del servicio y la fecha prevista de reapertura, si la hay</t>
        </is>
      </c>
      <c r="J613" s="14" t="inlineStr">
        <is>
          <t>Informar que el servicio figura habilitado conforme al registro especial vigente</t>
        </is>
      </c>
      <c r="K613" s="14" t="inlineStr">
        <is>
          <t>Informar que la competencia sobre la queja corresponde a la entidad territorial</t>
        </is>
      </c>
      <c r="L613" s="14" t="inlineStr">
        <is>
          <t>a</t>
        </is>
      </c>
      <c r="M613" s="14" t="inlineStr">
        <is>
          <t>La respuesta debe ser de fondo y veraz sobre la situación real del servicio.</t>
        </is>
      </c>
      <c r="N613" s="14" t="inlineStr">
        <is>
          <t>La opción b) responde con el registro y no con la realidad y la opción c) traslada una competencia propia.</t>
        </is>
      </c>
      <c r="O613" s="14" t="inlineStr">
        <is>
          <t>Ley 1755 de 2015; Resolución 3100 de 2019</t>
        </is>
      </c>
      <c r="P613" s="14" t="inlineStr">
        <is>
          <t>SI</t>
        </is>
      </c>
      <c r="Q613" s="14" t="inlineStr">
        <is>
          <t>Media</t>
        </is>
      </c>
      <c r="R613" s="14" t="inlineStr">
        <is>
          <t>v2</t>
        </is>
      </c>
    </row>
    <row r="614" ht="45.75" customHeight="1" s="12">
      <c r="A614" s="14" t="inlineStr">
        <is>
          <t>F0613</t>
        </is>
      </c>
      <c r="B614" s="14" t="inlineStr">
        <is>
          <t>PS 2782 de 2026 - ESE 2 - HUHMP Neiva</t>
        </is>
      </c>
      <c r="C614" s="14" t="inlineStr">
        <is>
          <t>Referencia y contrarreferencia</t>
        </is>
      </c>
      <c r="D614" s="14" t="inlineStr">
        <is>
          <t>Profesional</t>
        </is>
      </c>
      <c r="E614" s="14" t="inlineStr">
        <is>
          <t>C205</t>
        </is>
      </c>
      <c r="F614" s="14" t="inlineStr">
        <is>
          <t>Caso 205</t>
        </is>
      </c>
      <c r="G614" s="14" t="inlineStr">
        <is>
          <t>Un paciente hospitalizado requiere una valoración por una subespecialidad que el hospital no tiene. La EPS autoriza la interconsulta en otra ciudad y programa el traslado en ambulancia básica para dentro de seis días. El paciente está estable pero con oxígeno suplementario y monitoreo continuo.</t>
        </is>
      </c>
      <c r="H614" s="14" t="inlineStr">
        <is>
          <t>¿Cuál es la actuación correcta del hospital?</t>
        </is>
      </c>
      <c r="I614" s="14" t="inlineStr">
        <is>
          <t>Objetar la modalidad de traslado por escrito y gestionar la que corresponde al estado del paciente</t>
        </is>
      </c>
      <c r="J614" s="14" t="inlineStr">
        <is>
          <t>Aceptar la programación y registrar en la historia clínica las condiciones del paciente</t>
        </is>
      </c>
      <c r="K614" s="14" t="inlineStr">
        <is>
          <t>Aceptar la programación y solicitar acompañamiento de personal del hospital durante el viaje</t>
        </is>
      </c>
      <c r="L614" s="14" t="inlineStr">
        <is>
          <t>a</t>
        </is>
      </c>
      <c r="M614" s="14" t="inlineStr">
        <is>
          <t>La modalidad de transporte debe corresponder al estado clínico: trasladar con oxígeno y monitoreo en ambulancia básica expone al paciente.</t>
        </is>
      </c>
      <c r="N614" s="14" t="inlineStr">
        <is>
          <t>Las opciones b) y c) aceptan una modalidad inadecuada, aunque una deje constancia y otra agregue acompañamiento.</t>
        </is>
      </c>
      <c r="O614" s="14" t="inlineStr">
        <is>
          <t>Decreto 780 de 2016; Resolución 3100 de 2019</t>
        </is>
      </c>
      <c r="P614" s="14" t="inlineStr">
        <is>
          <t>SI</t>
        </is>
      </c>
      <c r="Q614" s="14" t="inlineStr">
        <is>
          <t>Media</t>
        </is>
      </c>
      <c r="R614" s="14" t="inlineStr">
        <is>
          <t>v2</t>
        </is>
      </c>
    </row>
    <row r="615" ht="45.75" customHeight="1" s="12">
      <c r="A615" s="14" t="inlineStr">
        <is>
          <t>F0614</t>
        </is>
      </c>
      <c r="B615" s="14" t="inlineStr">
        <is>
          <t>PS 2782 de 2026 - ESE 2 - HUHMP Neiva</t>
        </is>
      </c>
      <c r="C615" s="14" t="inlineStr">
        <is>
          <t>Referencia y contrarreferencia</t>
        </is>
      </c>
      <c r="D615" s="14" t="inlineStr">
        <is>
          <t>Profesional</t>
        </is>
      </c>
      <c r="E615" s="14" t="inlineStr">
        <is>
          <t>C205</t>
        </is>
      </c>
      <c r="F615" s="14" t="inlineStr">
        <is>
          <t>Caso 205</t>
        </is>
      </c>
      <c r="G615" s="14" t="inlineStr">
        <is>
          <t>Un paciente hospitalizado requiere una valoración por una subespecialidad que el hospital no tiene. La EPS autoriza la interconsulta en otra ciudad y programa el traslado en ambulancia básica para dentro de seis días. El paciente está estable pero con oxígeno suplementario y monitoreo continuo.</t>
        </is>
      </c>
      <c r="H615" s="14" t="inlineStr">
        <is>
          <t>La demora de seis días para una valoración de un paciente hospitalizado:</t>
        </is>
      </c>
      <c r="I615" s="14" t="inlineStr">
        <is>
          <t>Debe gestionarse ante el asegurador y documentarse como barrera para la atención</t>
        </is>
      </c>
      <c r="J615" s="14" t="inlineStr">
        <is>
          <t>Debe aceptarse, porque la programación depende de la agenda del prestador receptor</t>
        </is>
      </c>
      <c r="K615" s="14" t="inlineStr">
        <is>
          <t>Debe resolverse dando de alta al paciente para que asista de manera ambulatoria</t>
        </is>
      </c>
      <c r="L615" s="14" t="inlineStr">
        <is>
          <t>a</t>
        </is>
      </c>
      <c r="M615" s="14" t="inlineStr">
        <is>
          <t>La demora en un paciente hospitalizado es una barrera que debe gestionarse y documentarse ante el asegurador.</t>
        </is>
      </c>
      <c r="N615" s="14" t="inlineStr">
        <is>
          <t>La opción b) traslada la decisión a la agenda del receptor y la opción c) convierte el alta en una salida administrativa.</t>
        </is>
      </c>
      <c r="O615" s="14" t="inlineStr">
        <is>
          <t>Ley 1751 de 2015, art. 6</t>
        </is>
      </c>
      <c r="P615" s="14" t="inlineStr">
        <is>
          <t>SI</t>
        </is>
      </c>
      <c r="Q615" s="14" t="inlineStr">
        <is>
          <t>Media</t>
        </is>
      </c>
      <c r="R615" s="14" t="inlineStr">
        <is>
          <t>v2</t>
        </is>
      </c>
    </row>
    <row r="616" ht="45.75" customHeight="1" s="12">
      <c r="A616" s="14" t="inlineStr">
        <is>
          <t>F0615</t>
        </is>
      </c>
      <c r="B616" s="14" t="inlineStr">
        <is>
          <t>PS 2782 de 2026 - ESE 2 - HUHMP Neiva</t>
        </is>
      </c>
      <c r="C616" s="14" t="inlineStr">
        <is>
          <t>Referencia y contrarreferencia</t>
        </is>
      </c>
      <c r="D616" s="14" t="inlineStr">
        <is>
          <t>Profesional</t>
        </is>
      </c>
      <c r="E616" s="14" t="inlineStr">
        <is>
          <t>C205</t>
        </is>
      </c>
      <c r="F616" s="14" t="inlineStr">
        <is>
          <t>Caso 205</t>
        </is>
      </c>
      <c r="G616" s="14" t="inlineStr">
        <is>
          <t>Un paciente hospitalizado requiere una valoración por una subespecialidad que el hospital no tiene. La EPS autoriza la interconsulta en otra ciudad y programa el traslado en ambulancia básica para dentro de seis días. El paciente está estable pero con oxígeno suplementario y monitoreo continuo.</t>
        </is>
      </c>
      <c r="H616" s="14" t="inlineStr">
        <is>
          <t>Durante el traslado, la responsabilidad sobre el paciente corresponde a:</t>
        </is>
      </c>
      <c r="I616" s="14" t="inlineStr">
        <is>
          <t>Quien ejecuta el traslado, hasta la entrega formal en la institución receptora</t>
        </is>
      </c>
      <c r="J616" s="14" t="inlineStr">
        <is>
          <t>El hospital remitente, hasta que el paciente regrese de la valoración solicitada</t>
        </is>
      </c>
      <c r="K616" s="14" t="inlineStr">
        <is>
          <t>La institución receptora, desde el momento en que acepta la interconsulta</t>
        </is>
      </c>
      <c r="L616" s="14" t="inlineStr">
        <is>
          <t>a</t>
        </is>
      </c>
      <c r="M616" s="14" t="inlineStr">
        <is>
          <t>La responsabilidad durante el traslado recae en quien lo ejecuta, hasta la entrega formal del paciente al receptor.</t>
        </is>
      </c>
      <c r="N616" s="14" t="inlineStr">
        <is>
          <t>Las opciones b) y c) desplazan la responsabilidad a momentos anteriores o posteriores al traslado.</t>
        </is>
      </c>
      <c r="O616" s="14" t="inlineStr">
        <is>
          <t>Decreto 780 de 2016</t>
        </is>
      </c>
      <c r="P616" s="14" t="inlineStr">
        <is>
          <t>SI</t>
        </is>
      </c>
      <c r="Q616" s="14" t="inlineStr">
        <is>
          <t>Media</t>
        </is>
      </c>
      <c r="R616" s="14" t="inlineStr">
        <is>
          <t>v2</t>
        </is>
      </c>
    </row>
    <row r="617" ht="45.75" customHeight="1" s="12">
      <c r="A617" s="14" t="inlineStr">
        <is>
          <t>F0616</t>
        </is>
      </c>
      <c r="B617" s="14" t="inlineStr">
        <is>
          <t>PS 2782 de 2026 - ESE 2 - HUHMP Neiva</t>
        </is>
      </c>
      <c r="C617" s="14" t="inlineStr">
        <is>
          <t>Referencia y contrarreferencia</t>
        </is>
      </c>
      <c r="D617" s="14" t="inlineStr">
        <is>
          <t>Tecnico</t>
        </is>
      </c>
      <c r="E617" s="14" t="inlineStr">
        <is>
          <t>C206</t>
        </is>
      </c>
      <c r="F617" s="14" t="inlineStr">
        <is>
          <t>Caso 206</t>
        </is>
      </c>
      <c r="G617" s="14" t="inlineStr">
        <is>
          <t>La oficina de referencia recibe de un centro de salud rural la solicitud de remisión de un menor de dos años con dificultad respiratoria. El formato llega incompleto: no trae signos vitales ni el resumen clínico, solo el diagnóstico presuntivo y el nombre del médico que remite.</t>
        </is>
      </c>
      <c r="H617" s="14" t="inlineStr">
        <is>
          <t>¿Cómo debe proceder la oficina de referencia?</t>
        </is>
      </c>
      <c r="I617" s="14" t="inlineStr">
        <is>
          <t>Solicitar de inmediato por teléfono los datos faltantes sin detener la gestión del caso</t>
        </is>
      </c>
      <c r="J617" s="14" t="inlineStr">
        <is>
          <t>Solicitar por correo el formato completo antes de iniciar la gestión de la remisión</t>
        </is>
      </c>
      <c r="K617" s="14" t="inlineStr">
        <is>
          <t>Solicitar al centro de salud que reenvíe el caso una vez complete la documentación</t>
        </is>
      </c>
      <c r="L617" s="14" t="inlineStr">
        <is>
          <t>a</t>
        </is>
      </c>
      <c r="M617" s="14" t="inlineStr">
        <is>
          <t>Tratándose de un menor con dificultad respiratoria, se piden los datos por la vía más rápida mientras la gestión del caso continúa.</t>
        </is>
      </c>
      <c r="N617" s="14" t="inlineStr">
        <is>
          <t>Las opciones b) y c) detienen la gestión de una urgencia por un requisito documental.</t>
        </is>
      </c>
      <c r="O617" s="14" t="inlineStr">
        <is>
          <t>Resolución 3047 de 2008; Ley 1751 de 2015, art. 14</t>
        </is>
      </c>
      <c r="P617" s="14" t="inlineStr">
        <is>
          <t>SI</t>
        </is>
      </c>
      <c r="Q617" s="14" t="inlineStr">
        <is>
          <t>Basica</t>
        </is>
      </c>
      <c r="R617" s="14" t="inlineStr">
        <is>
          <t>v2</t>
        </is>
      </c>
    </row>
    <row r="618" ht="45.75" customHeight="1" s="12">
      <c r="A618" s="14" t="inlineStr">
        <is>
          <t>F0617</t>
        </is>
      </c>
      <c r="B618" s="14" t="inlineStr">
        <is>
          <t>PS 2782 de 2026 - ESE 2 - HUHMP Neiva</t>
        </is>
      </c>
      <c r="C618" s="14" t="inlineStr">
        <is>
          <t>Referencia y contrarreferencia</t>
        </is>
      </c>
      <c r="D618" s="14" t="inlineStr">
        <is>
          <t>Tecnico</t>
        </is>
      </c>
      <c r="E618" s="14" t="inlineStr">
        <is>
          <t>C206</t>
        </is>
      </c>
      <c r="F618" s="14" t="inlineStr">
        <is>
          <t>Caso 206</t>
        </is>
      </c>
      <c r="G618" s="14" t="inlineStr">
        <is>
          <t>La oficina de referencia recibe de un centro de salud rural la solicitud de remisión de un menor de dos años con dificultad respiratoria. El formato llega incompleto: no trae signos vitales ni el resumen clínico, solo el diagnóstico presuntivo y el nombre del médico que remite.</t>
        </is>
      </c>
      <c r="H618" s="14" t="inlineStr">
        <is>
          <t>El resumen clínico en la solicitud de remisión sirve para:</t>
        </is>
      </c>
      <c r="I618" s="14" t="inlineStr">
        <is>
          <t>Permitir al receptor valorar la pertinencia y preparar la atención del paciente</t>
        </is>
      </c>
      <c r="J618" s="14" t="inlineStr">
        <is>
          <t>Soportar la facturación del traslado ante la entidad responsable de pago</t>
        </is>
      </c>
      <c r="K618" s="14" t="inlineStr">
        <is>
          <t>Acreditar que el prestador remitente agotó su capacidad resolutiva instalada</t>
        </is>
      </c>
      <c r="L618" s="14" t="inlineStr">
        <is>
          <t>a</t>
        </is>
      </c>
      <c r="M618" s="14" t="inlineStr">
        <is>
          <t>El resumen clínico permite al receptor valorar la pertinencia de la remisión y preparar la recepción del paciente.</t>
        </is>
      </c>
      <c r="N618" s="14" t="inlineStr">
        <is>
          <t>Las opciones b) y c) le atribuyen finalidades administrativas que no son las principales.</t>
        </is>
      </c>
      <c r="O618" s="14" t="inlineStr">
        <is>
          <t>Resolución 3047 de 2008</t>
        </is>
      </c>
      <c r="P618" s="14" t="inlineStr">
        <is>
          <t>SI</t>
        </is>
      </c>
      <c r="Q618" s="14" t="inlineStr">
        <is>
          <t>Basica</t>
        </is>
      </c>
      <c r="R618" s="14" t="inlineStr">
        <is>
          <t>v2</t>
        </is>
      </c>
    </row>
    <row r="619" ht="45.75" customHeight="1" s="12">
      <c r="A619" s="14" t="inlineStr">
        <is>
          <t>F0618</t>
        </is>
      </c>
      <c r="B619" s="14" t="inlineStr">
        <is>
          <t>PS 2782 de 2026 - ESE 2 - HUHMP Neiva</t>
        </is>
      </c>
      <c r="C619" s="14" t="inlineStr">
        <is>
          <t>Referencia y contrarreferencia</t>
        </is>
      </c>
      <c r="D619" s="14" t="inlineStr">
        <is>
          <t>Tecnico</t>
        </is>
      </c>
      <c r="E619" s="14" t="inlineStr">
        <is>
          <t>C206</t>
        </is>
      </c>
      <c r="F619" s="14" t="inlineStr">
        <is>
          <t>Caso 206</t>
        </is>
      </c>
      <c r="G619" s="14" t="inlineStr">
        <is>
          <t>La oficina de referencia recibe de un centro de salud rural la solicitud de remisión de un menor de dos años con dificultad respiratoria. El formato llega incompleto: no trae signos vitales ni el resumen clínico, solo el diagnóstico presuntivo y el nombre del médico que remite.</t>
        </is>
      </c>
      <c r="H619" s="14" t="inlineStr">
        <is>
          <t>Como se trata de un menor de edad, además corresponde:</t>
        </is>
      </c>
      <c r="I619" s="14" t="inlineStr">
        <is>
          <t>Priorizar la gestión conforme a su condición de sujeto de especial protección</t>
        </is>
      </c>
      <c r="J619" s="14" t="inlineStr">
        <is>
          <t>Exigir la presencia de ambos padres antes de aceptar el traslado del menor</t>
        </is>
      </c>
      <c r="K619" s="14" t="inlineStr">
        <is>
          <t>Solicitar autorización escrita del defensor de familia para recibir al menor</t>
        </is>
      </c>
      <c r="L619" s="14" t="inlineStr">
        <is>
          <t>a</t>
        </is>
      </c>
      <c r="M619" s="14" t="inlineStr">
        <is>
          <t>Los niños son sujetos de especial protección y su atención se prioriza, sin condicionarla a trámites adicionales.</t>
        </is>
      </c>
      <c r="N619" s="14" t="inlineStr">
        <is>
          <t>Las opciones b) y c) imponen requisitos que retrasan la atención de una urgencia pediátrica.</t>
        </is>
      </c>
      <c r="O619" s="14" t="inlineStr">
        <is>
          <t>Constitución Política de 1991, art. 44; Ley 1098 de 2006</t>
        </is>
      </c>
      <c r="P619" s="14" t="inlineStr">
        <is>
          <t>SI</t>
        </is>
      </c>
      <c r="Q619" s="14" t="inlineStr">
        <is>
          <t>Basica</t>
        </is>
      </c>
      <c r="R619" s="14" t="inlineStr">
        <is>
          <t>v2</t>
        </is>
      </c>
    </row>
    <row r="620" ht="57" customHeight="1" s="12">
      <c r="A620" s="14" t="inlineStr">
        <is>
          <t>F0619</t>
        </is>
      </c>
      <c r="B620" s="14" t="inlineStr">
        <is>
          <t>PS 2782 de 2026 - ESE 2 - HUHMP Neiva</t>
        </is>
      </c>
      <c r="C620" s="14" t="inlineStr">
        <is>
          <t>Sistema de salud y Ley 100 de 1993</t>
        </is>
      </c>
      <c r="D620" s="14" t="inlineStr">
        <is>
          <t>Profesional</t>
        </is>
      </c>
      <c r="E620" s="14" t="inlineStr">
        <is>
          <t>C207</t>
        </is>
      </c>
      <c r="F620" s="14" t="inlineStr">
        <is>
          <t>Caso 207</t>
        </is>
      </c>
      <c r="G620" s="14" t="inlineStr">
        <is>
          <t>El hospital contrata con una EPS por capitación la atención de baja complejidad de doce mil afiliados. A los cuatro meses, la demanda supera en un cuarenta por ciento lo proyectado por un brote respiratorio. El gerente propone suspender la atención de los afiliados de esa EPS hasta renegociar la nota técnica.</t>
        </is>
      </c>
      <c r="H620" s="14" t="inlineStr">
        <is>
          <t>¿Cuál es la conducta institucional correcta?</t>
        </is>
      </c>
      <c r="I620" s="14" t="inlineStr">
        <is>
          <t>Mantener la atención y solicitar por escrito la revisión del acuerdo con el soporte del desbalance</t>
        </is>
      </c>
      <c r="J620" s="14" t="inlineStr">
        <is>
          <t>Mantener la atención de urgencias y suspender la programada hasta renegociar el acuerdo</t>
        </is>
      </c>
      <c r="K620" s="14" t="inlineStr">
        <is>
          <t>Mantener la atención y descontar del siguiente pago el mayor valor de los servicios prestados</t>
        </is>
      </c>
      <c r="L620" s="14" t="inlineStr">
        <is>
          <t>a</t>
        </is>
      </c>
      <c r="M620" s="14" t="inlineStr">
        <is>
          <t>El desequilibrio contractual se gestiona entre las partes con soportes, sin que la prestación a los usuarios pueda suspenderse ni compensarse de manera unilateral.</t>
        </is>
      </c>
      <c r="N620" s="14" t="inlineStr">
        <is>
          <t>La opción b) traslada el conflicto a los usuarios y la opción c) adopta una compensación que no está pactada.</t>
        </is>
      </c>
      <c r="O620" s="14" t="inlineStr">
        <is>
          <t>Decreto 780 de 2016; Ley 1751 de 2015, art. 6</t>
        </is>
      </c>
      <c r="P620" s="14" t="inlineStr">
        <is>
          <t>SI</t>
        </is>
      </c>
      <c r="Q620" s="14" t="inlineStr">
        <is>
          <t>Media</t>
        </is>
      </c>
      <c r="R620" s="14" t="inlineStr">
        <is>
          <t>v2</t>
        </is>
      </c>
    </row>
    <row r="621" ht="57" customHeight="1" s="12">
      <c r="A621" s="14" t="inlineStr">
        <is>
          <t>F0620</t>
        </is>
      </c>
      <c r="B621" s="14" t="inlineStr">
        <is>
          <t>PS 2782 de 2026 - ESE 2 - HUHMP Neiva</t>
        </is>
      </c>
      <c r="C621" s="14" t="inlineStr">
        <is>
          <t>Sistema de salud y Ley 100 de 1993</t>
        </is>
      </c>
      <c r="D621" s="14" t="inlineStr">
        <is>
          <t>Profesional</t>
        </is>
      </c>
      <c r="E621" s="14" t="inlineStr">
        <is>
          <t>C207</t>
        </is>
      </c>
      <c r="F621" s="14" t="inlineStr">
        <is>
          <t>Caso 207</t>
        </is>
      </c>
      <c r="G621" s="14" t="inlineStr">
        <is>
          <t>El hospital contrata con una EPS por capitación la atención de baja complejidad de doce mil afiliados. A los cuatro meses, la demanda supera en un cuarenta por ciento lo proyectado por un brote respiratorio. El gerente propone suspender la atención de los afiliados de esa EPS hasta renegociar la nota técnica.</t>
        </is>
      </c>
      <c r="H621" s="14" t="inlineStr">
        <is>
          <t>En el pago por capitación, el riesgo de la mayor demanda:</t>
        </is>
      </c>
      <c r="I621" s="14" t="inlineStr">
        <is>
          <t>Lo asume en parte el prestador, que recibe un valor fijo por persona y periodo</t>
        </is>
      </c>
      <c r="J621" s="14" t="inlineStr">
        <is>
          <t>Lo asume íntegramente el asegurador, que responde por la población afiliada</t>
        </is>
      </c>
      <c r="K621" s="14" t="inlineStr">
        <is>
          <t>Lo asume la entidad territorial, que financia los eventos de salud pública</t>
        </is>
      </c>
      <c r="L621" s="14" t="inlineStr">
        <is>
          <t>a</t>
        </is>
      </c>
      <c r="M621" s="14" t="inlineStr">
        <is>
          <t>La capitación traslada al prestador parte del riesgo de la demanda, a cambio de un valor fijo por persona y periodo.</t>
        </is>
      </c>
      <c r="N621" s="14" t="inlineStr">
        <is>
          <t>La opción b) desconoce la naturaleza del mecanismo y la opción c) involucra una fuente ajena al acuerdo.</t>
        </is>
      </c>
      <c r="O621" s="14" t="inlineStr">
        <is>
          <t>Decreto 780 de 2016</t>
        </is>
      </c>
      <c r="P621" s="14" t="inlineStr">
        <is>
          <t>SI</t>
        </is>
      </c>
      <c r="Q621" s="14" t="inlineStr">
        <is>
          <t>Media</t>
        </is>
      </c>
      <c r="R621" s="14" t="inlineStr">
        <is>
          <t>v2</t>
        </is>
      </c>
    </row>
    <row r="622" ht="57" customHeight="1" s="12">
      <c r="A622" s="14" t="inlineStr">
        <is>
          <t>F0621</t>
        </is>
      </c>
      <c r="B622" s="14" t="inlineStr">
        <is>
          <t>PS 2782 de 2026 - ESE 2 - HUHMP Neiva</t>
        </is>
      </c>
      <c r="C622" s="14" t="inlineStr">
        <is>
          <t>Sistema de salud y Ley 100 de 1993</t>
        </is>
      </c>
      <c r="D622" s="14" t="inlineStr">
        <is>
          <t>Profesional</t>
        </is>
      </c>
      <c r="E622" s="14" t="inlineStr">
        <is>
          <t>C207</t>
        </is>
      </c>
      <c r="F622" s="14" t="inlineStr">
        <is>
          <t>Caso 207</t>
        </is>
      </c>
      <c r="G622" s="14" t="inlineStr">
        <is>
          <t>El hospital contrata con una EPS por capitación la atención de baja complejidad de doce mil afiliados. A los cuatro meses, la demanda supera en un cuarenta por ciento lo proyectado por un brote respiratorio. El gerente propone suspender la atención de los afiliados de esa EPS hasta renegociar la nota técnica.</t>
        </is>
      </c>
      <c r="H622" s="14" t="inlineStr">
        <is>
          <t>Un brote respiratorio con impacto poblacional también obliga a:</t>
        </is>
      </c>
      <c r="I622" s="14" t="inlineStr">
        <is>
          <t>Notificar los eventos de interés en salud pública conforme a los protocolos vigentes</t>
        </is>
      </c>
      <c r="J622" s="14" t="inlineStr">
        <is>
          <t>Notificar el desbalance financiero a la Superintendencia Nacional de Salud</t>
        </is>
      </c>
      <c r="K622" s="14" t="inlineStr">
        <is>
          <t>Notificar a los afiliados la suspensión temporal de la atención programada</t>
        </is>
      </c>
      <c r="L622" s="14" t="inlineStr">
        <is>
          <t>a</t>
        </is>
      </c>
      <c r="M622" s="14" t="inlineStr">
        <is>
          <t>El brote activa la notificación al sistema de vigilancia en salud pública, con independencia del conflicto contractual.</t>
        </is>
      </c>
      <c r="N622" s="14" t="inlineStr">
        <is>
          <t>La opción b) atiende lo económico y la opción c) comunica una medida improcedente.</t>
        </is>
      </c>
      <c r="O622" s="14" t="inlineStr">
        <is>
          <t>Decreto 780 de 2016; protocolos del INS</t>
        </is>
      </c>
      <c r="P622" s="14" t="inlineStr">
        <is>
          <t>SI</t>
        </is>
      </c>
      <c r="Q622" s="14" t="inlineStr">
        <is>
          <t>Media</t>
        </is>
      </c>
      <c r="R622" s="14" t="inlineStr">
        <is>
          <t>v2</t>
        </is>
      </c>
    </row>
    <row r="623" ht="57" customHeight="1" s="12">
      <c r="A623" s="14" t="inlineStr">
        <is>
          <t>F0622</t>
        </is>
      </c>
      <c r="B623" s="14" t="inlineStr">
        <is>
          <t>PS 2782 de 2026 - ESE 2 - HUHMP Neiva</t>
        </is>
      </c>
      <c r="C623" s="14" t="inlineStr">
        <is>
          <t>Sistema de salud y Ley 100 de 1993</t>
        </is>
      </c>
      <c r="D623" s="14" t="inlineStr">
        <is>
          <t>Profesional</t>
        </is>
      </c>
      <c r="E623" s="14" t="inlineStr">
        <is>
          <t>C208</t>
        </is>
      </c>
      <c r="F623" s="14" t="inlineStr">
        <is>
          <t>Caso 208</t>
        </is>
      </c>
      <c r="G623" s="14" t="inlineStr">
        <is>
          <t>La auditoría de la EPS glosa el cien por ciento de una cuenta de hospitalización de once días alegando estancia prolongada injustificada. La historia clínica muestra que el paciente permaneció cinco días adicionales esperando una remisión que la misma EPS no autorizó. El comité de glosas debe responder en término.</t>
        </is>
      </c>
      <c r="H623" s="14" t="inlineStr">
        <is>
          <t>¿Cómo debe responderse esa glosa?</t>
        </is>
      </c>
      <c r="I623" s="14" t="inlineStr">
        <is>
          <t>Responderla con el soporte clínico de la estancia y la trazabilidad de las solicitudes de remisión</t>
        </is>
      </c>
      <c r="J623" s="14" t="inlineStr">
        <is>
          <t>Responderla aceptando los días no justificados y cobrando solo la estancia inicial del paciente</t>
        </is>
      </c>
      <c r="K623" s="14" t="inlineStr">
        <is>
          <t>Responderla remitiendo la historia clínica completa para que el auditor concluya lo pertinente</t>
        </is>
      </c>
      <c r="L623" s="14" t="inlineStr">
        <is>
          <t>a</t>
        </is>
      </c>
      <c r="M623" s="14" t="inlineStr">
        <is>
          <t>La respuesta debe controvertir la glosa con el soporte clínico y con la evidencia de que la demora fue atribuible a la autorización pendiente.</t>
        </is>
      </c>
      <c r="N623" s="14" t="inlineStr">
        <is>
          <t>La opción b) renuncia a un cobro sustentado y la opción c) traslada al auditor la carga de construir la defensa del prestador.</t>
        </is>
      </c>
      <c r="O623" s="14" t="inlineStr">
        <is>
          <t>Decreto 780 de 2016; Resolución 3047 de 2008</t>
        </is>
      </c>
      <c r="P623" s="14" t="inlineStr">
        <is>
          <t>SI</t>
        </is>
      </c>
      <c r="Q623" s="14" t="inlineStr">
        <is>
          <t>Alta</t>
        </is>
      </c>
      <c r="R623" s="14" t="inlineStr">
        <is>
          <t>v2</t>
        </is>
      </c>
    </row>
    <row r="624" ht="57" customHeight="1" s="12">
      <c r="A624" s="14" t="inlineStr">
        <is>
          <t>F0623</t>
        </is>
      </c>
      <c r="B624" s="14" t="inlineStr">
        <is>
          <t>PS 2782 de 2026 - ESE 2 - HUHMP Neiva</t>
        </is>
      </c>
      <c r="C624" s="14" t="inlineStr">
        <is>
          <t>Sistema de salud y Ley 100 de 1993</t>
        </is>
      </c>
      <c r="D624" s="14" t="inlineStr">
        <is>
          <t>Profesional</t>
        </is>
      </c>
      <c r="E624" s="14" t="inlineStr">
        <is>
          <t>C208</t>
        </is>
      </c>
      <c r="F624" s="14" t="inlineStr">
        <is>
          <t>Caso 208</t>
        </is>
      </c>
      <c r="G624" s="14" t="inlineStr">
        <is>
          <t>La auditoría de la EPS glosa el cien por ciento de una cuenta de hospitalización de once días alegando estancia prolongada injustificada. La historia clínica muestra que el paciente permaneció cinco días adicionales esperando una remisión que la misma EPS no autorizó. El comité de glosas debe responder en término.</t>
        </is>
      </c>
      <c r="H624" s="14" t="inlineStr">
        <is>
          <t>Si la glosa no se responde dentro del término previsto:</t>
        </is>
      </c>
      <c r="I624" s="14" t="inlineStr">
        <is>
          <t>Se entiende aceptada en los términos que fija el manual único aplicable</t>
        </is>
      </c>
      <c r="J624" s="14" t="inlineStr">
        <is>
          <t>Se entiende rechazada y la cuenta queda lista para el pago correspondiente</t>
        </is>
      </c>
      <c r="K624" s="14" t="inlineStr">
        <is>
          <t>Se suspende el trámite hasta que las partes acuerden una nueva fecha de revisión</t>
        </is>
      </c>
      <c r="L624" s="14" t="inlineStr">
        <is>
          <t>a</t>
        </is>
      </c>
      <c r="M624" s="14" t="inlineStr">
        <is>
          <t>El vencimiento del término sin respuesta produce la aceptación de la glosa en los términos del manual único.</t>
        </is>
      </c>
      <c r="N624" s="14" t="inlineStr">
        <is>
          <t>Las opciones b) y c) invierten el efecto del silencio o suponen una suspensión que no está prevista.</t>
        </is>
      </c>
      <c r="O624" s="14" t="inlineStr">
        <is>
          <t>Resolución 3047 de 2008 y sus modificaciones</t>
        </is>
      </c>
      <c r="P624" s="14" t="inlineStr">
        <is>
          <t>SI</t>
        </is>
      </c>
      <c r="Q624" s="14" t="inlineStr">
        <is>
          <t>Alta</t>
        </is>
      </c>
      <c r="R624" s="14" t="inlineStr">
        <is>
          <t>v2</t>
        </is>
      </c>
    </row>
    <row r="625" ht="57" customHeight="1" s="12">
      <c r="A625" s="14" t="inlineStr">
        <is>
          <t>F0624</t>
        </is>
      </c>
      <c r="B625" s="14" t="inlineStr">
        <is>
          <t>PS 2782 de 2026 - ESE 2 - HUHMP Neiva</t>
        </is>
      </c>
      <c r="C625" s="14" t="inlineStr">
        <is>
          <t>Sistema de salud y Ley 100 de 1993</t>
        </is>
      </c>
      <c r="D625" s="14" t="inlineStr">
        <is>
          <t>Profesional</t>
        </is>
      </c>
      <c r="E625" s="14" t="inlineStr">
        <is>
          <t>C208</t>
        </is>
      </c>
      <c r="F625" s="14" t="inlineStr">
        <is>
          <t>Caso 208</t>
        </is>
      </c>
      <c r="G625" s="14" t="inlineStr">
        <is>
          <t>La auditoría de la EPS glosa el cien por ciento de una cuenta de hospitalización de once días alegando estancia prolongada injustificada. La historia clínica muestra que el paciente permaneció cinco días adicionales esperando una remisión que la misma EPS no autorizó. El comité de glosas debe responder en término.</t>
        </is>
      </c>
      <c r="H625" s="14" t="inlineStr">
        <is>
          <t>Lo que no se resuelva entre las partes debe llevarse a:</t>
        </is>
      </c>
      <c r="I625" s="14" t="inlineStr">
        <is>
          <t>Conciliación entre prestador y pagador, antes de acudir a otras instancias</t>
        </is>
      </c>
      <c r="J625" s="14" t="inlineStr">
        <is>
          <t>Demanda ejecutiva ante el juez civil por el valor total de la cuenta glosada</t>
        </is>
      </c>
      <c r="K625" s="14" t="inlineStr">
        <is>
          <t>Queja ante la Procuraduría contra el auditor que formuló la glosa objetada</t>
        </is>
      </c>
      <c r="L625" s="14" t="inlineStr">
        <is>
          <t>a</t>
        </is>
      </c>
      <c r="M625" s="14" t="inlineStr">
        <is>
          <t>Las diferencias que subsistan se llevan a conciliación entre las partes, como etapa previa a otras instancias.</t>
        </is>
      </c>
      <c r="N625" s="14" t="inlineStr">
        <is>
          <t>La opción b) omite esa etapa y la opción c) usa una vía disciplinaria para un conflicto económico.</t>
        </is>
      </c>
      <c r="O625" s="14" t="inlineStr">
        <is>
          <t>Ley 1122 de 2007; Decreto 780 de 2016</t>
        </is>
      </c>
      <c r="P625" s="14" t="inlineStr">
        <is>
          <t>SI</t>
        </is>
      </c>
      <c r="Q625" s="14" t="inlineStr">
        <is>
          <t>Alta</t>
        </is>
      </c>
      <c r="R625" s="14" t="inlineStr">
        <is>
          <t>v2</t>
        </is>
      </c>
    </row>
    <row r="626" ht="45.75" customHeight="1" s="12">
      <c r="A626" s="14" t="inlineStr">
        <is>
          <t>F0625</t>
        </is>
      </c>
      <c r="B626" s="14" t="inlineStr">
        <is>
          <t>PS 2782 de 2026 - ESE 2 - HUHMP Neiva</t>
        </is>
      </c>
      <c r="C626" s="14" t="inlineStr">
        <is>
          <t>Sistema de salud y Ley 100 de 1993</t>
        </is>
      </c>
      <c r="D626" s="14" t="inlineStr">
        <is>
          <t>Tecnico</t>
        </is>
      </c>
      <c r="E626" s="14" t="inlineStr">
        <is>
          <t>C209</t>
        </is>
      </c>
      <c r="F626" s="14" t="inlineStr">
        <is>
          <t>Caso 209</t>
        </is>
      </c>
      <c r="G626" s="14" t="inlineStr">
        <is>
          <t>Un usuario del régimen subsidiado llega con una orden de un procedimiento ambulatorio expedida hace siete meses. En admisiones le informan que la orden está vencida y que debe volver a consulta. El usuario responde que pidió cita tres veces y que siempre se la aplazaron por falta de agenda.</t>
        </is>
      </c>
      <c r="H626" s="14" t="inlineStr">
        <is>
          <t>¿Qué debe hacer la persona que lo atiende?</t>
        </is>
      </c>
      <c r="I626" s="14" t="inlineStr">
        <is>
          <t>Verificar la vigencia con el criterio institucional y gestionar la ruta que evite repetir el trámite</t>
        </is>
      </c>
      <c r="J626" s="14" t="inlineStr">
        <is>
          <t>Verificar la vigencia y entregar al usuario el formato para reclamar ante su asegurador</t>
        </is>
      </c>
      <c r="K626" s="14" t="inlineStr">
        <is>
          <t>Verificar la vigencia y asignarle una cita prioritaria de consulta para renovar la orden</t>
        </is>
      </c>
      <c r="L626" s="14" t="inlineStr">
        <is>
          <t>a</t>
        </is>
      </c>
      <c r="M626" s="14" t="inlineStr">
        <is>
          <t>Cuando la demora es atribuible a la institución, la salida no es devolver al usuario al inicio del trámite sino gestionar la ruta que resuelva su caso.</t>
        </is>
      </c>
      <c r="N626" s="14" t="inlineStr">
        <is>
          <t>Las opciones b) y c) devuelven el problema al usuario, aunque una lo haga con un formato y otra con una cita prioritaria.</t>
        </is>
      </c>
      <c r="O626" s="14" t="inlineStr">
        <is>
          <t>Ley 1751 de 2015, art. 6; Decreto 780 de 2016</t>
        </is>
      </c>
      <c r="P626" s="14" t="inlineStr">
        <is>
          <t>SI</t>
        </is>
      </c>
      <c r="Q626" s="14" t="inlineStr">
        <is>
          <t>Media</t>
        </is>
      </c>
      <c r="R626" s="14" t="inlineStr">
        <is>
          <t>v2</t>
        </is>
      </c>
    </row>
    <row r="627" ht="45.75" customHeight="1" s="12">
      <c r="A627" s="14" t="inlineStr">
        <is>
          <t>F0626</t>
        </is>
      </c>
      <c r="B627" s="14" t="inlineStr">
        <is>
          <t>PS 2782 de 2026 - ESE 2 - HUHMP Neiva</t>
        </is>
      </c>
      <c r="C627" s="14" t="inlineStr">
        <is>
          <t>Sistema de salud y Ley 100 de 1993</t>
        </is>
      </c>
      <c r="D627" s="14" t="inlineStr">
        <is>
          <t>Tecnico</t>
        </is>
      </c>
      <c r="E627" s="14" t="inlineStr">
        <is>
          <t>C209</t>
        </is>
      </c>
      <c r="F627" s="14" t="inlineStr">
        <is>
          <t>Caso 209</t>
        </is>
      </c>
      <c r="G627" s="14" t="inlineStr">
        <is>
          <t>Un usuario del régimen subsidiado llega con una orden de un procedimiento ambulatorio expedida hace siete meses. En admisiones le informan que la orden está vencida y que debe volver a consulta. El usuario responde que pidió cita tres veces y que siempre se la aplazaron por falta de agenda.</t>
        </is>
      </c>
      <c r="H627" s="14" t="inlineStr">
        <is>
          <t>La falta de agenda reiterada configura:</t>
        </is>
      </c>
      <c r="I627" s="14" t="inlineStr">
        <is>
          <t>Una barrera de acceso que la institución debe medir y corregir</t>
        </is>
      </c>
      <c r="J627" s="14" t="inlineStr">
        <is>
          <t>Una limitación de capacidad instalada que se informa al asegurador</t>
        </is>
      </c>
      <c r="K627" s="14" t="inlineStr">
        <is>
          <t>Una consecuencia de la demanda, que se resuelve con la libre elección</t>
        </is>
      </c>
      <c r="L627" s="14" t="inlineStr">
        <is>
          <t>a</t>
        </is>
      </c>
      <c r="M627" s="14" t="inlineStr">
        <is>
          <t>La imposibilidad reiterada de obtener cita es una barrera de acceso: se mide, se reporta internamente y se corrige.</t>
        </is>
      </c>
      <c r="N627" s="14" t="inlineStr">
        <is>
          <t>La opción b) la traslada al asegurador y la opción c) la atribuye al usuario.</t>
        </is>
      </c>
      <c r="O627" s="14" t="inlineStr">
        <is>
          <t>Resolución 256 de 2016; Ley 1751 de 2015</t>
        </is>
      </c>
      <c r="P627" s="14" t="inlineStr">
        <is>
          <t>SI</t>
        </is>
      </c>
      <c r="Q627" s="14" t="inlineStr">
        <is>
          <t>Media</t>
        </is>
      </c>
      <c r="R627" s="14" t="inlineStr">
        <is>
          <t>v2</t>
        </is>
      </c>
    </row>
    <row r="628" ht="45.75" customHeight="1" s="12">
      <c r="A628" s="14" t="inlineStr">
        <is>
          <t>F0627</t>
        </is>
      </c>
      <c r="B628" s="14" t="inlineStr">
        <is>
          <t>PS 2782 de 2026 - ESE 2 - HUHMP Neiva</t>
        </is>
      </c>
      <c r="C628" s="14" t="inlineStr">
        <is>
          <t>Sistema de salud y Ley 100 de 1993</t>
        </is>
      </c>
      <c r="D628" s="14" t="inlineStr">
        <is>
          <t>Tecnico</t>
        </is>
      </c>
      <c r="E628" s="14" t="inlineStr">
        <is>
          <t>C209</t>
        </is>
      </c>
      <c r="F628" s="14" t="inlineStr">
        <is>
          <t>Caso 209</t>
        </is>
      </c>
      <c r="G628" s="14" t="inlineStr">
        <is>
          <t>Un usuario del régimen subsidiado llega con una orden de un procedimiento ambulatorio expedida hace siete meses. En admisiones le informan que la orden está vencida y que debe volver a consulta. El usuario responde que pidió cita tres veces y que siempre se la aplazaron por falta de agenda.</t>
        </is>
      </c>
      <c r="H628" s="14" t="inlineStr">
        <is>
          <t>El indicador que refleja ese problema es:</t>
        </is>
      </c>
      <c r="I628" s="14" t="inlineStr">
        <is>
          <t>La oportunidad en la asignación de citas del servicio correspondiente</t>
        </is>
      </c>
      <c r="J628" s="14" t="inlineStr">
        <is>
          <t>La proporción de cancelación de citas por parte de los usuarios</t>
        </is>
      </c>
      <c r="K628" s="14" t="inlineStr">
        <is>
          <t>El porcentaje de satisfacción global de los usuarios atendidos</t>
        </is>
      </c>
      <c r="L628" s="14" t="inlineStr">
        <is>
          <t>a</t>
        </is>
      </c>
      <c r="M628" s="14" t="inlineStr">
        <is>
          <t>La oportunidad mide los días entre la solicitud y la asignación de la cita, que es exactamente lo que falla aquí.</t>
        </is>
      </c>
      <c r="N628" s="14" t="inlineStr">
        <is>
          <t>Las opciones b) y c) miden cancelaciones y percepción, no el acceso a la cita.</t>
        </is>
      </c>
      <c r="O628" s="14" t="inlineStr">
        <is>
          <t>Resolución 256 de 2016</t>
        </is>
      </c>
      <c r="P628" s="14" t="inlineStr">
        <is>
          <t>SI</t>
        </is>
      </c>
      <c r="Q628" s="14" t="inlineStr">
        <is>
          <t>Media</t>
        </is>
      </c>
      <c r="R628" s="14" t="inlineStr">
        <is>
          <t>v2</t>
        </is>
      </c>
    </row>
    <row r="629" ht="45.75" customHeight="1" s="12">
      <c r="A629" s="14" t="inlineStr">
        <is>
          <t>F0628</t>
        </is>
      </c>
      <c r="B629" s="14" t="inlineStr">
        <is>
          <t>PS 2782 de 2026 - ESE 2 - HUHMP Neiva</t>
        </is>
      </c>
      <c r="C629" s="14" t="inlineStr">
        <is>
          <t>Sistema de salud y Ley 100 de 1993</t>
        </is>
      </c>
      <c r="D629" s="14" t="inlineStr">
        <is>
          <t>Profesional</t>
        </is>
      </c>
      <c r="E629" s="14" t="inlineStr">
        <is>
          <t>C210</t>
        </is>
      </c>
      <c r="F629" s="14" t="inlineStr">
        <is>
          <t>Caso 210</t>
        </is>
      </c>
      <c r="G629" s="14" t="inlineStr">
        <is>
          <t>El hospital atiende durante el año a doscientas personas sin afiliación, la mayoría migrantes y habitantes de calle. La cartera con la entidad territorial por esas atenciones asciende a novecientos millones y lleva ocho meses sin conciliar. El área financiera propone dejar de atender a esa población.</t>
        </is>
      </c>
      <c r="H629" s="14" t="inlineStr">
        <is>
          <t>¿Qué corresponde frente a esa propuesta?</t>
        </is>
      </c>
      <c r="I629" s="14" t="inlineStr">
        <is>
          <t>Mantener la atención y llevar la cartera a conciliación con la entidad territorial competente</t>
        </is>
      </c>
      <c r="J629" s="14" t="inlineStr">
        <is>
          <t>Mantener solo la atención de urgencias y condicionar el resto a la conciliación de la cartera</t>
        </is>
      </c>
      <c r="K629" s="14" t="inlineStr">
        <is>
          <t>Mantener la atención y cobrar directamente a los usuarios el valor de los servicios prestados</t>
        </is>
      </c>
      <c r="L629" s="14" t="inlineStr">
        <is>
          <t>a</t>
        </is>
      </c>
      <c r="M629" s="14" t="inlineStr">
        <is>
          <t>La atención de la población pobre no asegurada está a cargo de la entidad territorial y la cartera se gestiona con ella, sin afectar el acceso ni trasladar el costo al usuario.</t>
        </is>
      </c>
      <c r="N629" s="14" t="inlineStr">
        <is>
          <t>Las opciones b) y c) condicionan el servicio o cobran a quien no tiene capacidad de pago.</t>
        </is>
      </c>
      <c r="O629" s="14" t="inlineStr">
        <is>
          <t>Ley 715 de 2001, art. 43; Ley 1751 de 2015</t>
        </is>
      </c>
      <c r="P629" s="14" t="inlineStr">
        <is>
          <t>SI</t>
        </is>
      </c>
      <c r="Q629" s="14" t="inlineStr">
        <is>
          <t>Media</t>
        </is>
      </c>
      <c r="R629" s="14" t="inlineStr">
        <is>
          <t>v2</t>
        </is>
      </c>
    </row>
    <row r="630" ht="45.75" customHeight="1" s="12">
      <c r="A630" s="14" t="inlineStr">
        <is>
          <t>F0629</t>
        </is>
      </c>
      <c r="B630" s="14" t="inlineStr">
        <is>
          <t>PS 2782 de 2026 - ESE 2 - HUHMP Neiva</t>
        </is>
      </c>
      <c r="C630" s="14" t="inlineStr">
        <is>
          <t>Sistema de salud y Ley 100 de 1993</t>
        </is>
      </c>
      <c r="D630" s="14" t="inlineStr">
        <is>
          <t>Profesional</t>
        </is>
      </c>
      <c r="E630" s="14" t="inlineStr">
        <is>
          <t>C210</t>
        </is>
      </c>
      <c r="F630" s="14" t="inlineStr">
        <is>
          <t>Caso 210</t>
        </is>
      </c>
      <c r="G630" s="14" t="inlineStr">
        <is>
          <t>El hospital atiende durante el año a doscientas personas sin afiliación, la mayoría migrantes y habitantes de calle. La cartera con la entidad territorial por esas atenciones asciende a novecientos millones y lleva ocho meses sin conciliar. El área financiera propone dejar de atender a esa población.</t>
        </is>
      </c>
      <c r="H630" s="14" t="inlineStr">
        <is>
          <t>La conciliación de esa cartera corresponde adelantarla:</t>
        </is>
      </c>
      <c r="I630" s="14" t="inlineStr">
        <is>
          <t>Entre el prestador y la entidad territorial responsable de esa población</t>
        </is>
      </c>
      <c r="J630" s="14" t="inlineStr">
        <is>
          <t>Entre el prestador y la ADRES, que administra los recursos del sistema</t>
        </is>
      </c>
      <c r="K630" s="14" t="inlineStr">
        <is>
          <t>Entre el prestador y la Superintendencia Nacional de Salud, como árbitro</t>
        </is>
      </c>
      <c r="L630" s="14" t="inlineStr">
        <is>
          <t>a</t>
        </is>
      </c>
      <c r="M630" s="14" t="inlineStr">
        <is>
          <t>La cartera por atención a población pobre no asegurada se concilia con la entidad territorial responsable.</t>
        </is>
      </c>
      <c r="N630" s="14" t="inlineStr">
        <is>
          <t>La opción b) involucra a un administrador de recursos con otra función y la opción c) a un vigilante que no es parte del acuerdo.</t>
        </is>
      </c>
      <c r="O630" s="14" t="inlineStr">
        <is>
          <t>Ley 715 de 2001; Decreto 780 de 2016</t>
        </is>
      </c>
      <c r="P630" s="14" t="inlineStr">
        <is>
          <t>SI</t>
        </is>
      </c>
      <c r="Q630" s="14" t="inlineStr">
        <is>
          <t>Media</t>
        </is>
      </c>
      <c r="R630" s="14" t="inlineStr">
        <is>
          <t>v2</t>
        </is>
      </c>
    </row>
    <row r="631" ht="45.75" customHeight="1" s="12">
      <c r="A631" s="14" t="inlineStr">
        <is>
          <t>F0630</t>
        </is>
      </c>
      <c r="B631" s="14" t="inlineStr">
        <is>
          <t>PS 2782 de 2026 - ESE 2 - HUHMP Neiva</t>
        </is>
      </c>
      <c r="C631" s="14" t="inlineStr">
        <is>
          <t>Sistema de salud y Ley 100 de 1993</t>
        </is>
      </c>
      <c r="D631" s="14" t="inlineStr">
        <is>
          <t>Profesional</t>
        </is>
      </c>
      <c r="E631" s="14" t="inlineStr">
        <is>
          <t>C210</t>
        </is>
      </c>
      <c r="F631" s="14" t="inlineStr">
        <is>
          <t>Caso 210</t>
        </is>
      </c>
      <c r="G631" s="14" t="inlineStr">
        <is>
          <t>El hospital atiende durante el año a doscientas personas sin afiliación, la mayoría migrantes y habitantes de calle. La cartera con la entidad territorial por esas atenciones asciende a novecientos millones y lleva ocho meses sin conciliar. El área financiera propone dejar de atender a esa población.</t>
        </is>
      </c>
      <c r="H631" s="14" t="inlineStr">
        <is>
          <t>Dejar de atender a esa población expondría al hospital a:</t>
        </is>
      </c>
      <c r="I631" s="14" t="inlineStr">
        <is>
          <t>Medidas de inspección y vigilancia y a la responsabilidad que de ello se derive</t>
        </is>
      </c>
      <c r="J631" s="14" t="inlineStr">
        <is>
          <t>Una glosa masiva de la entidad territorial sobre las cuentas ya radicadas</t>
        </is>
      </c>
      <c r="K631" s="14" t="inlineStr">
        <is>
          <t>La pérdida de la habilitación de los servicios que dejaran de prestarse</t>
        </is>
      </c>
      <c r="L631" s="14" t="inlineStr">
        <is>
          <t>a</t>
        </is>
      </c>
      <c r="M631" s="14" t="inlineStr">
        <is>
          <t>Negar la atención expone al prestador a las actuaciones de inspección, vigilancia y control, además de la responsabilidad que se derive.</t>
        </is>
      </c>
      <c r="N631" s="14" t="inlineStr">
        <is>
          <t>La opción b) confunde el efecto con un asunto de facturación y la opción c) con el régimen de habilitación.</t>
        </is>
      </c>
      <c r="O631" s="14" t="inlineStr">
        <is>
          <t>Ley 1122 de 2007; Ley 1751 de 2015, art. 14</t>
        </is>
      </c>
      <c r="P631" s="14" t="inlineStr">
        <is>
          <t>SI</t>
        </is>
      </c>
      <c r="Q631" s="14" t="inlineStr">
        <is>
          <t>Media</t>
        </is>
      </c>
      <c r="R631" s="14" t="inlineStr">
        <is>
          <t>v2</t>
        </is>
      </c>
    </row>
    <row r="632" ht="57" customHeight="1" s="12">
      <c r="A632" s="14" t="inlineStr">
        <is>
          <t>F0631</t>
        </is>
      </c>
      <c r="B632" s="14" t="inlineStr">
        <is>
          <t>PS 2782 de 2026 - ESE 2 - HUHMP Neiva</t>
        </is>
      </c>
      <c r="C632" s="14" t="inlineStr">
        <is>
          <t>Sistema de salud y Ley 100 de 1993</t>
        </is>
      </c>
      <c r="D632" s="14" t="inlineStr">
        <is>
          <t>Tecnico</t>
        </is>
      </c>
      <c r="E632" s="14" t="inlineStr">
        <is>
          <t>C211</t>
        </is>
      </c>
      <c r="F632" s="14" t="inlineStr">
        <is>
          <t>Caso 211</t>
        </is>
      </c>
      <c r="G632" s="14" t="inlineStr">
        <is>
          <t>Una usuaria pregunta en la ventanilla por qué a su vecina, afiliada a otra EPS, le entregaron un medicamento que a ella le negaron diciendo que no estaba en el plan. Ambas tienen la misma patología y viven en el mismo barrio. La usuaria cree que la trataron distinto por ser del régimen subsidiado.</t>
        </is>
      </c>
      <c r="H632" s="14" t="inlineStr">
        <is>
          <t>¿Qué debe explicarle la persona que la atiende?</t>
        </is>
      </c>
      <c r="I632" s="14" t="inlineStr">
        <is>
          <t>Que el plan de beneficios es igual para ambos regímenes y verificar qué ocurrió en su caso</t>
        </is>
      </c>
      <c r="J632" s="14" t="inlineStr">
        <is>
          <t>Que el plan de beneficios del régimen contributivo cubre más servicios que el subsidiado</t>
        </is>
      </c>
      <c r="K632" s="14" t="inlineStr">
        <is>
          <t>Que cada EPS define su propio plan y que puede solicitar el traslado si lo prefiere</t>
        </is>
      </c>
      <c r="L632" s="14" t="inlineStr">
        <is>
          <t>a</t>
        </is>
      </c>
      <c r="M632" s="14" t="inlineStr">
        <is>
          <t>El plan de beneficios es único para los dos regímenes desde la unificación, de modo que corresponde verificar qué ocurrió en el caso concreto.</t>
        </is>
      </c>
      <c r="N632" s="14" t="inlineStr">
        <is>
          <t>Las opciones b) y c) repiten creencias frecuentes que hoy no corresponden al marco vigente.</t>
        </is>
      </c>
      <c r="O632" s="14" t="inlineStr">
        <is>
          <t>Ley 1438 de 2011; Decreto 780 de 2016</t>
        </is>
      </c>
      <c r="P632" s="14" t="inlineStr">
        <is>
          <t>SI</t>
        </is>
      </c>
      <c r="Q632" s="14" t="inlineStr">
        <is>
          <t>Basica</t>
        </is>
      </c>
      <c r="R632" s="14" t="inlineStr">
        <is>
          <t>v2</t>
        </is>
      </c>
    </row>
    <row r="633" ht="57" customHeight="1" s="12">
      <c r="A633" s="14" t="inlineStr">
        <is>
          <t>F0632</t>
        </is>
      </c>
      <c r="B633" s="14" t="inlineStr">
        <is>
          <t>PS 2782 de 2026 - ESE 2 - HUHMP Neiva</t>
        </is>
      </c>
      <c r="C633" s="14" t="inlineStr">
        <is>
          <t>Sistema de salud y Ley 100 de 1993</t>
        </is>
      </c>
      <c r="D633" s="14" t="inlineStr">
        <is>
          <t>Tecnico</t>
        </is>
      </c>
      <c r="E633" s="14" t="inlineStr">
        <is>
          <t>C211</t>
        </is>
      </c>
      <c r="F633" s="14" t="inlineStr">
        <is>
          <t>Caso 211</t>
        </is>
      </c>
      <c r="G633" s="14" t="inlineStr">
        <is>
          <t>Una usuaria pregunta en la ventanilla por qué a su vecina, afiliada a otra EPS, le entregaron un medicamento que a ella le negaron diciendo que no estaba en el plan. Ambas tienen la misma patología y viven en el mismo barrio. La usuaria cree que la trataron distinto por ser del régimen subsidiado.</t>
        </is>
      </c>
      <c r="H633" s="14" t="inlineStr">
        <is>
          <t>Si el medicamento no está financiado con la UPC, la ruta es:</t>
        </is>
      </c>
      <c r="I633" s="14" t="inlineStr">
        <is>
          <t>La prescripción por la herramienta dispuesta para servicios no financiados con la UPC</t>
        </is>
      </c>
      <c r="J633" s="14" t="inlineStr">
        <is>
          <t>La compra directa por la usuaria con posterior solicitud de reembolso a su EPS</t>
        </is>
      </c>
      <c r="K633" s="14" t="inlineStr">
        <is>
          <t>La solicitud de donación al programa de medicamentos del hospital tratante</t>
        </is>
      </c>
      <c r="L633" s="14" t="inlineStr">
        <is>
          <t>a</t>
        </is>
      </c>
      <c r="M633" s="14" t="inlineStr">
        <is>
          <t>Los servicios no financiados con la UPC se prescriben por la herramienta dispuesta para ello, que activa su trámite y financiación.</t>
        </is>
      </c>
      <c r="N633" s="14" t="inlineStr">
        <is>
          <t>Las opciones b) y c) trasladan el costo a la usuaria o a un programa institucional sin fundamento.</t>
        </is>
      </c>
      <c r="O633" s="14" t="inlineStr">
        <is>
          <t>Resolución 1885 de 2018; Decreto 780 de 2016</t>
        </is>
      </c>
      <c r="P633" s="14" t="inlineStr">
        <is>
          <t>SI</t>
        </is>
      </c>
      <c r="Q633" s="14" t="inlineStr">
        <is>
          <t>Basica</t>
        </is>
      </c>
      <c r="R633" s="14" t="inlineStr">
        <is>
          <t>v2</t>
        </is>
      </c>
    </row>
    <row r="634" ht="57" customHeight="1" s="12">
      <c r="A634" s="14" t="inlineStr">
        <is>
          <t>F0633</t>
        </is>
      </c>
      <c r="B634" s="14" t="inlineStr">
        <is>
          <t>PS 2782 de 2026 - ESE 2 - HUHMP Neiva</t>
        </is>
      </c>
      <c r="C634" s="14" t="inlineStr">
        <is>
          <t>Sistema de salud y Ley 100 de 1993</t>
        </is>
      </c>
      <c r="D634" s="14" t="inlineStr">
        <is>
          <t>Tecnico</t>
        </is>
      </c>
      <c r="E634" s="14" t="inlineStr">
        <is>
          <t>C211</t>
        </is>
      </c>
      <c r="F634" s="14" t="inlineStr">
        <is>
          <t>Caso 211</t>
        </is>
      </c>
      <c r="G634" s="14" t="inlineStr">
        <is>
          <t>Una usuaria pregunta en la ventanilla por qué a su vecina, afiliada a otra EPS, le entregaron un medicamento que a ella le negaron diciendo que no estaba en el plan. Ambas tienen la misma patología y viven en el mismo barrio. La usuaria cree que la trataron distinto por ser del régimen subsidiado.</t>
        </is>
      </c>
      <c r="H634" s="14" t="inlineStr">
        <is>
          <t>Si la usuaria considera que hubo trato discriminatorio, puede:</t>
        </is>
      </c>
      <c r="I634" s="14" t="inlineStr">
        <is>
          <t>Presentar la queja ante el prestador y ante la Superintendencia Nacional de Salud</t>
        </is>
      </c>
      <c r="J634" s="14" t="inlineStr">
        <is>
          <t>Presentar denuncia penal como primera vía por el trato recibido en la institución</t>
        </is>
      </c>
      <c r="K634" s="14" t="inlineStr">
        <is>
          <t>Presentar la queja únicamente ante su EPS, que es la responsable de su atención</t>
        </is>
      </c>
      <c r="L634" s="14" t="inlineStr">
        <is>
          <t>a</t>
        </is>
      </c>
      <c r="M634" s="14" t="inlineStr">
        <is>
          <t>La usuaria puede reclamar ante el prestador y acudir a la Superintendencia, que vigila a los actores del sistema.</t>
        </is>
      </c>
      <c r="N634" s="14" t="inlineStr">
        <is>
          <t>La opción b) escala de entrada a la vía penal y la opción c) limita las instancias disponibles.</t>
        </is>
      </c>
      <c r="O634" s="14" t="inlineStr">
        <is>
          <t>Ley 1122 de 2007; Ley 1755 de 2015</t>
        </is>
      </c>
      <c r="P634" s="14" t="inlineStr">
        <is>
          <t>SI</t>
        </is>
      </c>
      <c r="Q634" s="14" t="inlineStr">
        <is>
          <t>Basica</t>
        </is>
      </c>
      <c r="R634" s="14" t="inlineStr">
        <is>
          <t>v2</t>
        </is>
      </c>
    </row>
    <row r="635" ht="57" customHeight="1" s="12">
      <c r="A635" s="14" t="inlineStr">
        <is>
          <t>F0634</t>
        </is>
      </c>
      <c r="B635" s="14" t="inlineStr">
        <is>
          <t>PS 2782 de 2026 - ESE 2 - HUHMP Neiva</t>
        </is>
      </c>
      <c r="C635" s="14" t="inlineStr">
        <is>
          <t>Ley 1751 de 2015 - derecho fundamental a la salud</t>
        </is>
      </c>
      <c r="D635" s="14" t="inlineStr">
        <is>
          <t>Profesional</t>
        </is>
      </c>
      <c r="E635" s="14" t="inlineStr">
        <is>
          <t>C212</t>
        </is>
      </c>
      <c r="F635" s="14" t="inlineStr">
        <is>
          <t>Caso 212</t>
        </is>
      </c>
      <c r="G635" s="14" t="inlineStr">
        <is>
          <t>Un paciente de sesenta y ocho años con falla cardíaca avanzada reingresa por cuarta vez en tres meses. El médico tratante considera que requiere manejo por un programa de cuidado domiciliario que la EPS no tiene contratado en el municipio. La familia pregunta qué pasará al egreso y la trabajadora social advierte que vive solo.</t>
        </is>
      </c>
      <c r="H635" s="14" t="inlineStr">
        <is>
          <t>¿Qué obligación surge para el prestador en ese egreso?</t>
        </is>
      </c>
      <c r="I635" s="14" t="inlineStr">
        <is>
          <t>Documentar la necesidad, gestionar la ruta con el asegurador y no dar el alta sin destino seguro</t>
        </is>
      </c>
      <c r="J635" s="14" t="inlineStr">
        <is>
          <t>Documentar la necesidad, dar el alta y entregar a la familia el listado de programas disponibles</t>
        </is>
      </c>
      <c r="K635" s="14" t="inlineStr">
        <is>
          <t>Documentar la necesidad y aplazar el egreso hasta que el asegurador contrate el programa</t>
        </is>
      </c>
      <c r="L635" s="14" t="inlineStr">
        <is>
          <t>a</t>
        </is>
      </c>
      <c r="M635" s="14" t="inlineStr">
        <is>
          <t>El egreso exige un destino seguro: se documenta la necesidad, se gestiona con el asegurador y no se da el alta a un paciente que quedaría sin cuidado.</t>
        </is>
      </c>
      <c r="N635" s="14" t="inlineStr">
        <is>
          <t>La opción b) traslada la gestión a la familia y la opción c) convierte la cama hospitalaria en la solución indefinida.</t>
        </is>
      </c>
      <c r="O635" s="14" t="inlineStr">
        <is>
          <t>Ley 1751 de 2015, arts. 6 y 8</t>
        </is>
      </c>
      <c r="P635" s="14" t="inlineStr">
        <is>
          <t>SI</t>
        </is>
      </c>
      <c r="Q635" s="14" t="inlineStr">
        <is>
          <t>Alta</t>
        </is>
      </c>
      <c r="R635" s="14" t="inlineStr">
        <is>
          <t>v2</t>
        </is>
      </c>
    </row>
    <row r="636" ht="57" customHeight="1" s="12">
      <c r="A636" s="14" t="inlineStr">
        <is>
          <t>F0635</t>
        </is>
      </c>
      <c r="B636" s="14" t="inlineStr">
        <is>
          <t>PS 2782 de 2026 - ESE 2 - HUHMP Neiva</t>
        </is>
      </c>
      <c r="C636" s="14" t="inlineStr">
        <is>
          <t>Ley 1751 de 2015 - derecho fundamental a la salud</t>
        </is>
      </c>
      <c r="D636" s="14" t="inlineStr">
        <is>
          <t>Profesional</t>
        </is>
      </c>
      <c r="E636" s="14" t="inlineStr">
        <is>
          <t>C212</t>
        </is>
      </c>
      <c r="F636" s="14" t="inlineStr">
        <is>
          <t>Caso 212</t>
        </is>
      </c>
      <c r="G636" s="14" t="inlineStr">
        <is>
          <t>Un paciente de sesenta y ocho años con falla cardíaca avanzada reingresa por cuarta vez en tres meses. El médico tratante considera que requiere manejo por un programa de cuidado domiciliario que la EPS no tiene contratado en el municipio. La familia pregunta qué pasará al egreso y la trabajadora social advierte que vive solo.</t>
        </is>
      </c>
      <c r="H636" s="14" t="inlineStr">
        <is>
          <t>Los reingresos frecuentes por la misma causa indican:</t>
        </is>
      </c>
      <c r="I636" s="14" t="inlineStr">
        <is>
          <t>Una falla en la continuidad del cuidado que debe analizarse y corregirse</t>
        </is>
      </c>
      <c r="J636" s="14" t="inlineStr">
        <is>
          <t>Una evolución esperable de la enfermedad, sin implicaciones para el prestador</t>
        </is>
      </c>
      <c r="K636" s="14" t="inlineStr">
        <is>
          <t>Una necesidad de ampliar la capacidad instalada de hospitalización del servicio</t>
        </is>
      </c>
      <c r="L636" s="14" t="inlineStr">
        <is>
          <t>a</t>
        </is>
      </c>
      <c r="M636" s="14" t="inlineStr">
        <is>
          <t>El reingreso temprano por la misma causa es un indicador de alerta sobre la continuidad del cuidado.</t>
        </is>
      </c>
      <c r="N636" s="14" t="inlineStr">
        <is>
          <t>La opción b) lo naturaliza y la opción c) responde con más camas a un problema de continuidad.</t>
        </is>
      </c>
      <c r="O636" s="14" t="inlineStr">
        <is>
          <t>Resolución 256 de 2016; Ley 1438 de 2011</t>
        </is>
      </c>
      <c r="P636" s="14" t="inlineStr">
        <is>
          <t>SI</t>
        </is>
      </c>
      <c r="Q636" s="14" t="inlineStr">
        <is>
          <t>Alta</t>
        </is>
      </c>
      <c r="R636" s="14" t="inlineStr">
        <is>
          <t>v2</t>
        </is>
      </c>
    </row>
    <row r="637" ht="57" customHeight="1" s="12">
      <c r="A637" s="14" t="inlineStr">
        <is>
          <t>F0636</t>
        </is>
      </c>
      <c r="B637" s="14" t="inlineStr">
        <is>
          <t>PS 2782 de 2026 - ESE 2 - HUHMP Neiva</t>
        </is>
      </c>
      <c r="C637" s="14" t="inlineStr">
        <is>
          <t>Ley 1751 de 2015 - derecho fundamental a la salud</t>
        </is>
      </c>
      <c r="D637" s="14" t="inlineStr">
        <is>
          <t>Profesional</t>
        </is>
      </c>
      <c r="E637" s="14" t="inlineStr">
        <is>
          <t>C212</t>
        </is>
      </c>
      <c r="F637" s="14" t="inlineStr">
        <is>
          <t>Caso 212</t>
        </is>
      </c>
      <c r="G637" s="14" t="inlineStr">
        <is>
          <t>Un paciente de sesenta y ocho años con falla cardíaca avanzada reingresa por cuarta vez en tres meses. El médico tratante considera que requiere manejo por un programa de cuidado domiciliario que la EPS no tiene contratado en el municipio. La familia pregunta qué pasará al egreso y la trabajadora social advierte que vive solo.</t>
        </is>
      </c>
      <c r="H637" s="14" t="inlineStr">
        <is>
          <t>Que el paciente viva solo y sea adulto mayor implica:</t>
        </is>
      </c>
      <c r="I637" s="14" t="inlineStr">
        <is>
          <t>Que es sujeto de especial protección y el plan de egreso debe considerar esa condición</t>
        </is>
      </c>
      <c r="J637" s="14" t="inlineStr">
        <is>
          <t>Que debe permanecer hospitalizado mientras no cuente con un cuidador permanente</t>
        </is>
      </c>
      <c r="K637" s="14" t="inlineStr">
        <is>
          <t>Que corresponde a la familia definir el destino y asumir los cuidados en el domicilio</t>
        </is>
      </c>
      <c r="L637" s="14" t="inlineStr">
        <is>
          <t>a</t>
        </is>
      </c>
      <c r="M637" s="14" t="inlineStr">
        <is>
          <t>Su condición obliga a que el plan de egreso considere el entorno y active los apoyos disponibles.</t>
        </is>
      </c>
      <c r="N637" s="14" t="inlineStr">
        <is>
          <t>La opción b) hospitaliza por razones sociales y la opción c) descarga la decisión en la familia.</t>
        </is>
      </c>
      <c r="O637" s="14" t="inlineStr">
        <is>
          <t>Ley 1751 de 2015, art. 11</t>
        </is>
      </c>
      <c r="P637" s="14" t="inlineStr">
        <is>
          <t>SI</t>
        </is>
      </c>
      <c r="Q637" s="14" t="inlineStr">
        <is>
          <t>Alta</t>
        </is>
      </c>
      <c r="R637" s="14" t="inlineStr">
        <is>
          <t>v2</t>
        </is>
      </c>
    </row>
    <row r="638" ht="45.75" customHeight="1" s="12">
      <c r="A638" s="14" t="inlineStr">
        <is>
          <t>F0637</t>
        </is>
      </c>
      <c r="B638" s="14" t="inlineStr">
        <is>
          <t>PS 2782 de 2026 - ESE 2 - HUHMP Neiva</t>
        </is>
      </c>
      <c r="C638" s="14" t="inlineStr">
        <is>
          <t>Ley 1751 de 2015 - derecho fundamental a la salud</t>
        </is>
      </c>
      <c r="D638" s="14" t="inlineStr">
        <is>
          <t>Profesional</t>
        </is>
      </c>
      <c r="E638" s="14" t="inlineStr">
        <is>
          <t>C213</t>
        </is>
      </c>
      <c r="F638" s="14" t="inlineStr">
        <is>
          <t>Caso 213</t>
        </is>
      </c>
      <c r="G638" s="14" t="inlineStr">
        <is>
          <t>Una paciente pide copia de los resultados de sus exámenes y que le expliquen por qué su médico cambió el tratamiento. La auxiliar le dice que los resultados los entrega el médico en la próxima cita, que es en tres semanas, y que las explicaciones también las da él en la consulta.</t>
        </is>
      </c>
      <c r="H638" s="14" t="inlineStr">
        <is>
          <t>¿Cómo debe corregirse esa respuesta?</t>
        </is>
      </c>
      <c r="I638" s="14" t="inlineStr">
        <is>
          <t>Entregar los resultados a la titular y orientar el canal para resolver la duda clínica</t>
        </is>
      </c>
      <c r="J638" s="14" t="inlineStr">
        <is>
          <t>Entregar los resultados a la titular y programarle una cita prioritaria de control</t>
        </is>
      </c>
      <c r="K638" s="14" t="inlineStr">
        <is>
          <t>Entregar los resultados solo cuando el médico tratante autorice su entrega anticipada</t>
        </is>
      </c>
      <c r="L638" s="14" t="inlineStr">
        <is>
          <t>a</t>
        </is>
      </c>
      <c r="M638" s="14" t="inlineStr">
        <is>
          <t>La titular tiene derecho a su información sin condicionarla a la consulta; la duda clínica se encauza por el canal que corresponda.</t>
        </is>
      </c>
      <c r="N638" s="14" t="inlineStr">
        <is>
          <t>La opción b) resuelve con una cita lo que es un derecho de acceso inmediato y la opción c) somete ese derecho a autorización.</t>
        </is>
      </c>
      <c r="O638" s="14" t="inlineStr">
        <is>
          <t>Ley 1751 de 2015, art. 10; Resolución 1995 de 1999</t>
        </is>
      </c>
      <c r="P638" s="14" t="inlineStr">
        <is>
          <t>SI</t>
        </is>
      </c>
      <c r="Q638" s="14" t="inlineStr">
        <is>
          <t>Media</t>
        </is>
      </c>
      <c r="R638" s="14" t="inlineStr">
        <is>
          <t>v2</t>
        </is>
      </c>
    </row>
    <row r="639" ht="45.75" customHeight="1" s="12">
      <c r="A639" s="14" t="inlineStr">
        <is>
          <t>F0638</t>
        </is>
      </c>
      <c r="B639" s="14" t="inlineStr">
        <is>
          <t>PS 2782 de 2026 - ESE 2 - HUHMP Neiva</t>
        </is>
      </c>
      <c r="C639" s="14" t="inlineStr">
        <is>
          <t>Ley 1751 de 2015 - derecho fundamental a la salud</t>
        </is>
      </c>
      <c r="D639" s="14" t="inlineStr">
        <is>
          <t>Profesional</t>
        </is>
      </c>
      <c r="E639" s="14" t="inlineStr">
        <is>
          <t>C213</t>
        </is>
      </c>
      <c r="F639" s="14" t="inlineStr">
        <is>
          <t>Caso 213</t>
        </is>
      </c>
      <c r="G639" s="14" t="inlineStr">
        <is>
          <t>Una paciente pide copia de los resultados de sus exámenes y que le expliquen por qué su médico cambió el tratamiento. La auxiliar le dice que los resultados los entrega el médico en la próxima cita, que es en tres semanas, y que las explicaciones también las da él en la consulta.</t>
        </is>
      </c>
      <c r="H639" s="14" t="inlineStr">
        <is>
          <t>El derecho a recibir información comprende además:</t>
        </is>
      </c>
      <c r="I639" s="14" t="inlineStr">
        <is>
          <t>Conocer las alternativas de tratamiento, sus riesgos y las consecuencias de no tratarse</t>
        </is>
      </c>
      <c r="J639" s="14" t="inlineStr">
        <is>
          <t>Conocer el costo que el prestador facturará por cada servicio que le sea prestado</t>
        </is>
      </c>
      <c r="K639" s="14" t="inlineStr">
        <is>
          <t>Conocer la hoja de vida y la especialidad del profesional que la está atendiendo</t>
        </is>
      </c>
      <c r="L639" s="14" t="inlineStr">
        <is>
          <t>a</t>
        </is>
      </c>
      <c r="M639" s="14" t="inlineStr">
        <is>
          <t>La información comprende diagnóstico, alternativas, riesgos y pronóstico, para que la decisión sea informada.</t>
        </is>
      </c>
      <c r="N639" s="14" t="inlineStr">
        <is>
          <t>La opción b) alude a un aspecto económico y la opción c) a un dato del profesional: ninguno es el núcleo del derecho.</t>
        </is>
      </c>
      <c r="O639" s="14" t="inlineStr">
        <is>
          <t>Ley 1751 de 2015, art. 10</t>
        </is>
      </c>
      <c r="P639" s="14" t="inlineStr">
        <is>
          <t>SI</t>
        </is>
      </c>
      <c r="Q639" s="14" t="inlineStr">
        <is>
          <t>Media</t>
        </is>
      </c>
      <c r="R639" s="14" t="inlineStr">
        <is>
          <t>v2</t>
        </is>
      </c>
    </row>
    <row r="640" ht="45.75" customHeight="1" s="12">
      <c r="A640" s="14" t="inlineStr">
        <is>
          <t>F0639</t>
        </is>
      </c>
      <c r="B640" s="14" t="inlineStr">
        <is>
          <t>PS 2782 de 2026 - ESE 2 - HUHMP Neiva</t>
        </is>
      </c>
      <c r="C640" s="14" t="inlineStr">
        <is>
          <t>Ley 1751 de 2015 - derecho fundamental a la salud</t>
        </is>
      </c>
      <c r="D640" s="14" t="inlineStr">
        <is>
          <t>Profesional</t>
        </is>
      </c>
      <c r="E640" s="14" t="inlineStr">
        <is>
          <t>C213</t>
        </is>
      </c>
      <c r="F640" s="14" t="inlineStr">
        <is>
          <t>Caso 213</t>
        </is>
      </c>
      <c r="G640" s="14" t="inlineStr">
        <is>
          <t>Una paciente pide copia de los resultados de sus exámenes y que le expliquen por qué su médico cambió el tratamiento. La auxiliar le dice que los resultados los entrega el médico en la próxima cita, que es en tres semanas, y que las explicaciones también las da él en la consulta.</t>
        </is>
      </c>
      <c r="H640" s="14" t="inlineStr">
        <is>
          <t>Si la paciente no está de acuerdo con el cambio de tratamiento, puede:</t>
        </is>
      </c>
      <c r="I640" s="14" t="inlineStr">
        <is>
          <t>Solicitar una segunda opinión, que es un derecho reconocido en la ley estatutaria</t>
        </is>
      </c>
      <c r="J640" s="14" t="inlineStr">
        <is>
          <t>Solicitar el cambio de médico tratante ante el gerente del hospital que la atiende</t>
        </is>
      </c>
      <c r="K640" s="14" t="inlineStr">
        <is>
          <t>Solicitar que el comité técnico científico revise la decisión del médico tratante</t>
        </is>
      </c>
      <c r="L640" s="14" t="inlineStr">
        <is>
          <t>a</t>
        </is>
      </c>
      <c r="M640" s="14" t="inlineStr">
        <is>
          <t>La ley reconoce el derecho a obtener una segunda opinión sobre el diagnóstico o el tratamiento.</t>
        </is>
      </c>
      <c r="N640" s="14" t="inlineStr">
        <is>
          <t>Las opciones b) y c) proponen trámites internos que no son el mecanismo previsto para este caso.</t>
        </is>
      </c>
      <c r="O640" s="14" t="inlineStr">
        <is>
          <t>Ley 1751 de 2015, art. 10</t>
        </is>
      </c>
      <c r="P640" s="14" t="inlineStr">
        <is>
          <t>SI</t>
        </is>
      </c>
      <c r="Q640" s="14" t="inlineStr">
        <is>
          <t>Media</t>
        </is>
      </c>
      <c r="R640" s="14" t="inlineStr">
        <is>
          <t>v2</t>
        </is>
      </c>
    </row>
    <row r="641" ht="57" customHeight="1" s="12">
      <c r="A641" s="14" t="inlineStr">
        <is>
          <t>F0640</t>
        </is>
      </c>
      <c r="B641" s="14" t="inlineStr">
        <is>
          <t>PS 2782 de 2026 - ESE 2 - HUHMP Neiva</t>
        </is>
      </c>
      <c r="C641" s="14" t="inlineStr">
        <is>
          <t>Ley 1751 de 2015 - derecho fundamental a la salud</t>
        </is>
      </c>
      <c r="D641" s="14" t="inlineStr">
        <is>
          <t>Profesional</t>
        </is>
      </c>
      <c r="E641" s="14" t="inlineStr">
        <is>
          <t>C214</t>
        </is>
      </c>
      <c r="F641" s="14" t="inlineStr">
        <is>
          <t>Caso 214</t>
        </is>
      </c>
      <c r="G641" s="14" t="inlineStr">
        <is>
          <t>El comité técnico del hospital discute si puede negarse un tratamiento costoso a un paciente con pronóstico reservado, argumentando que los recursos alcanzarían para atender a varios pacientes con mejor pronóstico. Un integrante invoca la sostenibilidad del sistema y otro sostiene que el argumento es inadmisible.</t>
        </is>
      </c>
      <c r="H641" s="14" t="inlineStr">
        <is>
          <t>¿Cuál es la posición correcta?</t>
        </is>
      </c>
      <c r="I641" s="14" t="inlineStr">
        <is>
          <t>La sostenibilidad es un deber del Estado y no se opone como razón para negar lo requerido</t>
        </is>
      </c>
      <c r="J641" s="14" t="inlineStr">
        <is>
          <t>La sostenibilidad autoriza priorizar a los pacientes con mejor pronóstico de recuperación</t>
        </is>
      </c>
      <c r="K641" s="14" t="inlineStr">
        <is>
          <t>La sostenibilidad permite negar el servicio cuando su costo excede el promedio del sistema</t>
        </is>
      </c>
      <c r="L641" s="14" t="inlineStr">
        <is>
          <t>a</t>
        </is>
      </c>
      <c r="M641" s="14" t="inlineStr">
        <is>
          <t>La sostenibilidad financiera es un deber estatal y no un argumento admisible para negar servicios que el paciente requiere.</t>
        </is>
      </c>
      <c r="N641" s="14" t="inlineStr">
        <is>
          <t>Las opciones b) y c) convierten un deber del Estado en un criterio de exclusión de pacientes o de servicios.</t>
        </is>
      </c>
      <c r="O641" s="14" t="inlineStr">
        <is>
          <t>Ley 1751 de 2015, arts. 5 y 6</t>
        </is>
      </c>
      <c r="P641" s="14" t="inlineStr">
        <is>
          <t>SI</t>
        </is>
      </c>
      <c r="Q641" s="14" t="inlineStr">
        <is>
          <t>Alta</t>
        </is>
      </c>
      <c r="R641" s="14" t="inlineStr">
        <is>
          <t>v2</t>
        </is>
      </c>
    </row>
    <row r="642" ht="57" customHeight="1" s="12">
      <c r="A642" s="14" t="inlineStr">
        <is>
          <t>F0641</t>
        </is>
      </c>
      <c r="B642" s="14" t="inlineStr">
        <is>
          <t>PS 2782 de 2026 - ESE 2 - HUHMP Neiva</t>
        </is>
      </c>
      <c r="C642" s="14" t="inlineStr">
        <is>
          <t>Ley 1751 de 2015 - derecho fundamental a la salud</t>
        </is>
      </c>
      <c r="D642" s="14" t="inlineStr">
        <is>
          <t>Profesional</t>
        </is>
      </c>
      <c r="E642" s="14" t="inlineStr">
        <is>
          <t>C214</t>
        </is>
      </c>
      <c r="F642" s="14" t="inlineStr">
        <is>
          <t>Caso 214</t>
        </is>
      </c>
      <c r="G642" s="14" t="inlineStr">
        <is>
          <t>El comité técnico del hospital discute si puede negarse un tratamiento costoso a un paciente con pronóstico reservado, argumentando que los recursos alcanzarían para atender a varios pacientes con mejor pronóstico. Un integrante invoca la sostenibilidad del sistema y otro sostiene que el argumento es inadmisible.</t>
        </is>
      </c>
      <c r="H642" s="14" t="inlineStr">
        <is>
          <t>La decisión sobre la pertinencia del tratamiento corresponde a:</t>
        </is>
      </c>
      <c r="I642" s="14" t="inlineStr">
        <is>
          <t>El médico tratante, con fundamento en la evidencia y la autorregulación profesional</t>
        </is>
      </c>
      <c r="J642" s="14" t="inlineStr">
        <is>
          <t>El comité técnico del hospital, que pondera los recursos y el pronóstico del paciente</t>
        </is>
      </c>
      <c r="K642" s="14" t="inlineStr">
        <is>
          <t>La entidad responsable de pago, que autoriza los servicios de su red contratada</t>
        </is>
      </c>
      <c r="L642" s="14" t="inlineStr">
        <is>
          <t>a</t>
        </is>
      </c>
      <c r="M642" s="14" t="inlineStr">
        <is>
          <t>La decisión clínica corresponde al médico tratante, en el marco de la autorregulación, la ética y la evidencia.</t>
        </is>
      </c>
      <c r="N642" s="14" t="inlineStr">
        <is>
          <t>Las opciones b) y c) trasladan una decisión clínica a instancias administrativas o al pagador.</t>
        </is>
      </c>
      <c r="O642" s="14" t="inlineStr">
        <is>
          <t>Ley 1751 de 2015, art. 17</t>
        </is>
      </c>
      <c r="P642" s="14" t="inlineStr">
        <is>
          <t>SI</t>
        </is>
      </c>
      <c r="Q642" s="14" t="inlineStr">
        <is>
          <t>Alta</t>
        </is>
      </c>
      <c r="R642" s="14" t="inlineStr">
        <is>
          <t>v2</t>
        </is>
      </c>
    </row>
    <row r="643" ht="57" customHeight="1" s="12">
      <c r="A643" s="14" t="inlineStr">
        <is>
          <t>F0642</t>
        </is>
      </c>
      <c r="B643" s="14" t="inlineStr">
        <is>
          <t>PS 2782 de 2026 - ESE 2 - HUHMP Neiva</t>
        </is>
      </c>
      <c r="C643" s="14" t="inlineStr">
        <is>
          <t>Ley 1751 de 2015 - derecho fundamental a la salud</t>
        </is>
      </c>
      <c r="D643" s="14" t="inlineStr">
        <is>
          <t>Profesional</t>
        </is>
      </c>
      <c r="E643" s="14" t="inlineStr">
        <is>
          <t>C214</t>
        </is>
      </c>
      <c r="F643" s="14" t="inlineStr">
        <is>
          <t>Caso 214</t>
        </is>
      </c>
      <c r="G643" s="14" t="inlineStr">
        <is>
          <t>El comité técnico del hospital discute si puede negarse un tratamiento costoso a un paciente con pronóstico reservado, argumentando que los recursos alcanzarían para atender a varios pacientes con mejor pronóstico. Un integrante invoca la sostenibilidad del sistema y otro sostiene que el argumento es inadmisible.</t>
        </is>
      </c>
      <c r="H643" s="14" t="inlineStr">
        <is>
          <t>Un servicio solo puede quedar por fuera de la financiación pública cuando:</t>
        </is>
      </c>
      <c r="I643" s="14" t="inlineStr">
        <is>
          <t>Se aplica un criterio de exclusión mediante el procedimiento público y participativo previsto</t>
        </is>
      </c>
      <c r="J643" s="14" t="inlineStr">
        <is>
          <t>El comité técnico del prestador lo determina con base en el costo de la tecnología</t>
        </is>
      </c>
      <c r="K643" s="14" t="inlineStr">
        <is>
          <t>La entidad responsable de pago lo excluye de su manual interno de autorizaciones</t>
        </is>
      </c>
      <c r="L643" s="14" t="inlineStr">
        <is>
          <t>a</t>
        </is>
      </c>
      <c r="M643" s="14" t="inlineStr">
        <is>
          <t>Las exclusiones resultan de un procedimiento técnico-científico, público, participativo y transparente.</t>
        </is>
      </c>
      <c r="N643" s="14" t="inlineStr">
        <is>
          <t>Las opciones b) y c) permiten que un actor particular excluya servicios por su cuenta.</t>
        </is>
      </c>
      <c r="O643" s="14" t="inlineStr">
        <is>
          <t>Ley 1751 de 2015, art. 15</t>
        </is>
      </c>
      <c r="P643" s="14" t="inlineStr">
        <is>
          <t>SI</t>
        </is>
      </c>
      <c r="Q643" s="14" t="inlineStr">
        <is>
          <t>Alta</t>
        </is>
      </c>
      <c r="R643" s="14" t="inlineStr">
        <is>
          <t>v2</t>
        </is>
      </c>
    </row>
    <row r="644" ht="45.75" customHeight="1" s="12">
      <c r="A644" s="14" t="inlineStr">
        <is>
          <t>F0643</t>
        </is>
      </c>
      <c r="B644" s="14" t="inlineStr">
        <is>
          <t>PS 2782 de 2026 - ESE 2 - HUHMP Neiva</t>
        </is>
      </c>
      <c r="C644" s="14" t="inlineStr">
        <is>
          <t>Ley 1751 de 2015 - derecho fundamental a la salud</t>
        </is>
      </c>
      <c r="D644" s="14" t="inlineStr">
        <is>
          <t>Tecnico</t>
        </is>
      </c>
      <c r="E644" s="14" t="inlineStr">
        <is>
          <t>C215</t>
        </is>
      </c>
      <c r="F644" s="14" t="inlineStr">
        <is>
          <t>Caso 215</t>
        </is>
      </c>
      <c r="G644" s="14" t="inlineStr">
        <is>
          <t>Un hombre de treinta años llega a pedir información sobre cómo presentar una queja porque, según dice, en dos ocasiones le negaron la atención por su orientación sexual. Pide que no quede su nombre en ningún registro y que le expliquen si eso sirve de algo.</t>
        </is>
      </c>
      <c r="H644" s="14" t="inlineStr">
        <is>
          <t>¿Qué debe hacer la persona que lo atiende?</t>
        </is>
      </c>
      <c r="I644" s="14" t="inlineStr">
        <is>
          <t>Recibir la queja, explicar el trámite y las instancias, y precisar el alcance de la reserva</t>
        </is>
      </c>
      <c r="J644" s="14" t="inlineStr">
        <is>
          <t>Recibir la queja de manera anónima y archivarla como observación interna del servicio</t>
        </is>
      </c>
      <c r="K644" s="14" t="inlineStr">
        <is>
          <t>Recibir la queja y remitirla directamente a la Superintendencia sin trámite institucional</t>
        </is>
      </c>
      <c r="L644" s="14" t="inlineStr">
        <is>
          <t>a</t>
        </is>
      </c>
      <c r="M644" s="14" t="inlineStr">
        <is>
          <t>Corresponde recibir la queja, informar el trámite y las instancias, y explicarle con claridad hasta dónde llega la reserva de sus datos.</t>
        </is>
      </c>
      <c r="N644" s="14" t="inlineStr">
        <is>
          <t>La opción b) la convierte en un registro sin respuesta y la opción c) omite el trámite ante el prestador.</t>
        </is>
      </c>
      <c r="O644" s="14" t="inlineStr">
        <is>
          <t>Ley 1755 de 2015; Ley 1122 de 2007</t>
        </is>
      </c>
      <c r="P644" s="14" t="inlineStr">
        <is>
          <t>SI</t>
        </is>
      </c>
      <c r="Q644" s="14" t="inlineStr">
        <is>
          <t>Media</t>
        </is>
      </c>
      <c r="R644" s="14" t="inlineStr">
        <is>
          <t>v2</t>
        </is>
      </c>
    </row>
    <row r="645" ht="45.75" customHeight="1" s="12">
      <c r="A645" s="14" t="inlineStr">
        <is>
          <t>F0644</t>
        </is>
      </c>
      <c r="B645" s="14" t="inlineStr">
        <is>
          <t>PS 2782 de 2026 - ESE 2 - HUHMP Neiva</t>
        </is>
      </c>
      <c r="C645" s="14" t="inlineStr">
        <is>
          <t>Ley 1751 de 2015 - derecho fundamental a la salud</t>
        </is>
      </c>
      <c r="D645" s="14" t="inlineStr">
        <is>
          <t>Tecnico</t>
        </is>
      </c>
      <c r="E645" s="14" t="inlineStr">
        <is>
          <t>C215</t>
        </is>
      </c>
      <c r="F645" s="14" t="inlineStr">
        <is>
          <t>Caso 215</t>
        </is>
      </c>
      <c r="G645" s="14" t="inlineStr">
        <is>
          <t>Un hombre de treinta años llega a pedir información sobre cómo presentar una queja porque, según dice, en dos ocasiones le negaron la atención por su orientación sexual. Pide que no quede su nombre en ningún registro y que le expliquen si eso sirve de algo.</t>
        </is>
      </c>
      <c r="H645" s="14" t="inlineStr">
        <is>
          <t>La negativa de atención por la orientación sexual del usuario:</t>
        </is>
      </c>
      <c r="I645" s="14" t="inlineStr">
        <is>
          <t>Vulnera el derecho a la igualdad y el acceso sin discriminación a los servicios</t>
        </is>
      </c>
      <c r="J645" s="14" t="inlineStr">
        <is>
          <t>Vulnera el derecho a la intimidad del usuario frente al personal asistencial</t>
        </is>
      </c>
      <c r="K645" s="14" t="inlineStr">
        <is>
          <t>Vulnera el deber de información que tiene el prestador frente a sus usuarios</t>
        </is>
      </c>
      <c r="L645" s="14" t="inlineStr">
        <is>
          <t>a</t>
        </is>
      </c>
      <c r="M645" s="14" t="inlineStr">
        <is>
          <t>Negar la atención por esa razón es un trato discriminatorio que vulnera la igualdad y el acceso al servicio.</t>
        </is>
      </c>
      <c r="N645" s="14" t="inlineStr">
        <is>
          <t>Las opciones b) y c) señalan derechos que pueden verse afectados, pero no el núcleo de la vulneración descrita.</t>
        </is>
      </c>
      <c r="O645" s="14" t="inlineStr">
        <is>
          <t>Constitución Política de 1991, art. 13; Ley 1751 de 2015, art. 6</t>
        </is>
      </c>
      <c r="P645" s="14" t="inlineStr">
        <is>
          <t>SI</t>
        </is>
      </c>
      <c r="Q645" s="14" t="inlineStr">
        <is>
          <t>Media</t>
        </is>
      </c>
      <c r="R645" s="14" t="inlineStr">
        <is>
          <t>v2</t>
        </is>
      </c>
    </row>
    <row r="646" ht="45.75" customHeight="1" s="12">
      <c r="A646" s="14" t="inlineStr">
        <is>
          <t>F0645</t>
        </is>
      </c>
      <c r="B646" s="14" t="inlineStr">
        <is>
          <t>PS 2782 de 2026 - ESE 2 - HUHMP Neiva</t>
        </is>
      </c>
      <c r="C646" s="14" t="inlineStr">
        <is>
          <t>Ley 1751 de 2015 - derecho fundamental a la salud</t>
        </is>
      </c>
      <c r="D646" s="14" t="inlineStr">
        <is>
          <t>Tecnico</t>
        </is>
      </c>
      <c r="E646" s="14" t="inlineStr">
        <is>
          <t>C215</t>
        </is>
      </c>
      <c r="F646" s="14" t="inlineStr">
        <is>
          <t>Caso 215</t>
        </is>
      </c>
      <c r="G646" s="14" t="inlineStr">
        <is>
          <t>Un hombre de treinta años llega a pedir información sobre cómo presentar una queja porque, según dice, en dos ocasiones le negaron la atención por su orientación sexual. Pide que no quede su nombre en ningún registro y que le expliquen si eso sirve de algo.</t>
        </is>
      </c>
      <c r="H646" s="14" t="inlineStr">
        <is>
          <t>Sobre la reserva que solicita, corresponde explicarle que:</t>
        </is>
      </c>
      <c r="I646" s="14" t="inlineStr">
        <is>
          <t>Sus datos se tratan con reserva, aunque el trámite requiere identificarlo para responderle</t>
        </is>
      </c>
      <c r="J646" s="14" t="inlineStr">
        <is>
          <t>Sus datos quedarán ocultos para toda la institución durante el trámite de la queja</t>
        </is>
      </c>
      <c r="K646" s="14" t="inlineStr">
        <is>
          <t>Sus datos se publicarán en el informe de PQRSD del periodo, sin el nombre completo</t>
        </is>
      </c>
      <c r="L646" s="14" t="inlineStr">
        <is>
          <t>a</t>
        </is>
      </c>
      <c r="M646" s="14" t="inlineStr">
        <is>
          <t>Se le explica que la información se maneja con reserva, pero que su identificación es necesaria para darle respuesta.</t>
        </is>
      </c>
      <c r="N646" s="14" t="inlineStr">
        <is>
          <t>La opción b) promete algo imposible de cumplir y la opción c) anuncia una publicación innecesaria.</t>
        </is>
      </c>
      <c r="O646" s="14" t="inlineStr">
        <is>
          <t>Ley 1581 de 2012; Ley 1755 de 2015</t>
        </is>
      </c>
      <c r="P646" s="14" t="inlineStr">
        <is>
          <t>SI</t>
        </is>
      </c>
      <c r="Q646" s="14" t="inlineStr">
        <is>
          <t>Media</t>
        </is>
      </c>
      <c r="R646" s="14" t="inlineStr">
        <is>
          <t>v2</t>
        </is>
      </c>
    </row>
    <row r="647" ht="45.75" customHeight="1" s="12">
      <c r="A647" s="14" t="inlineStr">
        <is>
          <t>F0646</t>
        </is>
      </c>
      <c r="B647" s="14" t="inlineStr">
        <is>
          <t>PS 2782 de 2026 - ESE 2 - HUHMP Neiva</t>
        </is>
      </c>
      <c r="C647" s="14" t="inlineStr">
        <is>
          <t>Historia clinica y proteccion de datos (Ley 1581 de 2012)</t>
        </is>
      </c>
      <c r="D647" s="14" t="inlineStr">
        <is>
          <t>Profesional</t>
        </is>
      </c>
      <c r="E647" s="14" t="inlineStr">
        <is>
          <t>C216</t>
        </is>
      </c>
      <c r="F647" s="14" t="inlineStr">
        <is>
          <t>Caso 216</t>
        </is>
      </c>
      <c r="G647" s="14" t="inlineStr">
        <is>
          <t>Un juez remite oficio solicitando la historia clínica completa de una paciente dentro de un proceso de alimentos. La paciente, al enterarse, pide por escrito que no se entregue porque contiene información de salud mental que nada tiene que ver con el proceso. El plazo del juez vence en tres días.</t>
        </is>
      </c>
      <c r="H647" s="14" t="inlineStr">
        <is>
          <t>¿Cómo debe responder el hospital?</t>
        </is>
      </c>
      <c r="I647" s="14" t="inlineStr">
        <is>
          <t>Entregar lo requerido por el juez e informarle la solicitud de la paciente sobre la reserva</t>
        </is>
      </c>
      <c r="J647" s="14" t="inlineStr">
        <is>
          <t>Entregar la historia completa, dado que la orden judicial desplaza cualquier objeción</t>
        </is>
      </c>
      <c r="K647" s="14" t="inlineStr">
        <is>
          <t>Abstenerse de entregar hasta que la paciente autorice por escrito la remisión al juzgado</t>
        </is>
      </c>
      <c r="L647" s="14" t="inlineStr">
        <is>
          <t>a</t>
        </is>
      </c>
      <c r="M647" s="14" t="inlineStr">
        <is>
          <t>La orden judicial habilita la entrega, y lo correcto es atenderla poniendo de presente la solicitud de la paciente para que el juez decida sobre el alcance de la reserva.</t>
        </is>
      </c>
      <c r="N647" s="14" t="inlineStr">
        <is>
          <t>La opción b) ignora una manifestación relevante del titular y la opción c) desatiende una orden judicial.</t>
        </is>
      </c>
      <c r="O647" s="14" t="inlineStr">
        <is>
          <t>Resolución 1995 de 1999; Ley 1581 de 2012</t>
        </is>
      </c>
      <c r="P647" s="14" t="inlineStr">
        <is>
          <t>SI</t>
        </is>
      </c>
      <c r="Q647" s="14" t="inlineStr">
        <is>
          <t>Alta</t>
        </is>
      </c>
      <c r="R647" s="14" t="inlineStr">
        <is>
          <t>v2</t>
        </is>
      </c>
    </row>
    <row r="648" ht="45.75" customHeight="1" s="12">
      <c r="A648" s="14" t="inlineStr">
        <is>
          <t>F0647</t>
        </is>
      </c>
      <c r="B648" s="14" t="inlineStr">
        <is>
          <t>PS 2782 de 2026 - ESE 2 - HUHMP Neiva</t>
        </is>
      </c>
      <c r="C648" s="14" t="inlineStr">
        <is>
          <t>Historia clinica y proteccion de datos (Ley 1581 de 2012)</t>
        </is>
      </c>
      <c r="D648" s="14" t="inlineStr">
        <is>
          <t>Profesional</t>
        </is>
      </c>
      <c r="E648" s="14" t="inlineStr">
        <is>
          <t>C216</t>
        </is>
      </c>
      <c r="F648" s="14" t="inlineStr">
        <is>
          <t>Caso 216</t>
        </is>
      </c>
      <c r="G648" s="14" t="inlineStr">
        <is>
          <t>Un juez remite oficio solicitando la historia clínica completa de una paciente dentro de un proceso de alimentos. La paciente, al enterarse, pide por escrito que no se entregue porque contiene información de salud mental que nada tiene que ver con el proceso. El plazo del juez vence en tres días.</t>
        </is>
      </c>
      <c r="H648" s="14" t="inlineStr">
        <is>
          <t>La reserva de la historia clínica, frente a las autoridades judiciales:</t>
        </is>
      </c>
      <c r="I648" s="14" t="inlineStr">
        <is>
          <t>Cede ante el requerimiento, sin que ello autorice usos distintos del proceso</t>
        </is>
      </c>
      <c r="J648" s="14" t="inlineStr">
        <is>
          <t>Se mantiene intacta, salvo que el titular otorgue autorización expresa y escrita</t>
        </is>
      </c>
      <c r="K648" s="14" t="inlineStr">
        <is>
          <t>Cede por completo, quedando la información disponible para cualquier autoridad</t>
        </is>
      </c>
      <c r="L648" s="14" t="inlineStr">
        <is>
          <t>a</t>
        </is>
      </c>
      <c r="M648" s="14" t="inlineStr">
        <is>
          <t>La reserva cede ante el requerimiento judicial, pero la información queda vinculada a la finalidad del proceso.</t>
        </is>
      </c>
      <c r="N648" s="14" t="inlineStr">
        <is>
          <t>La opción b) desconoce esa excepción y la opción c) elimina el límite de finalidad.</t>
        </is>
      </c>
      <c r="O648" s="14" t="inlineStr">
        <is>
          <t>Resolución 1995 de 1999, art. 14</t>
        </is>
      </c>
      <c r="P648" s="14" t="inlineStr">
        <is>
          <t>SI</t>
        </is>
      </c>
      <c r="Q648" s="14" t="inlineStr">
        <is>
          <t>Alta</t>
        </is>
      </c>
      <c r="R648" s="14" t="inlineStr">
        <is>
          <t>v2</t>
        </is>
      </c>
    </row>
    <row r="649" ht="45.75" customHeight="1" s="12">
      <c r="A649" s="14" t="inlineStr">
        <is>
          <t>F0648</t>
        </is>
      </c>
      <c r="B649" s="14" t="inlineStr">
        <is>
          <t>PS 2782 de 2026 - ESE 2 - HUHMP Neiva</t>
        </is>
      </c>
      <c r="C649" s="14" t="inlineStr">
        <is>
          <t>Historia clinica y proteccion de datos (Ley 1581 de 2012)</t>
        </is>
      </c>
      <c r="D649" s="14" t="inlineStr">
        <is>
          <t>Profesional</t>
        </is>
      </c>
      <c r="E649" s="14" t="inlineStr">
        <is>
          <t>C216</t>
        </is>
      </c>
      <c r="F649" s="14" t="inlineStr">
        <is>
          <t>Caso 216</t>
        </is>
      </c>
      <c r="G649" s="14" t="inlineStr">
        <is>
          <t>Un juez remite oficio solicitando la historia clínica completa de una paciente dentro de un proceso de alimentos. La paciente, al enterarse, pide por escrito que no se entregue porque contiene información de salud mental que nada tiene que ver con el proceso. El plazo del juez vence en tres días.</t>
        </is>
      </c>
      <c r="H649" s="14" t="inlineStr">
        <is>
          <t>De la entrega debe quedar en la institución:</t>
        </is>
      </c>
      <c r="I649" s="14" t="inlineStr">
        <is>
          <t>Constancia de qué se entregó, a quién, en qué fecha y con qué fundamento</t>
        </is>
      </c>
      <c r="J649" s="14" t="inlineStr">
        <is>
          <t>Constancia de la solicitud del juez, sin necesidad de detallar lo entregado</t>
        </is>
      </c>
      <c r="K649" s="14" t="inlineStr">
        <is>
          <t>Constancia firmada por la paciente de que conoció la entrega realizada</t>
        </is>
      </c>
      <c r="L649" s="14" t="inlineStr">
        <is>
          <t>a</t>
        </is>
      </c>
      <c r="M649" s="14" t="inlineStr">
        <is>
          <t>La trazabilidad de la entrega protege a la institución y al titular: qué, a quién, cuándo y con qué fundamento.</t>
        </is>
      </c>
      <c r="N649" s="14" t="inlineStr">
        <is>
          <t>La opción b) documenta solo la solicitud y la opción c) condiciona el registro a la firma de la paciente.</t>
        </is>
      </c>
      <c r="O649" s="14" t="inlineStr">
        <is>
          <t>Ley 1581 de 2012; Resolución 1995 de 1999</t>
        </is>
      </c>
      <c r="P649" s="14" t="inlineStr">
        <is>
          <t>SI</t>
        </is>
      </c>
      <c r="Q649" s="14" t="inlineStr">
        <is>
          <t>Alta</t>
        </is>
      </c>
      <c r="R649" s="14" t="inlineStr">
        <is>
          <t>v2</t>
        </is>
      </c>
    </row>
    <row r="650" ht="45.75" customHeight="1" s="12">
      <c r="A650" s="14" t="inlineStr">
        <is>
          <t>F0649</t>
        </is>
      </c>
      <c r="B650" s="14" t="inlineStr">
        <is>
          <t>PS 2782 de 2026 - ESE 2 - HUHMP Neiva</t>
        </is>
      </c>
      <c r="C650" s="14" t="inlineStr">
        <is>
          <t>Historia clinica y proteccion de datos (Ley 1581 de 2012)</t>
        </is>
      </c>
      <c r="D650" s="14" t="inlineStr">
        <is>
          <t>Tecnico</t>
        </is>
      </c>
      <c r="E650" s="14" t="inlineStr">
        <is>
          <t>C217</t>
        </is>
      </c>
      <c r="F650" s="14" t="inlineStr">
        <is>
          <t>Caso 217</t>
        </is>
      </c>
      <c r="G650" s="14" t="inlineStr">
        <is>
          <t>Una empresa llama al hospital para verificar la incapacidad de un empleado y pide confirmar el diagnóstico, «porque sospechan que es falsa». Ofrecen enviar por correo la autorización firmada por el trabajador al momento de la contratación, que incluye una cláusula general sobre datos de salud.</t>
        </is>
      </c>
      <c r="H650" s="14" t="inlineStr">
        <is>
          <t>¿Qué debe responder el hospital?</t>
        </is>
      </c>
      <c r="I650" s="14" t="inlineStr">
        <is>
          <t>Negar el dato clínico y explicar que la verificación de la incapacidad tiene otro canal</t>
        </is>
      </c>
      <c r="J650" s="14" t="inlineStr">
        <is>
          <t>Entregar el diagnóstico, dado que la empresa aporta autorización firmada por el trabajador</t>
        </is>
      </c>
      <c r="K650" s="14" t="inlineStr">
        <is>
          <t>Entregar solo la confirmación de que el trabajador fue atendido ese día en la institución</t>
        </is>
      </c>
      <c r="L650" s="14" t="inlineStr">
        <is>
          <t>a</t>
        </is>
      </c>
      <c r="M650" s="14" t="inlineStr">
        <is>
          <t>El diagnóstico es un dato sensible y la cláusula general de la contratación no constituye autorización específica para esa finalidad.</t>
        </is>
      </c>
      <c r="N650" s="14" t="inlineStr">
        <is>
          <t>La opción b) acepta una autorización genérica y la opción c) confirma indirectamente la atención, que también está amparada por la reserva.</t>
        </is>
      </c>
      <c r="O650" s="14" t="inlineStr">
        <is>
          <t>Ley 1581 de 2012, arts. 5 y 6; Resolución 1995 de 1999</t>
        </is>
      </c>
      <c r="P650" s="14" t="inlineStr">
        <is>
          <t>SI</t>
        </is>
      </c>
      <c r="Q650" s="14" t="inlineStr">
        <is>
          <t>Media</t>
        </is>
      </c>
      <c r="R650" s="14" t="inlineStr">
        <is>
          <t>v2</t>
        </is>
      </c>
    </row>
    <row r="651" ht="45.75" customHeight="1" s="12">
      <c r="A651" s="14" t="inlineStr">
        <is>
          <t>F0650</t>
        </is>
      </c>
      <c r="B651" s="14" t="inlineStr">
        <is>
          <t>PS 2782 de 2026 - ESE 2 - HUHMP Neiva</t>
        </is>
      </c>
      <c r="C651" s="14" t="inlineStr">
        <is>
          <t>Historia clinica y proteccion de datos (Ley 1581 de 2012)</t>
        </is>
      </c>
      <c r="D651" s="14" t="inlineStr">
        <is>
          <t>Tecnico</t>
        </is>
      </c>
      <c r="E651" s="14" t="inlineStr">
        <is>
          <t>C217</t>
        </is>
      </c>
      <c r="F651" s="14" t="inlineStr">
        <is>
          <t>Caso 217</t>
        </is>
      </c>
      <c r="G651" s="14" t="inlineStr">
        <is>
          <t>Una empresa llama al hospital para verificar la incapacidad de un empleado y pide confirmar el diagnóstico, «porque sospechan que es falsa». Ofrecen enviar por correo la autorización firmada por el trabajador al momento de la contratación, que incluye una cláusula general sobre datos de salud.</t>
        </is>
      </c>
      <c r="H651" s="14" t="inlineStr">
        <is>
          <t>Una autorización para el tratamiento de datos sensibles debe ser:</t>
        </is>
      </c>
      <c r="I651" s="14" t="inlineStr">
        <is>
          <t>Previa, expresa e informada sobre la finalidad concreta del tratamiento</t>
        </is>
      </c>
      <c r="J651" s="14" t="inlineStr">
        <is>
          <t>Escrita y firmada, con independencia de la finalidad para la que se otorgue</t>
        </is>
      </c>
      <c r="K651" s="14" t="inlineStr">
        <is>
          <t>Renovada cada año mientras dure la relación entre las partes involucradas</t>
        </is>
      </c>
      <c r="L651" s="14" t="inlineStr">
        <is>
          <t>a</t>
        </is>
      </c>
      <c r="M651" s="14" t="inlineStr">
        <is>
          <t>La autorización debe ser previa, expresa e informada, y referirse a la finalidad concreta del tratamiento.</t>
        </is>
      </c>
      <c r="N651" s="14" t="inlineStr">
        <is>
          <t>La opción b) se queda en la forma y la opción c) introduce una periodicidad que no es el criterio.</t>
        </is>
      </c>
      <c r="O651" s="14" t="inlineStr">
        <is>
          <t>Ley 1581 de 2012; Decreto 1377 de 2013</t>
        </is>
      </c>
      <c r="P651" s="14" t="inlineStr">
        <is>
          <t>SI</t>
        </is>
      </c>
      <c r="Q651" s="14" t="inlineStr">
        <is>
          <t>Media</t>
        </is>
      </c>
      <c r="R651" s="14" t="inlineStr">
        <is>
          <t>v2</t>
        </is>
      </c>
    </row>
    <row r="652" ht="45.75" customHeight="1" s="12">
      <c r="A652" s="14" t="inlineStr">
        <is>
          <t>F0651</t>
        </is>
      </c>
      <c r="B652" s="14" t="inlineStr">
        <is>
          <t>PS 2782 de 2026 - ESE 2 - HUHMP Neiva</t>
        </is>
      </c>
      <c r="C652" s="14" t="inlineStr">
        <is>
          <t>Historia clinica y proteccion de datos (Ley 1581 de 2012)</t>
        </is>
      </c>
      <c r="D652" s="14" t="inlineStr">
        <is>
          <t>Tecnico</t>
        </is>
      </c>
      <c r="E652" s="14" t="inlineStr">
        <is>
          <t>C217</t>
        </is>
      </c>
      <c r="F652" s="14" t="inlineStr">
        <is>
          <t>Caso 217</t>
        </is>
      </c>
      <c r="G652" s="14" t="inlineStr">
        <is>
          <t>Una empresa llama al hospital para verificar la incapacidad de un empleado y pide confirmar el diagnóstico, «porque sospechan que es falsa». Ofrecen enviar por correo la autorización firmada por el trabajador al momento de la contratación, que incluye una cláusula general sobre datos de salud.</t>
        </is>
      </c>
      <c r="H652" s="14" t="inlineStr">
        <is>
          <t>Si la empresa insiste, corresponde:</t>
        </is>
      </c>
      <c r="I652" s="14" t="inlineStr">
        <is>
          <t>Orientarla hacia el canal previsto para la verificación de incapacidades</t>
        </is>
      </c>
      <c r="J652" s="14" t="inlineStr">
        <is>
          <t>Orientarla para que presente derecho de petición ante el hospital tratante</t>
        </is>
      </c>
      <c r="K652" s="14" t="inlineStr">
        <is>
          <t>Orientarla para que solicite el dato directamente a la EPS del trabajador</t>
        </is>
      </c>
      <c r="L652" s="14" t="inlineStr">
        <is>
          <t>a</t>
        </is>
      </c>
      <c r="M652" s="14" t="inlineStr">
        <is>
          <t>La verificación de incapacidades tiene su propio canal, que no implica revelar el diagnóstico del trabajador.</t>
        </is>
      </c>
      <c r="N652" s="14" t="inlineStr">
        <is>
          <t>Las opciones b) y c) mantienen la búsqueda del dato clínico por otra ruta.</t>
        </is>
      </c>
      <c r="O652" s="14" t="inlineStr">
        <is>
          <t>Ley 1581 de 2012; Decreto 780 de 2016</t>
        </is>
      </c>
      <c r="P652" s="14" t="inlineStr">
        <is>
          <t>SI</t>
        </is>
      </c>
      <c r="Q652" s="14" t="inlineStr">
        <is>
          <t>Media</t>
        </is>
      </c>
      <c r="R652" s="14" t="inlineStr">
        <is>
          <t>v2</t>
        </is>
      </c>
    </row>
    <row r="653" ht="45.75" customHeight="1" s="12">
      <c r="A653" s="14" t="inlineStr">
        <is>
          <t>F0652</t>
        </is>
      </c>
      <c r="B653" s="14" t="inlineStr">
        <is>
          <t>PS 2782 de 2026 - ESE 2 - HUHMP Neiva</t>
        </is>
      </c>
      <c r="C653" s="14" t="inlineStr">
        <is>
          <t>Historia clinica y proteccion de datos (Ley 1581 de 2012)</t>
        </is>
      </c>
      <c r="D653" s="14" t="inlineStr">
        <is>
          <t>Profesional</t>
        </is>
      </c>
      <c r="E653" s="14" t="inlineStr">
        <is>
          <t>C218</t>
        </is>
      </c>
      <c r="F653" s="14" t="inlineStr">
        <is>
          <t>Caso 218</t>
        </is>
      </c>
      <c r="G653" s="14" t="inlineStr">
        <is>
          <t>El hospital detecta que un funcionario descargó en una memoria personal la base de datos de pacientes atendidos en el último año, con nombre, documento y diagnóstico. Dice que lo hizo para trabajar desde su casa en un informe que le pidió la gerencia y que ya borró el archivo.</t>
        </is>
      </c>
      <c r="H653" s="14" t="inlineStr">
        <is>
          <t>¿Cuál es la primera actuación institucional?</t>
        </is>
      </c>
      <c r="I653" s="14" t="inlineStr">
        <is>
          <t>Verificar el alcance del incidente, asegurar la evidencia y activar el protocolo de seguridad</t>
        </is>
      </c>
      <c r="J653" s="14" t="inlineStr">
        <is>
          <t>Verificar con el funcionario que el archivo fue borrado y dejar constancia del compromiso</t>
        </is>
      </c>
      <c r="K653" s="14" t="inlineStr">
        <is>
          <t>Verificar si el informe solicitado por la gerencia justificaba el uso de esa base de datos</t>
        </is>
      </c>
      <c r="L653" s="14" t="inlineStr">
        <is>
          <t>a</t>
        </is>
      </c>
      <c r="M653" s="14" t="inlineStr">
        <is>
          <t>Frente a un posible incidente de seguridad, lo primero es determinar su alcance, preservar la evidencia y activar el protocolo, antes de calificar la intención.</t>
        </is>
      </c>
      <c r="N653" s="14" t="inlineStr">
        <is>
          <t>Las opciones b) y c) cierran el caso con la versión del funcionario o con la justificación del informe.</t>
        </is>
      </c>
      <c r="O653" s="14" t="inlineStr">
        <is>
          <t>Ley 1581 de 2012, art. 17</t>
        </is>
      </c>
      <c r="P653" s="14" t="inlineStr">
        <is>
          <t>SI</t>
        </is>
      </c>
      <c r="Q653" s="14" t="inlineStr">
        <is>
          <t>Media</t>
        </is>
      </c>
      <c r="R653" s="14" t="inlineStr">
        <is>
          <t>v2</t>
        </is>
      </c>
    </row>
    <row r="654" ht="45.75" customHeight="1" s="12">
      <c r="A654" s="14" t="inlineStr">
        <is>
          <t>F0653</t>
        </is>
      </c>
      <c r="B654" s="14" t="inlineStr">
        <is>
          <t>PS 2782 de 2026 - ESE 2 - HUHMP Neiva</t>
        </is>
      </c>
      <c r="C654" s="14" t="inlineStr">
        <is>
          <t>Historia clinica y proteccion de datos (Ley 1581 de 2012)</t>
        </is>
      </c>
      <c r="D654" s="14" t="inlineStr">
        <is>
          <t>Profesional</t>
        </is>
      </c>
      <c r="E654" s="14" t="inlineStr">
        <is>
          <t>C218</t>
        </is>
      </c>
      <c r="F654" s="14" t="inlineStr">
        <is>
          <t>Caso 218</t>
        </is>
      </c>
      <c r="G654" s="14" t="inlineStr">
        <is>
          <t>El hospital detecta que un funcionario descargó en una memoria personal la base de datos de pacientes atendidos en el último año, con nombre, documento y diagnóstico. Dice que lo hizo para trabajar desde su casa en un informe que le pidió la gerencia y que ya borró el archivo.</t>
        </is>
      </c>
      <c r="H654" s="14" t="inlineStr">
        <is>
          <t>Frente a la autoridad de protección de datos, el hospital debe:</t>
        </is>
      </c>
      <c r="I654" s="14" t="inlineStr">
        <is>
          <t>Informar el incidente de seguridad, en los términos previstos en la ley</t>
        </is>
      </c>
      <c r="J654" s="14" t="inlineStr">
        <is>
          <t>Informar solo si se confirma que la información llegó a terceros no autorizados</t>
        </is>
      </c>
      <c r="K654" s="14" t="inlineStr">
        <is>
          <t>Informar al cierre de la investigación interna, con sus conclusiones y medidas</t>
        </is>
      </c>
      <c r="L654" s="14" t="inlineStr">
        <is>
          <t>a</t>
        </is>
      </c>
      <c r="M654" s="14" t="inlineStr">
        <is>
          <t>Las violaciones a los códigos de seguridad y los riesgos en la administración de la información se informan a la autoridad.</t>
        </is>
      </c>
      <c r="N654" s="14" t="inlineStr">
        <is>
          <t>Las opciones b) y c) condicionan el reporte a un resultado o lo aplazan hasta el final del proceso.</t>
        </is>
      </c>
      <c r="O654" s="14" t="inlineStr">
        <is>
          <t>Ley 1581 de 2012, art. 17</t>
        </is>
      </c>
      <c r="P654" s="14" t="inlineStr">
        <is>
          <t>SI</t>
        </is>
      </c>
      <c r="Q654" s="14" t="inlineStr">
        <is>
          <t>Media</t>
        </is>
      </c>
      <c r="R654" s="14" t="inlineStr">
        <is>
          <t>v2</t>
        </is>
      </c>
    </row>
    <row r="655" ht="45.75" customHeight="1" s="12">
      <c r="A655" s="14" t="inlineStr">
        <is>
          <t>F0654</t>
        </is>
      </c>
      <c r="B655" s="14" t="inlineStr">
        <is>
          <t>PS 2782 de 2026 - ESE 2 - HUHMP Neiva</t>
        </is>
      </c>
      <c r="C655" s="14" t="inlineStr">
        <is>
          <t>Historia clinica y proteccion de datos (Ley 1581 de 2012)</t>
        </is>
      </c>
      <c r="D655" s="14" t="inlineStr">
        <is>
          <t>Profesional</t>
        </is>
      </c>
      <c r="E655" s="14" t="inlineStr">
        <is>
          <t>C218</t>
        </is>
      </c>
      <c r="F655" s="14" t="inlineStr">
        <is>
          <t>Caso 218</t>
        </is>
      </c>
      <c r="G655" s="14" t="inlineStr">
        <is>
          <t>El hospital detecta que un funcionario descargó en una memoria personal la base de datos de pacientes atendidos en el último año, con nombre, documento y diagnóstico. Dice que lo hizo para trabajar desde su casa en un informe que le pidió la gerencia y que ya borró el archivo.</t>
        </is>
      </c>
      <c r="H655" s="14" t="inlineStr">
        <is>
          <t>Para prevenir que se repita, la medida más pertinente es:</t>
        </is>
      </c>
      <c r="I655" s="14" t="inlineStr">
        <is>
          <t>Restringir la extracción de datos y habilitar un entorno seguro de trabajo remoto</t>
        </is>
      </c>
      <c r="J655" s="14" t="inlineStr">
        <is>
          <t>Prohibir el trabajo remoto para todo el personal administrativo de la institución</t>
        </is>
      </c>
      <c r="K655" s="14" t="inlineStr">
        <is>
          <t>Exigir al personal la firma anual de un acuerdo de confidencialidad institucional</t>
        </is>
      </c>
      <c r="L655" s="14" t="inlineStr">
        <is>
          <t>a</t>
        </is>
      </c>
      <c r="M655" s="14" t="inlineStr">
        <is>
          <t>La barrera efectiva es técnica: restringir la extracción y ofrecer un entorno seguro para el trabajo legítimo.</t>
        </is>
      </c>
      <c r="N655" s="14" t="inlineStr">
        <is>
          <t>La opción b) elimina una modalidad de trabajo en vez de asegurarla y la opción c) agrega un documento sin cambiar el proceso.</t>
        </is>
      </c>
      <c r="O655" s="14" t="inlineStr">
        <is>
          <t>Ley 1581 de 2012; Decreto 1377 de 2013</t>
        </is>
      </c>
      <c r="P655" s="14" t="inlineStr">
        <is>
          <t>SI</t>
        </is>
      </c>
      <c r="Q655" s="14" t="inlineStr">
        <is>
          <t>Media</t>
        </is>
      </c>
      <c r="R655" s="14" t="inlineStr">
        <is>
          <t>v2</t>
        </is>
      </c>
    </row>
    <row r="656" ht="46.25" customHeight="1" s="12">
      <c r="A656" s="14" t="inlineStr">
        <is>
          <t>F0655</t>
        </is>
      </c>
      <c r="B656" s="14" t="inlineStr">
        <is>
          <t>PS 2782 de 2026 - ESE 2 - HUHMP Neiva</t>
        </is>
      </c>
      <c r="C656" s="14" t="inlineStr">
        <is>
          <t>Humanizacion y derechos del paciente</t>
        </is>
      </c>
      <c r="D656" s="14" t="inlineStr">
        <is>
          <t>Profesional</t>
        </is>
      </c>
      <c r="E656" s="14" t="inlineStr">
        <is>
          <t>C219</t>
        </is>
      </c>
      <c r="F656" s="14" t="inlineStr">
        <is>
          <t>Caso 219</t>
        </is>
      </c>
      <c r="G656" s="14" t="inlineStr">
        <is>
          <t>Una mujer de veintidós años ingresa con un aborto en curso. El médico de turno le dice delante de otros pacientes que «eso le pasa por descuidada» y demora la valoración cuarenta minutos. La paciente llora, pide ser atendida por otra persona y una auxiliar presencia todo desde el pasillo.</t>
        </is>
      </c>
      <c r="H656" s="14" t="inlineStr">
        <is>
          <t>¿Qué debe hacer la auxiliar que presenció los hechos?</t>
        </is>
      </c>
      <c r="I656" s="14" t="inlineStr">
        <is>
          <t>Gestionar de inmediato la valoración por otro profesional y reportar el hecho por el canal interno</t>
        </is>
      </c>
      <c r="J656" s="14" t="inlineStr">
        <is>
          <t>Acompañar a la paciente, calmarla y sugerirle que presente su queja ante atención al usuario</t>
        </is>
      </c>
      <c r="K656" s="14" t="inlineStr">
        <is>
          <t>Informar al jefe del servicio al terminar el turno, dejando constancia escrita de lo ocurrido</t>
        </is>
      </c>
      <c r="L656" s="14" t="inlineStr">
        <is>
          <t>a</t>
        </is>
      </c>
      <c r="M656" s="14" t="inlineStr">
        <is>
          <t>Lo urgente es que la paciente reciba atención y lo institucional es que el trato indigno se reporte: ambas cosas, y ninguna al final del turno.</t>
        </is>
      </c>
      <c r="N656" s="14" t="inlineStr">
        <is>
          <t>Las opciones b) y c) atienden lo emocional o lo formal, pero dejan a la paciente sin valoración clínica en ese momento.</t>
        </is>
      </c>
      <c r="O656" s="14" t="inlineStr">
        <is>
          <t>Ley 1751 de 2015, art. 10; Resolución 13437 de 1991</t>
        </is>
      </c>
      <c r="P656" s="14" t="inlineStr">
        <is>
          <t>SI</t>
        </is>
      </c>
      <c r="Q656" s="14" t="inlineStr">
        <is>
          <t>Alta</t>
        </is>
      </c>
      <c r="R656" s="14" t="inlineStr">
        <is>
          <t>v2</t>
        </is>
      </c>
    </row>
    <row r="657" ht="46.25" customHeight="1" s="12">
      <c r="A657" s="14" t="inlineStr">
        <is>
          <t>F0656</t>
        </is>
      </c>
      <c r="B657" s="14" t="inlineStr">
        <is>
          <t>PS 2782 de 2026 - ESE 2 - HUHMP Neiva</t>
        </is>
      </c>
      <c r="C657" s="14" t="inlineStr">
        <is>
          <t>Humanizacion y derechos del paciente</t>
        </is>
      </c>
      <c r="D657" s="14" t="inlineStr">
        <is>
          <t>Profesional</t>
        </is>
      </c>
      <c r="E657" s="14" t="inlineStr">
        <is>
          <t>C219</t>
        </is>
      </c>
      <c r="F657" s="14" t="inlineStr">
        <is>
          <t>Caso 219</t>
        </is>
      </c>
      <c r="G657" s="14" t="inlineStr">
        <is>
          <t>Una mujer de veintidós años ingresa con un aborto en curso. El médico de turno le dice delante de otros pacientes que «eso le pasa por descuidada» y demora la valoración cuarenta minutos. La paciente llora, pide ser atendida por otra persona y una auxiliar presencia todo desde el pasillo.</t>
        </is>
      </c>
      <c r="H657" s="14" t="inlineStr">
        <is>
          <t>El trato recibido por la paciente vulnera principalmente:</t>
        </is>
      </c>
      <c r="I657" s="14" t="inlineStr">
        <is>
          <t>La dignidad humana y el derecho a recibir atención sin juicios sobre su conducta</t>
        </is>
      </c>
      <c r="J657" s="14" t="inlineStr">
        <is>
          <t>La intimidad, porque el comentario se hizo delante de otros pacientes del servicio</t>
        </is>
      </c>
      <c r="K657" s="14" t="inlineStr">
        <is>
          <t>La oportunidad, porque la valoración se demoró cuarenta minutos desde su ingreso</t>
        </is>
      </c>
      <c r="L657" s="14" t="inlineStr">
        <is>
          <t>a</t>
        </is>
      </c>
      <c r="M657" s="14" t="inlineStr">
        <is>
          <t>El núcleo de la vulneración es el trato indigno y el juicio moral sobre la paciente, del que se derivan además la exposición y la demora.</t>
        </is>
      </c>
      <c r="N657" s="14" t="inlineStr">
        <is>
          <t>Las opciones b) y c) señalan consecuencias reales, pero no el derecho principalmente afectado.</t>
        </is>
      </c>
      <c r="O657" s="14" t="inlineStr">
        <is>
          <t>Constitución Política de 1991, art. 1; Ley 1751 de 2015</t>
        </is>
      </c>
      <c r="P657" s="14" t="inlineStr">
        <is>
          <t>SI</t>
        </is>
      </c>
      <c r="Q657" s="14" t="inlineStr">
        <is>
          <t>Alta</t>
        </is>
      </c>
      <c r="R657" s="14" t="inlineStr">
        <is>
          <t>v2</t>
        </is>
      </c>
    </row>
    <row r="658" ht="46.25" customHeight="1" s="12">
      <c r="A658" s="14" t="inlineStr">
        <is>
          <t>F0657</t>
        </is>
      </c>
      <c r="B658" s="14" t="inlineStr">
        <is>
          <t>PS 2782 de 2026 - ESE 2 - HUHMP Neiva</t>
        </is>
      </c>
      <c r="C658" s="14" t="inlineStr">
        <is>
          <t>Humanizacion y derechos del paciente</t>
        </is>
      </c>
      <c r="D658" s="14" t="inlineStr">
        <is>
          <t>Profesional</t>
        </is>
      </c>
      <c r="E658" s="14" t="inlineStr">
        <is>
          <t>C219</t>
        </is>
      </c>
      <c r="F658" s="14" t="inlineStr">
        <is>
          <t>Caso 219</t>
        </is>
      </c>
      <c r="G658" s="14" t="inlineStr">
        <is>
          <t>Una mujer de veintidós años ingresa con un aborto en curso. El médico de turno le dice delante de otros pacientes que «eso le pasa por descuidada» y demora la valoración cuarenta minutos. La paciente llora, pide ser atendida por otra persona y una auxiliar presencia todo desde el pasillo.</t>
        </is>
      </c>
      <c r="H658" s="14" t="inlineStr">
        <is>
          <t>Frente al profesional, la institución debe:</t>
        </is>
      </c>
      <c r="I658" s="14" t="inlineStr">
        <is>
          <t>Activar el proceso disciplinario que corresponda y una acción de mejora en el servicio</t>
        </is>
      </c>
      <c r="J658" s="14" t="inlineStr">
        <is>
          <t>Activar únicamente una capacitación en humanización dirigida a todo el equipo asistencial</t>
        </is>
      </c>
      <c r="K658" s="14" t="inlineStr">
        <is>
          <t>Activar el traslado del profesional a otro servicio mientras se aclara lo sucedido</t>
        </is>
      </c>
      <c r="L658" s="14" t="inlineStr">
        <is>
          <t>a</t>
        </is>
      </c>
      <c r="M658" s="14" t="inlineStr">
        <is>
          <t>La conducta individual se examina por la vía disciplinaria y el servicio adopta una acción de mejora: las dos cosas, no una en lugar de la otra.</t>
        </is>
      </c>
      <c r="N658" s="14" t="inlineStr">
        <is>
          <t>La opción b) diluye la responsabilidad individual y la opción c) mueve el problema de lugar.</t>
        </is>
      </c>
      <c r="O658" s="14" t="inlineStr">
        <is>
          <t>Ley 1952 de 2019; PAMEC, Decreto 780 de 2016</t>
        </is>
      </c>
      <c r="P658" s="14" t="inlineStr">
        <is>
          <t>SI</t>
        </is>
      </c>
      <c r="Q658" s="14" t="inlineStr">
        <is>
          <t>Alta</t>
        </is>
      </c>
      <c r="R658" s="14" t="inlineStr">
        <is>
          <t>v2</t>
        </is>
      </c>
    </row>
    <row r="659" ht="57.45" customHeight="1" s="12">
      <c r="A659" s="14" t="inlineStr">
        <is>
          <t>F0658</t>
        </is>
      </c>
      <c r="B659" s="14" t="inlineStr">
        <is>
          <t>PS 2782 de 2026 - ESE 2 - HUHMP Neiva</t>
        </is>
      </c>
      <c r="C659" s="14" t="inlineStr">
        <is>
          <t>Humanizacion y derechos del paciente</t>
        </is>
      </c>
      <c r="D659" s="14" t="inlineStr">
        <is>
          <t>Profesional</t>
        </is>
      </c>
      <c r="E659" s="14" t="inlineStr">
        <is>
          <t>C220</t>
        </is>
      </c>
      <c r="F659" s="14" t="inlineStr">
        <is>
          <t>Caso 220</t>
        </is>
      </c>
      <c r="G659" s="14" t="inlineStr">
        <is>
          <t>Un paciente de la comunidad nasa, hospitalizado hace cinco días, pide que su familia pueda hacerle un acompañamiento espiritual con plantas medicinales en la habitación. El jefe del servicio teme por la bioseguridad y por el ruido; la familia insiste y menciona que ya hablaron con el médico tratante.</t>
        </is>
      </c>
      <c r="H659" s="14" t="inlineStr">
        <is>
          <t>¿Cuál es la conducta institucional adecuada?</t>
        </is>
      </c>
      <c r="I659" s="14" t="inlineStr">
        <is>
          <t>Acordar con la familia un espacio y unas condiciones que hagan compatible la práctica con el servicio</t>
        </is>
      </c>
      <c r="J659" s="14" t="inlineStr">
        <is>
          <t>Autorizar la práctica en la habitación, dado que el médico tratante ya conoció la solicitud</t>
        </is>
      </c>
      <c r="K659" s="14" t="inlineStr">
        <is>
          <t>Negar la práctica dentro de la institución y ofrecer realizarla después del egreso del paciente</t>
        </is>
      </c>
      <c r="L659" s="14" t="inlineStr">
        <is>
          <t>a</t>
        </is>
      </c>
      <c r="M659" s="14" t="inlineStr">
        <is>
          <t>La aceptabilidad exige respetar las prácticas culturales del paciente, armonizándolas con las condiciones del servicio mediante un acuerdo concreto.</t>
        </is>
      </c>
      <c r="N659" s="14" t="inlineStr">
        <is>
          <t>La opción b) omite las condiciones que el servicio requiere y la opción c) niega un elemento del derecho por comodidad institucional.</t>
        </is>
      </c>
      <c r="O659" s="14" t="inlineStr">
        <is>
          <t>Ley 1751 de 2015, art. 6; Ley 691 de 2001</t>
        </is>
      </c>
      <c r="P659" s="14" t="inlineStr">
        <is>
          <t>SI</t>
        </is>
      </c>
      <c r="Q659" s="14" t="inlineStr">
        <is>
          <t>Media</t>
        </is>
      </c>
      <c r="R659" s="14" t="inlineStr">
        <is>
          <t>v2</t>
        </is>
      </c>
    </row>
    <row r="660" ht="57.45" customHeight="1" s="12">
      <c r="A660" s="14" t="inlineStr">
        <is>
          <t>F0659</t>
        </is>
      </c>
      <c r="B660" s="14" t="inlineStr">
        <is>
          <t>PS 2782 de 2026 - ESE 2 - HUHMP Neiva</t>
        </is>
      </c>
      <c r="C660" s="14" t="inlineStr">
        <is>
          <t>Humanizacion y derechos del paciente</t>
        </is>
      </c>
      <c r="D660" s="14" t="inlineStr">
        <is>
          <t>Profesional</t>
        </is>
      </c>
      <c r="E660" s="14" t="inlineStr">
        <is>
          <t>C220</t>
        </is>
      </c>
      <c r="F660" s="14" t="inlineStr">
        <is>
          <t>Caso 220</t>
        </is>
      </c>
      <c r="G660" s="14" t="inlineStr">
        <is>
          <t>Un paciente de la comunidad nasa, hospitalizado hace cinco días, pide que su familia pueda hacerle un acompañamiento espiritual con plantas medicinales en la habitación. El jefe del servicio teme por la bioseguridad y por el ruido; la familia insiste y menciona que ya hablaron con el médico tratante.</t>
        </is>
      </c>
      <c r="H660" s="14" t="inlineStr">
        <is>
          <t>El respeto por las prácticas culturales del paciente corresponde al elemento de:</t>
        </is>
      </c>
      <c r="I660" s="14" t="inlineStr">
        <is>
          <t>Aceptabilidad, que exige servicios respetuosos de la cultura de las personas</t>
        </is>
      </c>
      <c r="J660" s="14" t="inlineStr">
        <is>
          <t>Accesibilidad, que exige que los servicios estén al alcance de todas las personas</t>
        </is>
      </c>
      <c r="K660" s="14" t="inlineStr">
        <is>
          <t>Disponibilidad, que exige contar con servicios e instituciones suficientes</t>
        </is>
      </c>
      <c r="L660" s="14" t="inlineStr">
        <is>
          <t>a</t>
        </is>
      </c>
      <c r="M660" s="14" t="inlineStr">
        <is>
          <t>La aceptabilidad exige que los servicios sean respetuosos de la ética médica y de la diversidad cultural de las personas y las comunidades.</t>
        </is>
      </c>
      <c r="N660" s="14" t="inlineStr">
        <is>
          <t>Las opciones b) y c) corresponden a otros elementos esenciales del derecho.</t>
        </is>
      </c>
      <c r="O660" s="14" t="inlineStr">
        <is>
          <t>Ley 1751 de 2015, art. 6</t>
        </is>
      </c>
      <c r="P660" s="14" t="inlineStr">
        <is>
          <t>SI</t>
        </is>
      </c>
      <c r="Q660" s="14" t="inlineStr">
        <is>
          <t>Media</t>
        </is>
      </c>
      <c r="R660" s="14" t="inlineStr">
        <is>
          <t>v2</t>
        </is>
      </c>
    </row>
    <row r="661" ht="57.45" customHeight="1" s="12">
      <c r="A661" s="14" t="inlineStr">
        <is>
          <t>F0660</t>
        </is>
      </c>
      <c r="B661" s="14" t="inlineStr">
        <is>
          <t>PS 2782 de 2026 - ESE 2 - HUHMP Neiva</t>
        </is>
      </c>
      <c r="C661" s="14" t="inlineStr">
        <is>
          <t>Humanizacion y derechos del paciente</t>
        </is>
      </c>
      <c r="D661" s="14" t="inlineStr">
        <is>
          <t>Profesional</t>
        </is>
      </c>
      <c r="E661" s="14" t="inlineStr">
        <is>
          <t>C220</t>
        </is>
      </c>
      <c r="F661" s="14" t="inlineStr">
        <is>
          <t>Caso 220</t>
        </is>
      </c>
      <c r="G661" s="14" t="inlineStr">
        <is>
          <t>Un paciente de la comunidad nasa, hospitalizado hace cinco días, pide que su familia pueda hacerle un acompañamiento espiritual con plantas medicinales en la habitación. El jefe del servicio teme por la bioseguridad y por el ruido; la familia insiste y menciona que ya hablaron con el médico tratante.</t>
        </is>
      </c>
      <c r="H661" s="14" t="inlineStr">
        <is>
          <t>Si la práctica solicitada representara un riesgo clínico comprobado, corresponde:</t>
        </is>
      </c>
      <c r="I661" s="14" t="inlineStr">
        <is>
          <t>Explicar el riesgo, buscar una alternativa concertada y dejar la decisión documentada</t>
        </is>
      </c>
      <c r="J661" s="14" t="inlineStr">
        <is>
          <t>Prohibir la práctica y registrar la negativa en la historia clínica del paciente</t>
        </is>
      </c>
      <c r="K661" s="14" t="inlineStr">
        <is>
          <t>Consultar al comité de ética antes de dar cualquier respuesta a la familia</t>
        </is>
      </c>
      <c r="L661" s="14" t="inlineStr">
        <is>
          <t>a</t>
        </is>
      </c>
      <c r="M661" s="14" t="inlineStr">
        <is>
          <t>Se explica el riesgo y se busca una alternativa concertada con el paciente y su familia, dejando el acuerdo documentado.</t>
        </is>
      </c>
      <c r="N661" s="14" t="inlineStr">
        <is>
          <t>La opción b) cierra el diálogo y la opción c) aplaza una respuesta que el servicio puede construir.</t>
        </is>
      </c>
      <c r="O661" s="14" t="inlineStr">
        <is>
          <t>Ley 1751 de 2015; Ley 691 de 2001</t>
        </is>
      </c>
      <c r="P661" s="14" t="inlineStr">
        <is>
          <t>SI</t>
        </is>
      </c>
      <c r="Q661" s="14" t="inlineStr">
        <is>
          <t>Media</t>
        </is>
      </c>
      <c r="R661" s="14" t="inlineStr">
        <is>
          <t>v2</t>
        </is>
      </c>
    </row>
    <row r="662" ht="57.45" customHeight="1" s="12">
      <c r="A662" s="14" t="inlineStr">
        <is>
          <t>F0661</t>
        </is>
      </c>
      <c r="B662" s="14" t="inlineStr">
        <is>
          <t>PS 2782 de 2026 - ESE 2 - HUHMP Neiva</t>
        </is>
      </c>
      <c r="C662" s="14" t="inlineStr">
        <is>
          <t>Humanizacion y derechos del paciente</t>
        </is>
      </c>
      <c r="D662" s="14" t="inlineStr">
        <is>
          <t>Tecnico</t>
        </is>
      </c>
      <c r="E662" s="14" t="inlineStr">
        <is>
          <t>C221</t>
        </is>
      </c>
      <c r="F662" s="14" t="inlineStr">
        <is>
          <t>Caso 221</t>
        </is>
      </c>
      <c r="G662" s="14" t="inlineStr">
        <is>
          <t>En la unidad de cuidados intensivos, la política institucional permite una visita diaria de treinta minutos. La esposa de un paciente en estado crítico pide permanecer más tiempo porque él está desorientado y se calma cuando la escucha. La enfermera jefe dice que la norma es la norma y que no puede hacer excepciones.</t>
        </is>
      </c>
      <c r="H662" s="14" t="inlineStr">
        <is>
          <t>¿Cómo debe resolverse la solicitud?</t>
        </is>
      </c>
      <c r="I662" s="14" t="inlineStr">
        <is>
          <t>Valorar el beneficio clínico del acompañamiento y ajustar el horario según la condición del paciente</t>
        </is>
      </c>
      <c r="J662" s="14" t="inlineStr">
        <is>
          <t>Mantener el horario general y ofrecer a la esposa reportes telefónicos dos veces al día</t>
        </is>
      </c>
      <c r="K662" s="14" t="inlineStr">
        <is>
          <t>Autorizar la permanencia completa, dado que el acompañamiento es un derecho del paciente</t>
        </is>
      </c>
      <c r="L662" s="14" t="inlineStr">
        <is>
          <t>a</t>
        </is>
      </c>
      <c r="M662" s="14" t="inlineStr">
        <is>
          <t>La política de visitas admite ajustes cuando el acompañamiento tiene beneficio clínico; lo que corresponde es valorar el caso, no aplicar la regla de forma automática.</t>
        </is>
      </c>
      <c r="N662" s="14" t="inlineStr">
        <is>
          <t>La opción b) sustituye la presencia por información y la opción c) desconoce las condiciones propias de la unidad.</t>
        </is>
      </c>
      <c r="O662" s="14" t="inlineStr">
        <is>
          <t>Modelo de humanización, Minsalud; Ley 1751 de 2015, art. 10</t>
        </is>
      </c>
      <c r="P662" s="14" t="inlineStr">
        <is>
          <t>SI</t>
        </is>
      </c>
      <c r="Q662" s="14" t="inlineStr">
        <is>
          <t>Media</t>
        </is>
      </c>
      <c r="R662" s="14" t="inlineStr">
        <is>
          <t>v2</t>
        </is>
      </c>
    </row>
    <row r="663" ht="57.45" customHeight="1" s="12">
      <c r="A663" s="14" t="inlineStr">
        <is>
          <t>F0662</t>
        </is>
      </c>
      <c r="B663" s="14" t="inlineStr">
        <is>
          <t>PS 2782 de 2026 - ESE 2 - HUHMP Neiva</t>
        </is>
      </c>
      <c r="C663" s="14" t="inlineStr">
        <is>
          <t>Humanizacion y derechos del paciente</t>
        </is>
      </c>
      <c r="D663" s="14" t="inlineStr">
        <is>
          <t>Tecnico</t>
        </is>
      </c>
      <c r="E663" s="14" t="inlineStr">
        <is>
          <t>C221</t>
        </is>
      </c>
      <c r="F663" s="14" t="inlineStr">
        <is>
          <t>Caso 221</t>
        </is>
      </c>
      <c r="G663" s="14" t="inlineStr">
        <is>
          <t>En la unidad de cuidados intensivos, la política institucional permite una visita diaria de treinta minutos. La esposa de un paciente en estado crítico pide permanecer más tiempo porque él está desorientado y se calma cuando la escucha. La enfermera jefe dice que la norma es la norma y que no puede hacer excepciones.</t>
        </is>
      </c>
      <c r="H663" s="14" t="inlineStr">
        <is>
          <t>El acompañamiento familiar en unidades críticas, en general:</t>
        </is>
      </c>
      <c r="I663" s="14" t="inlineStr">
        <is>
          <t>Se facilita cuando aporta al cuidado, con las condiciones que el servicio defina</t>
        </is>
      </c>
      <c r="J663" s="14" t="inlineStr">
        <is>
          <t>Se restringe siempre, por el riesgo de infección asociado al ingreso de visitantes</t>
        </is>
      </c>
      <c r="K663" s="14" t="inlineStr">
        <is>
          <t>Se autoriza solo cuando el paciente está en fase terminal de su enfermedad</t>
        </is>
      </c>
      <c r="L663" s="14" t="inlineStr">
        <is>
          <t>a</t>
        </is>
      </c>
      <c r="M663" s="14" t="inlineStr">
        <is>
          <t>La evidencia respalda el acompañamiento como parte del cuidado, con las condiciones que cada servicio defina.</t>
        </is>
      </c>
      <c r="N663" s="14" t="inlineStr">
        <is>
          <t>La opción b) generaliza una restricción y la opción c) lo reserva para el final de la vida.</t>
        </is>
      </c>
      <c r="O663" s="14" t="inlineStr">
        <is>
          <t>Modelo de humanización, Minsalud</t>
        </is>
      </c>
      <c r="P663" s="14" t="inlineStr">
        <is>
          <t>SI</t>
        </is>
      </c>
      <c r="Q663" s="14" t="inlineStr">
        <is>
          <t>Media</t>
        </is>
      </c>
      <c r="R663" s="14" t="inlineStr">
        <is>
          <t>v2</t>
        </is>
      </c>
    </row>
    <row r="664" ht="57.45" customHeight="1" s="12">
      <c r="A664" s="14" t="inlineStr">
        <is>
          <t>F0663</t>
        </is>
      </c>
      <c r="B664" s="14" t="inlineStr">
        <is>
          <t>PS 2782 de 2026 - ESE 2 - HUHMP Neiva</t>
        </is>
      </c>
      <c r="C664" s="14" t="inlineStr">
        <is>
          <t>Humanizacion y derechos del paciente</t>
        </is>
      </c>
      <c r="D664" s="14" t="inlineStr">
        <is>
          <t>Tecnico</t>
        </is>
      </c>
      <c r="E664" s="14" t="inlineStr">
        <is>
          <t>C221</t>
        </is>
      </c>
      <c r="F664" s="14" t="inlineStr">
        <is>
          <t>Caso 221</t>
        </is>
      </c>
      <c r="G664" s="14" t="inlineStr">
        <is>
          <t>En la unidad de cuidados intensivos, la política institucional permite una visita diaria de treinta minutos. La esposa de un paciente en estado crítico pide permanecer más tiempo porque él está desorientado y se calma cuando la escucha. La enfermera jefe dice que la norma es la norma y que no puede hacer excepciones.</t>
        </is>
      </c>
      <c r="H664" s="14" t="inlineStr">
        <is>
          <t>Si la unidad decide ajustar el horario para este caso, debe:</t>
        </is>
      </c>
      <c r="I664" s="14" t="inlineStr">
        <is>
          <t>Dejar constancia del criterio clínico y comunicar la decisión al equipo del servicio</t>
        </is>
      </c>
      <c r="J664" s="14" t="inlineStr">
        <is>
          <t>Dejar constancia del compromiso de la familia de no interferir con los procedimientos</t>
        </is>
      </c>
      <c r="K664" s="14" t="inlineStr">
        <is>
          <t>Dejar constancia de la autorización verbal otorgada por el jefe del servicio ese día</t>
        </is>
      </c>
      <c r="L664" s="14" t="inlineStr">
        <is>
          <t>a</t>
        </is>
      </c>
      <c r="M664" s="14" t="inlineStr">
        <is>
          <t>La excepción se sustenta en un criterio clínico documentado y se comunica al equipo para que se aplique de manera consistente.</t>
        </is>
      </c>
      <c r="N664" s="14" t="inlineStr">
        <is>
          <t>Las opciones b) y c) documentan un compromiso o una autorización, pero no el fundamento de la decisión.</t>
        </is>
      </c>
      <c r="O664" s="14" t="inlineStr">
        <is>
          <t>Resolución 1995 de 1999; modelo de humanización</t>
        </is>
      </c>
      <c r="P664" s="14" t="inlineStr">
        <is>
          <t>SI</t>
        </is>
      </c>
      <c r="Q664" s="14" t="inlineStr">
        <is>
          <t>Media</t>
        </is>
      </c>
      <c r="R664" s="14" t="inlineStr">
        <is>
          <t>v2</t>
        </is>
      </c>
    </row>
    <row r="665" ht="57.45" customHeight="1" s="12">
      <c r="A665" s="14" t="inlineStr">
        <is>
          <t>F0664</t>
        </is>
      </c>
      <c r="B665" s="14" t="inlineStr">
        <is>
          <t>PS 2782 de 2026 - ESE 2 - HUHMP Neiva</t>
        </is>
      </c>
      <c r="C665" s="14" t="inlineStr">
        <is>
          <t>Humanizacion y derechos del paciente</t>
        </is>
      </c>
      <c r="D665" s="14" t="inlineStr">
        <is>
          <t>Profesional</t>
        </is>
      </c>
      <c r="E665" s="14" t="inlineStr">
        <is>
          <t>C222</t>
        </is>
      </c>
      <c r="F665" s="14" t="inlineStr">
        <is>
          <t>Caso 222</t>
        </is>
      </c>
      <c r="G665" s="14" t="inlineStr">
        <is>
          <t>Un paciente de setenta y nueve años, con demencia moderada, requiere una cirugía. Su hijo dice tener una sentencia de interdicción de hace diez años y pide firmar él el consentimiento. El paciente responde preguntas simples, reconoce dónde está y manifiesta que quiere «que le quiten el dolor».</t>
        </is>
      </c>
      <c r="H665" s="14" t="inlineStr">
        <is>
          <t>¿Cómo debe procederse con el consentimiento?</t>
        </is>
      </c>
      <c r="I665" s="14" t="inlineStr">
        <is>
          <t>Valorar su capacidad con apoyos y, si comprende, obtener su consentimiento informado</t>
        </is>
      </c>
      <c r="J665" s="14" t="inlineStr">
        <is>
          <t>Aceptar la firma del hijo, que aporta la sentencia de interdicción vigente del paciente</t>
        </is>
      </c>
      <c r="K665" s="14" t="inlineStr">
        <is>
          <t>Solicitar al juez que actualice la sentencia antes de programar el procedimiento quirúrgico</t>
        </is>
      </c>
      <c r="L665" s="14" t="inlineStr">
        <is>
          <t>a</t>
        </is>
      </c>
      <c r="M665" s="14" t="inlineStr">
        <is>
          <t>La ley presume la capacidad legal y eliminó la interdicción como figura: se brindan apoyos y, si la persona comprende, ella decide.</t>
        </is>
      </c>
      <c r="N665" s="14" t="inlineStr">
        <is>
          <t>La opción b) aplica una figura derogada y la opción c) traslada al juez una valoración que el equipo puede hacer con apoyos.</t>
        </is>
      </c>
      <c r="O665" s="14" t="inlineStr">
        <is>
          <t>Ley 1996 de 2019; Ley 1751 de 2015, art. 10</t>
        </is>
      </c>
      <c r="P665" s="14" t="inlineStr">
        <is>
          <t>SI</t>
        </is>
      </c>
      <c r="Q665" s="14" t="inlineStr">
        <is>
          <t>Alta</t>
        </is>
      </c>
      <c r="R665" s="14" t="inlineStr">
        <is>
          <t>v2</t>
        </is>
      </c>
    </row>
    <row r="666" ht="57.45" customHeight="1" s="12">
      <c r="A666" s="14" t="inlineStr">
        <is>
          <t>F0665</t>
        </is>
      </c>
      <c r="B666" s="14" t="inlineStr">
        <is>
          <t>PS 2782 de 2026 - ESE 2 - HUHMP Neiva</t>
        </is>
      </c>
      <c r="C666" s="14" t="inlineStr">
        <is>
          <t>Humanizacion y derechos del paciente</t>
        </is>
      </c>
      <c r="D666" s="14" t="inlineStr">
        <is>
          <t>Profesional</t>
        </is>
      </c>
      <c r="E666" s="14" t="inlineStr">
        <is>
          <t>C222</t>
        </is>
      </c>
      <c r="F666" s="14" t="inlineStr">
        <is>
          <t>Caso 222</t>
        </is>
      </c>
      <c r="G666" s="14" t="inlineStr">
        <is>
          <t>Un paciente de setenta y nueve años, con demencia moderada, requiere una cirugía. Su hijo dice tener una sentencia de interdicción de hace diez años y pide firmar él el consentimiento. El paciente responde preguntas simples, reconoce dónde está y manifiesta que quiere «que le quiten el dolor».</t>
        </is>
      </c>
      <c r="H666" s="14" t="inlineStr">
        <is>
          <t>Las sentencias de interdicción anteriores a la ley:</t>
        </is>
      </c>
      <c r="I666" s="14" t="inlineStr">
        <is>
          <t>Debían transitar al régimen de apoyos, de modo que no habilitan a decidir por la persona</t>
        </is>
      </c>
      <c r="J666" s="14" t="inlineStr">
        <is>
          <t>Conservan plena vigencia hasta que un juez las revoque a solicitud del interesado</t>
        </is>
      </c>
      <c r="K666" s="14" t="inlineStr">
        <is>
          <t>Se aplican solo para actos patrimoniales y no para decisiones sobre la salud</t>
        </is>
      </c>
      <c r="L666" s="14" t="inlineStr">
        <is>
          <t>a</t>
        </is>
      </c>
      <c r="M666" s="14" t="inlineStr">
        <is>
          <t>El régimen vigente ordenó la transición de las interdicciones al sistema de apoyos: la sentencia antigua no habilita a sustituir la voluntad.</t>
        </is>
      </c>
      <c r="N666" s="14" t="inlineStr">
        <is>
          <t>La opción b) prolonga indefinidamente la figura y la opción c) la divide por materias sin fundamento.</t>
        </is>
      </c>
      <c r="O666" s="14" t="inlineStr">
        <is>
          <t>Ley 1996 de 2019</t>
        </is>
      </c>
      <c r="P666" s="14" t="inlineStr">
        <is>
          <t>SI</t>
        </is>
      </c>
      <c r="Q666" s="14" t="inlineStr">
        <is>
          <t>Alta</t>
        </is>
      </c>
      <c r="R666" s="14" t="inlineStr">
        <is>
          <t>v2</t>
        </is>
      </c>
    </row>
    <row r="667" ht="57.45" customHeight="1" s="12">
      <c r="A667" s="14" t="inlineStr">
        <is>
          <t>F0666</t>
        </is>
      </c>
      <c r="B667" s="14" t="inlineStr">
        <is>
          <t>PS 2782 de 2026 - ESE 2 - HUHMP Neiva</t>
        </is>
      </c>
      <c r="C667" s="14" t="inlineStr">
        <is>
          <t>Humanizacion y derechos del paciente</t>
        </is>
      </c>
      <c r="D667" s="14" t="inlineStr">
        <is>
          <t>Profesional</t>
        </is>
      </c>
      <c r="E667" s="14" t="inlineStr">
        <is>
          <t>C222</t>
        </is>
      </c>
      <c r="F667" s="14" t="inlineStr">
        <is>
          <t>Caso 222</t>
        </is>
      </c>
      <c r="G667" s="14" t="inlineStr">
        <is>
          <t>Un paciente de setenta y nueve años, con demencia moderada, requiere una cirugía. Su hijo dice tener una sentencia de interdicción de hace diez años y pide firmar él el consentimiento. El paciente responde preguntas simples, reconoce dónde está y manifiesta que quiere «que le quiten el dolor».</t>
        </is>
      </c>
      <c r="H667" s="14" t="inlineStr">
        <is>
          <t>Si el paciente no logra comprender la información pese a los apoyos, corresponde:</t>
        </is>
      </c>
      <c r="I667" s="14" t="inlineStr">
        <is>
          <t>Acudir a la figura de apoyos prevista en la ley para adoptar la decisión que lo beneficie</t>
        </is>
      </c>
      <c r="J667" s="14" t="inlineStr">
        <is>
          <t>Acudir al familiar más cercano, que decide conforme al mejor interés del paciente</t>
        </is>
      </c>
      <c r="K667" s="14" t="inlineStr">
        <is>
          <t>Acudir al comité de ética, que autoriza el procedimiento mediante acta motivada</t>
        </is>
      </c>
      <c r="L667" s="14" t="inlineStr">
        <is>
          <t>a</t>
        </is>
      </c>
      <c r="M667" s="14" t="inlineStr">
        <is>
          <t>Cuando la persona no puede manifestar su voluntad ni con apoyos, se activan las figuras que la propia ley prevé para esos casos.</t>
        </is>
      </c>
      <c r="N667" s="14" t="inlineStr">
        <is>
          <t>Las opciones b) y c) sustituyen la voluntad por la de un tercero o por una decisión institucional.</t>
        </is>
      </c>
      <c r="O667" s="14" t="inlineStr">
        <is>
          <t>Ley 1996 de 2019</t>
        </is>
      </c>
      <c r="P667" s="14" t="inlineStr">
        <is>
          <t>SI</t>
        </is>
      </c>
      <c r="Q667" s="14" t="inlineStr">
        <is>
          <t>Alta</t>
        </is>
      </c>
      <c r="R667" s="14" t="inlineStr">
        <is>
          <t>v2</t>
        </is>
      </c>
    </row>
    <row r="668" ht="57.45" customHeight="1" s="12">
      <c r="A668" s="14" t="inlineStr">
        <is>
          <t>F0667</t>
        </is>
      </c>
      <c r="B668" s="14" t="inlineStr">
        <is>
          <t>PS 2782 de 2026 - ESE 2 - HUHMP Neiva</t>
        </is>
      </c>
      <c r="C668" s="14" t="inlineStr">
        <is>
          <t>Urgencias</t>
        </is>
      </c>
      <c r="D668" s="14" t="inlineStr">
        <is>
          <t>Profesional</t>
        </is>
      </c>
      <c r="E668" s="14" t="inlineStr">
        <is>
          <t>C223</t>
        </is>
      </c>
      <c r="F668" s="14" t="inlineStr">
        <is>
          <t>Caso 223</t>
        </is>
      </c>
      <c r="G668" s="14" t="inlineStr">
        <is>
          <t>A las 02:10 ingresa un hombre de cincuenta y cinco años con dolor torácico opresivo de treinta minutos. El electrocardiograma se toma a las 02:40 y muestra elevación del segmento ST. El hospital no tiene hemodinamia y el centro con capacidad está a cuarenta minutos. El médico duda entre trombolizar o remitir.</t>
        </is>
      </c>
      <c r="H668" s="14" t="inlineStr">
        <is>
          <t>¿Qué debe ocurrir primero en ese servicio?</t>
        </is>
      </c>
      <c r="I668" s="14" t="inlineStr">
        <is>
          <t>Iniciar el manejo definido en la ruta para infarto y activar en paralelo la remisión</t>
        </is>
      </c>
      <c r="J668" s="14" t="inlineStr">
        <is>
          <t>Iniciar la remisión y trasladar al paciente para que el manejo se defina en el centro receptor</t>
        </is>
      </c>
      <c r="K668" s="14" t="inlineStr">
        <is>
          <t>Iniciar el manejo y esperar la aceptación del receptor antes de administrar cualquier terapia</t>
        </is>
      </c>
      <c r="L668" s="14" t="inlineStr">
        <is>
          <t>a</t>
        </is>
      </c>
      <c r="M668" s="14" t="inlineStr">
        <is>
          <t>En el infarto con elevación del ST el tiempo define el pronóstico: se inicia el manejo según la ruta y la gestión del traslado corre en paralelo.</t>
        </is>
      </c>
      <c r="N668" s="14" t="inlineStr">
        <is>
          <t>La opción b) difiere el tratamiento al traslado y la opción c) condiciona la terapia a un trámite administrativo.</t>
        </is>
      </c>
      <c r="O668" s="14" t="inlineStr">
        <is>
          <t>Resolución 3280 de 2018; Ley 1751 de 2015, art. 14</t>
        </is>
      </c>
      <c r="P668" s="14" t="inlineStr">
        <is>
          <t>SI</t>
        </is>
      </c>
      <c r="Q668" s="14" t="inlineStr">
        <is>
          <t>Alta</t>
        </is>
      </c>
      <c r="R668" s="14" t="inlineStr">
        <is>
          <t>v2</t>
        </is>
      </c>
    </row>
    <row r="669" ht="57.45" customHeight="1" s="12">
      <c r="A669" s="14" t="inlineStr">
        <is>
          <t>F0668</t>
        </is>
      </c>
      <c r="B669" s="14" t="inlineStr">
        <is>
          <t>PS 2782 de 2026 - ESE 2 - HUHMP Neiva</t>
        </is>
      </c>
      <c r="C669" s="14" t="inlineStr">
        <is>
          <t>Urgencias</t>
        </is>
      </c>
      <c r="D669" s="14" t="inlineStr">
        <is>
          <t>Profesional</t>
        </is>
      </c>
      <c r="E669" s="14" t="inlineStr">
        <is>
          <t>C223</t>
        </is>
      </c>
      <c r="F669" s="14" t="inlineStr">
        <is>
          <t>Caso 223</t>
        </is>
      </c>
      <c r="G669" s="14" t="inlineStr">
        <is>
          <t>A las 02:10 ingresa un hombre de cincuenta y cinco años con dolor torácico opresivo de treinta minutos. El electrocardiograma se toma a las 02:40 y muestra elevación del segmento ST. El hospital no tiene hemodinamia y el centro con capacidad está a cuarenta minutos. El médico duda entre trombolizar o remitir.</t>
        </is>
      </c>
      <c r="H669" s="14" t="inlineStr">
        <is>
          <t>La demora de treinta minutos en tomar el electrocardiograma:</t>
        </is>
      </c>
      <c r="I669" s="14" t="inlineStr">
        <is>
          <t>Es un hallazgo que debe analizarse, porque el estándar exige realizarlo en los primeros diez minutos</t>
        </is>
      </c>
      <c r="J669" s="14" t="inlineStr">
        <is>
          <t>Es aceptable, dado que el servicio atendía otras urgencias de mayor complejidad esa noche</t>
        </is>
      </c>
      <c r="K669" s="14" t="inlineStr">
        <is>
          <t>Es irrelevante, porque el diagnóstico finalmente se hizo y el paciente recibió manejo</t>
        </is>
      </c>
      <c r="L669" s="14" t="inlineStr">
        <is>
          <t>a</t>
        </is>
      </c>
      <c r="M669" s="14" t="inlineStr">
        <is>
          <t>El estándar es realizar el electrocardiograma dentro de los primeros diez minutos del ingreso; superarlo es un hallazgo que debe analizarse.</t>
        </is>
      </c>
      <c r="N669" s="14" t="inlineStr">
        <is>
          <t>Las opciones b) y c) justifican la demora por la carga del servicio o por el desenlace.</t>
        </is>
      </c>
      <c r="O669" s="14" t="inlineStr">
        <is>
          <t>Guías de práctica clínica; Resolución 3280 de 2018</t>
        </is>
      </c>
      <c r="P669" s="14" t="inlineStr">
        <is>
          <t>SI</t>
        </is>
      </c>
      <c r="Q669" s="14" t="inlineStr">
        <is>
          <t>Alta</t>
        </is>
      </c>
      <c r="R669" s="14" t="inlineStr">
        <is>
          <t>v2</t>
        </is>
      </c>
    </row>
    <row r="670" ht="57.45" customHeight="1" s="12">
      <c r="A670" s="14" t="inlineStr">
        <is>
          <t>F0669</t>
        </is>
      </c>
      <c r="B670" s="14" t="inlineStr">
        <is>
          <t>PS 2782 de 2026 - ESE 2 - HUHMP Neiva</t>
        </is>
      </c>
      <c r="C670" s="14" t="inlineStr">
        <is>
          <t>Urgencias</t>
        </is>
      </c>
      <c r="D670" s="14" t="inlineStr">
        <is>
          <t>Profesional</t>
        </is>
      </c>
      <c r="E670" s="14" t="inlineStr">
        <is>
          <t>C223</t>
        </is>
      </c>
      <c r="F670" s="14" t="inlineStr">
        <is>
          <t>Caso 223</t>
        </is>
      </c>
      <c r="G670" s="14" t="inlineStr">
        <is>
          <t>A las 02:10 ingresa un hombre de cincuenta y cinco años con dolor torácico opresivo de treinta minutos. El electrocardiograma se toma a las 02:40 y muestra elevación del segmento ST. El hospital no tiene hemodinamia y el centro con capacidad está a cuarenta minutos. El médico duda entre trombolizar o remitir.</t>
        </is>
      </c>
      <c r="H670" s="14" t="inlineStr">
        <is>
          <t>Si durante el traslado el paciente se deteriora, la responsabilidad:</t>
        </is>
      </c>
      <c r="I670" s="14" t="inlineStr">
        <is>
          <t>Recae en quien ejecuta el traslado, que debe contar con la capacidad resolutiva del caso</t>
        </is>
      </c>
      <c r="J670" s="14" t="inlineStr">
        <is>
          <t>Recae en el hospital remitente, que decidió trasladar en lugar de manejarlo en su sede</t>
        </is>
      </c>
      <c r="K670" s="14" t="inlineStr">
        <is>
          <t>Recae en el centro receptor, que aceptó al paciente en esas condiciones clínicas</t>
        </is>
      </c>
      <c r="L670" s="14" t="inlineStr">
        <is>
          <t>a</t>
        </is>
      </c>
      <c r="M670" s="14" t="inlineStr">
        <is>
          <t>Durante el traslado la responsabilidad es de quien lo ejecuta, que debe disponer de la modalidad y la capacidad que el paciente requiere.</t>
        </is>
      </c>
      <c r="N670" s="14" t="inlineStr">
        <is>
          <t>Las opciones b) y c) desplazan la responsabilidad a momentos distintos del trayecto.</t>
        </is>
      </c>
      <c r="O670" s="14" t="inlineStr">
        <is>
          <t>Decreto 780 de 2016</t>
        </is>
      </c>
      <c r="P670" s="14" t="inlineStr">
        <is>
          <t>SI</t>
        </is>
      </c>
      <c r="Q670" s="14" t="inlineStr">
        <is>
          <t>Alta</t>
        </is>
      </c>
      <c r="R670" s="14" t="inlineStr">
        <is>
          <t>v2</t>
        </is>
      </c>
    </row>
    <row r="671" ht="57.45" customHeight="1" s="12">
      <c r="A671" s="14" t="inlineStr">
        <is>
          <t>F0670</t>
        </is>
      </c>
      <c r="B671" s="14" t="inlineStr">
        <is>
          <t>PS 2782 de 2026 - ESE 2 - HUHMP Neiva</t>
        </is>
      </c>
      <c r="C671" s="14" t="inlineStr">
        <is>
          <t>Urgencias</t>
        </is>
      </c>
      <c r="D671" s="14" t="inlineStr">
        <is>
          <t>Profesional</t>
        </is>
      </c>
      <c r="E671" s="14" t="inlineStr">
        <is>
          <t>C224</t>
        </is>
      </c>
      <c r="F671" s="14" t="inlineStr">
        <is>
          <t>Caso 224</t>
        </is>
      </c>
      <c r="G671" s="14" t="inlineStr">
        <is>
          <t>Llegan a urgencias catorce personas heridas en un accidente de bus. El servicio tiene cuatro camillas libres y dos médicos. El coordinador administrativo pide que se atienda primero a un concejal del municipio que viene entre los heridos y que llegó con dos acompañantes exigiendo atención inmediata.</t>
        </is>
      </c>
      <c r="H671" s="14" t="inlineStr">
        <is>
          <t>¿Cómo debe organizarse la atención?</t>
        </is>
      </c>
      <c r="I671" s="14" t="inlineStr">
        <is>
          <t>Clasificar a todos según gravedad y capacidad de beneficio, con el recurso disponible</t>
        </is>
      </c>
      <c r="J671" s="14" t="inlineStr">
        <is>
          <t>Clasificar a todos y atender primero a quienes lleguen acompañados por sus familiares</t>
        </is>
      </c>
      <c r="K671" s="14" t="inlineStr">
        <is>
          <t>Clasificar a todos y atender en el orden en que fueron ingresando al servicio de urgencias</t>
        </is>
      </c>
      <c r="L671" s="14" t="inlineStr">
        <is>
          <t>a</t>
        </is>
      </c>
      <c r="M671" s="14" t="inlineStr">
        <is>
          <t>En situaciones con múltiples víctimas la priorización se hace por gravedad y posibilidad de beneficio con los recursos disponibles.</t>
        </is>
      </c>
      <c r="N671" s="14" t="inlineStr">
        <is>
          <t>Las opciones b) y c) sustituyen el criterio clínico por el acompañamiento o el orden de llegada.</t>
        </is>
      </c>
      <c r="O671" s="14" t="inlineStr">
        <is>
          <t>Resolución 5596 de 2015; guías de atención prehospitalaria</t>
        </is>
      </c>
      <c r="P671" s="14" t="inlineStr">
        <is>
          <t>SI</t>
        </is>
      </c>
      <c r="Q671" s="14" t="inlineStr">
        <is>
          <t>Media</t>
        </is>
      </c>
      <c r="R671" s="14" t="inlineStr">
        <is>
          <t>v2</t>
        </is>
      </c>
    </row>
    <row r="672" ht="57.45" customHeight="1" s="12">
      <c r="A672" s="14" t="inlineStr">
        <is>
          <t>F0671</t>
        </is>
      </c>
      <c r="B672" s="14" t="inlineStr">
        <is>
          <t>PS 2782 de 2026 - ESE 2 - HUHMP Neiva</t>
        </is>
      </c>
      <c r="C672" s="14" t="inlineStr">
        <is>
          <t>Urgencias</t>
        </is>
      </c>
      <c r="D672" s="14" t="inlineStr">
        <is>
          <t>Profesional</t>
        </is>
      </c>
      <c r="E672" s="14" t="inlineStr">
        <is>
          <t>C224</t>
        </is>
      </c>
      <c r="F672" s="14" t="inlineStr">
        <is>
          <t>Caso 224</t>
        </is>
      </c>
      <c r="G672" s="14" t="inlineStr">
        <is>
          <t>Llegan a urgencias catorce personas heridas en un accidente de bus. El servicio tiene cuatro camillas libres y dos médicos. El coordinador administrativo pide que se atienda primero a un concejal del municipio que viene entre los heridos y que llegó con dos acompañantes exigiendo atención inmediata.</t>
        </is>
      </c>
      <c r="H672" s="14" t="inlineStr">
        <is>
          <t>Frente a la solicitud del coordinador administrativo:</t>
        </is>
      </c>
      <c r="I672" s="14" t="inlineStr">
        <is>
          <t>Explicar que la priorización es clínica y dejar registro de la clasificación de cada paciente</t>
        </is>
      </c>
      <c r="J672" s="14" t="inlineStr">
        <is>
          <t>Atender la solicitud para evitar un conflicto y registrar el motivo de esa priorización</t>
        </is>
      </c>
      <c r="K672" s="14" t="inlineStr">
        <is>
          <t>Remitir al concejal a otra institución para evitar cualquier suspicacia sobre el manejo</t>
        </is>
      </c>
      <c r="L672" s="14" t="inlineStr">
        <is>
          <t>a</t>
        </is>
      </c>
      <c r="M672" s="14" t="inlineStr">
        <is>
          <t>La priorización clínica no admite excepciones por la posición de la persona; lo que corresponde es explicarlo y dejar constancia de la clasificación.</t>
        </is>
      </c>
      <c r="N672" s="14" t="inlineStr">
        <is>
          <t>La opción b) cede a una presión indebida y la opción c) traslada a otro prestador a un paciente que debe ser clasificado allí.</t>
        </is>
      </c>
      <c r="O672" s="14" t="inlineStr">
        <is>
          <t>Constitución Política de 1991, art. 13; Resolución 5596 de 2015</t>
        </is>
      </c>
      <c r="P672" s="14" t="inlineStr">
        <is>
          <t>SI</t>
        </is>
      </c>
      <c r="Q672" s="14" t="inlineStr">
        <is>
          <t>Media</t>
        </is>
      </c>
      <c r="R672" s="14" t="inlineStr">
        <is>
          <t>v2</t>
        </is>
      </c>
    </row>
    <row r="673" ht="57.45" customHeight="1" s="12">
      <c r="A673" s="14" t="inlineStr">
        <is>
          <t>F0672</t>
        </is>
      </c>
      <c r="B673" s="14" t="inlineStr">
        <is>
          <t>PS 2782 de 2026 - ESE 2 - HUHMP Neiva</t>
        </is>
      </c>
      <c r="C673" s="14" t="inlineStr">
        <is>
          <t>Urgencias</t>
        </is>
      </c>
      <c r="D673" s="14" t="inlineStr">
        <is>
          <t>Profesional</t>
        </is>
      </c>
      <c r="E673" s="14" t="inlineStr">
        <is>
          <t>C224</t>
        </is>
      </c>
      <c r="F673" s="14" t="inlineStr">
        <is>
          <t>Caso 224</t>
        </is>
      </c>
      <c r="G673" s="14" t="inlineStr">
        <is>
          <t>Llegan a urgencias catorce personas heridas en un accidente de bus. El servicio tiene cuatro camillas libres y dos médicos. El coordinador administrativo pide que se atienda primero a un concejal del municipio que viene entre los heridos y que llegó con dos acompañantes exigiendo atención inmediata.</t>
        </is>
      </c>
      <c r="H673" s="14" t="inlineStr">
        <is>
          <t>La activación del plan hospitalario de emergencias, en este caso:</t>
        </is>
      </c>
      <c r="I673" s="14" t="inlineStr">
        <is>
          <t>Corresponde a la instancia definida en el plan, con la cadena de mando allí prevista</t>
        </is>
      </c>
      <c r="J673" s="14" t="inlineStr">
        <is>
          <t>Corresponde al gerente, que debe autorizarla desde donde se encuentre en el momento</t>
        </is>
      </c>
      <c r="K673" s="14" t="inlineStr">
        <is>
          <t>Corresponde a la autoridad municipal de gestión del riesgo que atiende el accidente</t>
        </is>
      </c>
      <c r="L673" s="14" t="inlineStr">
        <is>
          <t>a</t>
        </is>
      </c>
      <c r="M673" s="14" t="inlineStr">
        <is>
          <t>El plan define quién lo activa y la cadena de mando, precisamente para no depender de la disponibilidad de una persona.</t>
        </is>
      </c>
      <c r="N673" s="14" t="inlineStr">
        <is>
          <t>Las opciones b) y c) condicionan la respuesta a una autorización externa o remota.</t>
        </is>
      </c>
      <c r="O673" s="14" t="inlineStr">
        <is>
          <t>Ley 1523 de 2012; Resolución 3100 de 2019</t>
        </is>
      </c>
      <c r="P673" s="14" t="inlineStr">
        <is>
          <t>SI</t>
        </is>
      </c>
      <c r="Q673" s="14" t="inlineStr">
        <is>
          <t>Media</t>
        </is>
      </c>
      <c r="R673" s="14" t="inlineStr">
        <is>
          <t>v2</t>
        </is>
      </c>
    </row>
    <row r="674" ht="46.25" customHeight="1" s="12">
      <c r="A674" s="14" t="inlineStr">
        <is>
          <t>F0673</t>
        </is>
      </c>
      <c r="B674" s="14" t="inlineStr">
        <is>
          <t>PS 2782 de 2026 - ESE 2 - HUHMP Neiva</t>
        </is>
      </c>
      <c r="C674" s="14" t="inlineStr">
        <is>
          <t>Urgencias</t>
        </is>
      </c>
      <c r="D674" s="14" t="inlineStr">
        <is>
          <t>Tecnico</t>
        </is>
      </c>
      <c r="E674" s="14" t="inlineStr">
        <is>
          <t>C225</t>
        </is>
      </c>
      <c r="F674" s="14" t="inlineStr">
        <is>
          <t>Caso 225</t>
        </is>
      </c>
      <c r="G674" s="14" t="inlineStr">
        <is>
          <t>Un adolescente de dieciséis años llega solo a urgencias a las 21:00 con dolor abdominal intenso. No trae documento y pide que no llamen a sus padres porque «se van a molestar». El auxiliar de admisiones no sabe si puede registrarlo ni si debe llamar a la familia antes de que lo valoren.</t>
        </is>
      </c>
      <c r="H674" s="14" t="inlineStr">
        <is>
          <t>¿Qué debe hacerse en ese momento?</t>
        </is>
      </c>
      <c r="I674" s="14" t="inlineStr">
        <is>
          <t>Registrarlo y pasarlo a valoración de inmediato, gestionando en paralelo el contacto familiar</t>
        </is>
      </c>
      <c r="J674" s="14" t="inlineStr">
        <is>
          <t>Registrarlo y esperar a que llegue un adulto responsable antes de la valoración médica</t>
        </is>
      </c>
      <c r="K674" s="14" t="inlineStr">
        <is>
          <t>Registrarlo y llamar de inmediato a la línea de protección para reportar el caso del menor</t>
        </is>
      </c>
      <c r="L674" s="14" t="inlineStr">
        <is>
          <t>a</t>
        </is>
      </c>
      <c r="M674" s="14" t="inlineStr">
        <is>
          <t>La atención de urgencias de un menor no puede condicionarse a la presencia de un adulto; el contacto familiar se gestiona en paralelo.</t>
        </is>
      </c>
      <c r="N674" s="14" t="inlineStr">
        <is>
          <t>La opción b) aplaza la valoración y la opción c) activa una ruta de protección sin que existan aún indicios que la justifiquen.</t>
        </is>
      </c>
      <c r="O674" s="14" t="inlineStr">
        <is>
          <t>Ley 1098 de 2006; Ley 1751 de 2015, art. 14</t>
        </is>
      </c>
      <c r="P674" s="14" t="inlineStr">
        <is>
          <t>SI</t>
        </is>
      </c>
      <c r="Q674" s="14" t="inlineStr">
        <is>
          <t>Media</t>
        </is>
      </c>
      <c r="R674" s="14" t="inlineStr">
        <is>
          <t>v2</t>
        </is>
      </c>
    </row>
    <row r="675" ht="46.25" customHeight="1" s="12">
      <c r="A675" s="14" t="inlineStr">
        <is>
          <t>F0674</t>
        </is>
      </c>
      <c r="B675" s="14" t="inlineStr">
        <is>
          <t>PS 2782 de 2026 - ESE 2 - HUHMP Neiva</t>
        </is>
      </c>
      <c r="C675" s="14" t="inlineStr">
        <is>
          <t>Urgencias</t>
        </is>
      </c>
      <c r="D675" s="14" t="inlineStr">
        <is>
          <t>Tecnico</t>
        </is>
      </c>
      <c r="E675" s="14" t="inlineStr">
        <is>
          <t>C225</t>
        </is>
      </c>
      <c r="F675" s="14" t="inlineStr">
        <is>
          <t>Caso 225</t>
        </is>
      </c>
      <c r="G675" s="14" t="inlineStr">
        <is>
          <t>Un adolescente de dieciséis años llega solo a urgencias a las 21:00 con dolor abdominal intenso. No trae documento y pide que no llamen a sus padres porque «se van a molestar». El auxiliar de admisiones no sabe si puede registrarlo ni si debe llamar a la familia antes de que lo valoren.</t>
        </is>
      </c>
      <c r="H675" s="14" t="inlineStr">
        <is>
          <t>La falta de documento de identidad del adolescente:</t>
        </is>
      </c>
      <c r="I675" s="14" t="inlineStr">
        <is>
          <t>No impide la atención; la identificación se gestiona durante o después de la valoración</t>
        </is>
      </c>
      <c r="J675" s="14" t="inlineStr">
        <is>
          <t>Impide el registro en el sistema y obliga a atenderlo como paciente no identificado</t>
        </is>
      </c>
      <c r="K675" s="14" t="inlineStr">
        <is>
          <t>Obliga a solicitar la presencia de la autoridad de policía para verificar su identidad</t>
        </is>
      </c>
      <c r="L675" s="14" t="inlineStr">
        <is>
          <t>a</t>
        </is>
      </c>
      <c r="M675" s="14" t="inlineStr">
        <is>
          <t>La identificación es un trámite administrativo que no condiciona la atención de urgencias.</t>
        </is>
      </c>
      <c r="N675" s="14" t="inlineStr">
        <is>
          <t>La opción b) confunde una dificultad de registro con un impedimento y la opción c) involucra a una autoridad innecesaria.</t>
        </is>
      </c>
      <c r="O675" s="14" t="inlineStr">
        <is>
          <t>Ley 1751 de 2015, art. 14; Decreto 780 de 2016</t>
        </is>
      </c>
      <c r="P675" s="14" t="inlineStr">
        <is>
          <t>SI</t>
        </is>
      </c>
      <c r="Q675" s="14" t="inlineStr">
        <is>
          <t>Media</t>
        </is>
      </c>
      <c r="R675" s="14" t="inlineStr">
        <is>
          <t>v2</t>
        </is>
      </c>
    </row>
    <row r="676" ht="46.25" customHeight="1" s="12">
      <c r="A676" s="14" t="inlineStr">
        <is>
          <t>F0675</t>
        </is>
      </c>
      <c r="B676" s="14" t="inlineStr">
        <is>
          <t>PS 2782 de 2026 - ESE 2 - HUHMP Neiva</t>
        </is>
      </c>
      <c r="C676" s="14" t="inlineStr">
        <is>
          <t>Urgencias</t>
        </is>
      </c>
      <c r="D676" s="14" t="inlineStr">
        <is>
          <t>Tecnico</t>
        </is>
      </c>
      <c r="E676" s="14" t="inlineStr">
        <is>
          <t>C225</t>
        </is>
      </c>
      <c r="F676" s="14" t="inlineStr">
        <is>
          <t>Caso 225</t>
        </is>
      </c>
      <c r="G676" s="14" t="inlineStr">
        <is>
          <t>Un adolescente de dieciséis años llega solo a urgencias a las 21:00 con dolor abdominal intenso. No trae documento y pide que no llamen a sus padres porque «se van a molestar». El auxiliar de admisiones no sabe si puede registrarlo ni si debe llamar a la familia antes de que lo valoren.</t>
        </is>
      </c>
      <c r="H676" s="14" t="inlineStr">
        <is>
          <t>Si durante la valoración surgen indicios de violencia intrafamiliar, corresponde:</t>
        </is>
      </c>
      <c r="I676" s="14" t="inlineStr">
        <is>
          <t>Activar la ruta de protección ante la autoridad competente y registrar los hallazgos</t>
        </is>
      </c>
      <c r="J676" s="14" t="inlineStr">
        <is>
          <t>Informar a los padres los hallazgos y dejar constancia de esa comunicación</t>
        </is>
      </c>
      <c r="K676" s="14" t="inlineStr">
        <is>
          <t>Esperar a que el adolescente lo manifieste de manera expresa ante el equipo tratante</t>
        </is>
      </c>
      <c r="L676" s="14" t="inlineStr">
        <is>
          <t>a</t>
        </is>
      </c>
      <c r="M676" s="14" t="inlineStr">
        <is>
          <t>Ante indicios de vulneración de derechos de un menor se activa la ruta de protección y se registran los hallazgos.</t>
        </is>
      </c>
      <c r="N676" s="14" t="inlineStr">
        <is>
          <t>La opción b) informa a quienes podrían estar implicados y la opción c) condiciona la actuación a una manifestación del menor.</t>
        </is>
      </c>
      <c r="O676" s="14" t="inlineStr">
        <is>
          <t>Ley 1098 de 2006</t>
        </is>
      </c>
      <c r="P676" s="14" t="inlineStr">
        <is>
          <t>SI</t>
        </is>
      </c>
      <c r="Q676" s="14" t="inlineStr">
        <is>
          <t>Media</t>
        </is>
      </c>
      <c r="R676" s="14" t="inlineStr">
        <is>
          <t>v2</t>
        </is>
      </c>
    </row>
    <row r="677" ht="57.45" customHeight="1" s="12">
      <c r="A677" s="14" t="inlineStr">
        <is>
          <t>F0676</t>
        </is>
      </c>
      <c r="B677" s="14" t="inlineStr">
        <is>
          <t>PS 2782 de 2026 - ESE 2 - HUHMP Neiva</t>
        </is>
      </c>
      <c r="C677" s="14" t="inlineStr">
        <is>
          <t>Urgencias</t>
        </is>
      </c>
      <c r="D677" s="14" t="inlineStr">
        <is>
          <t>Profesional</t>
        </is>
      </c>
      <c r="E677" s="14" t="inlineStr">
        <is>
          <t>C226</t>
        </is>
      </c>
      <c r="F677" s="14" t="inlineStr">
        <is>
          <t>Caso 226</t>
        </is>
      </c>
      <c r="G677" s="14" t="inlineStr">
        <is>
          <t>Una paciente con enfermedad terminal y voluntad anticipada registrada en su historia clínica, en la que rechaza medidas de soporte vital avanzado, llega a urgencias con deterioro respiratorio. La familia exige que se le intube y amenaza con tutela. El médico de turno no encontró el documento en el primer momento.</t>
        </is>
      </c>
      <c r="H677" s="14" t="inlineStr">
        <is>
          <t>¿Qué debe hacer el equipo de urgencias?</t>
        </is>
      </c>
      <c r="I677" s="14" t="inlineStr">
        <is>
          <t>Verificar la voluntad anticipada en la historia clínica y respetarla, informando a la familia</t>
        </is>
      </c>
      <c r="J677" s="14" t="inlineStr">
        <is>
          <t>Intubar a la paciente y suspender el soporte cuando se confirme el documento registrado</t>
        </is>
      </c>
      <c r="K677" s="14" t="inlineStr">
        <is>
          <t>Intubar a la paciente, dado que la familia asume la responsabilidad de esa decisión</t>
        </is>
      </c>
      <c r="L677" s="14" t="inlineStr">
        <is>
          <t>a</t>
        </is>
      </c>
      <c r="M677" s="14" t="inlineStr">
        <is>
          <t>La voluntad anticipada, válidamente manifestada, obliga al equipo; la familia recibe información, pero no sustituye la decisión de la paciente.</t>
        </is>
      </c>
      <c r="N677" s="14" t="inlineStr">
        <is>
          <t>La opción b) inicia una medida que la paciente rechazó y la opción c) traslada a la familia una decisión que no le corresponde.</t>
        </is>
      </c>
      <c r="O677" s="14" t="inlineStr">
        <is>
          <t>Ley 1733 de 2014; Resolución 971 de 2021</t>
        </is>
      </c>
      <c r="P677" s="14" t="inlineStr">
        <is>
          <t>SI</t>
        </is>
      </c>
      <c r="Q677" s="14" t="inlineStr">
        <is>
          <t>Alta</t>
        </is>
      </c>
      <c r="R677" s="14" t="inlineStr">
        <is>
          <t>v2</t>
        </is>
      </c>
    </row>
    <row r="678" ht="57.45" customHeight="1" s="12">
      <c r="A678" s="14" t="inlineStr">
        <is>
          <t>F0677</t>
        </is>
      </c>
      <c r="B678" s="14" t="inlineStr">
        <is>
          <t>PS 2782 de 2026 - ESE 2 - HUHMP Neiva</t>
        </is>
      </c>
      <c r="C678" s="14" t="inlineStr">
        <is>
          <t>Urgencias</t>
        </is>
      </c>
      <c r="D678" s="14" t="inlineStr">
        <is>
          <t>Profesional</t>
        </is>
      </c>
      <c r="E678" s="14" t="inlineStr">
        <is>
          <t>C226</t>
        </is>
      </c>
      <c r="F678" s="14" t="inlineStr">
        <is>
          <t>Caso 226</t>
        </is>
      </c>
      <c r="G678" s="14" t="inlineStr">
        <is>
          <t>Una paciente con enfermedad terminal y voluntad anticipada registrada en su historia clínica, en la que rechaza medidas de soporte vital avanzado, llega a urgencias con deterioro respiratorio. La familia exige que se le intube y amenaza con tutela. El médico de turno no encontró el documento en el primer momento.</t>
        </is>
      </c>
      <c r="H678" s="14" t="inlineStr">
        <is>
          <t>La voluntad anticipada, para ser aplicable, requiere:</t>
        </is>
      </c>
      <c r="I678" s="14" t="inlineStr">
        <is>
          <t>Haber sido manifestada de manera libre e informada por una persona capaz</t>
        </is>
      </c>
      <c r="J678" s="14" t="inlineStr">
        <is>
          <t>Haber sido protocolizada ante notario y renovada cada dos años por el paciente</t>
        </is>
      </c>
      <c r="K678" s="14" t="inlineStr">
        <is>
          <t>Haber sido ratificada por el médico tratante al momento del ingreso del paciente</t>
        </is>
      </c>
      <c r="L678" s="14" t="inlineStr">
        <is>
          <t>a</t>
        </is>
      </c>
      <c r="M678" s="14" t="inlineStr">
        <is>
          <t>Lo determinante es que la manifestación haya sido libre, informada y hecha por una persona con capacidad al momento de expresarla.</t>
        </is>
      </c>
      <c r="N678" s="14" t="inlineStr">
        <is>
          <t>Las opciones b) y c) agregan formalidades o ratificaciones que no condicionan su validez.</t>
        </is>
      </c>
      <c r="O678" s="14" t="inlineStr">
        <is>
          <t>Ley 1733 de 2014; Resolución 971 de 2021</t>
        </is>
      </c>
      <c r="P678" s="14" t="inlineStr">
        <is>
          <t>SI</t>
        </is>
      </c>
      <c r="Q678" s="14" t="inlineStr">
        <is>
          <t>Alta</t>
        </is>
      </c>
      <c r="R678" s="14" t="inlineStr">
        <is>
          <t>v2</t>
        </is>
      </c>
    </row>
    <row r="679" ht="57.45" customHeight="1" s="12">
      <c r="A679" s="14" t="inlineStr">
        <is>
          <t>F0678</t>
        </is>
      </c>
      <c r="B679" s="14" t="inlineStr">
        <is>
          <t>PS 2782 de 2026 - ESE 2 - HUHMP Neiva</t>
        </is>
      </c>
      <c r="C679" s="14" t="inlineStr">
        <is>
          <t>Urgencias</t>
        </is>
      </c>
      <c r="D679" s="14" t="inlineStr">
        <is>
          <t>Profesional</t>
        </is>
      </c>
      <c r="E679" s="14" t="inlineStr">
        <is>
          <t>C226</t>
        </is>
      </c>
      <c r="F679" s="14" t="inlineStr">
        <is>
          <t>Caso 226</t>
        </is>
      </c>
      <c r="G679" s="14" t="inlineStr">
        <is>
          <t>Una paciente con enfermedad terminal y voluntad anticipada registrada en su historia clínica, en la que rechaza medidas de soporte vital avanzado, llega a urgencias con deterioro respiratorio. La familia exige que se le intube y amenaza con tutela. El médico de turno no encontró el documento en el primer momento.</t>
        </is>
      </c>
      <c r="H679" s="14" t="inlineStr">
        <is>
          <t>Frente a la amenaza de tutela de la familia, el hospital debe:</t>
        </is>
      </c>
      <c r="I679" s="14" t="inlineStr">
        <is>
          <t>Documentar la decisión y su fundamento, y sostener la conducta conforme a la voluntad de la paciente</t>
        </is>
      </c>
      <c r="J679" s="14" t="inlineStr">
        <is>
          <t>Consultar con la oficina jurídica antes de definir la conducta clínica con la paciente</t>
        </is>
      </c>
      <c r="K679" s="14" t="inlineStr">
        <is>
          <t>Acceder a lo pedido por la familia mientras un juez resuelve la controversia planteada</t>
        </is>
      </c>
      <c r="L679" s="14" t="inlineStr">
        <is>
          <t>a</t>
        </is>
      </c>
      <c r="M679" s="14" t="inlineStr">
        <is>
          <t>La conducta se sostiene conforme a la voluntad de la paciente, debidamente documentada; la eventual tutela se responde con ese soporte.</t>
        </is>
      </c>
      <c r="N679" s="14" t="inlineStr">
        <is>
          <t>La opción b) aplaza una decisión clínica urgente y la opción c) cede a la presión en contra de la voluntad de la titular.</t>
        </is>
      </c>
      <c r="O679" s="14" t="inlineStr">
        <is>
          <t>Ley 1733 de 2014; Ley 1751 de 2015, art. 10</t>
        </is>
      </c>
      <c r="P679" s="14" t="inlineStr">
        <is>
          <t>SI</t>
        </is>
      </c>
      <c r="Q679" s="14" t="inlineStr">
        <is>
          <t>Alta</t>
        </is>
      </c>
      <c r="R679" s="14" t="inlineStr">
        <is>
          <t>v2</t>
        </is>
      </c>
    </row>
    <row r="680" ht="46.25" customHeight="1" s="12">
      <c r="A680" s="14" t="inlineStr">
        <is>
          <t>F0679</t>
        </is>
      </c>
      <c r="B680" s="14" t="inlineStr">
        <is>
          <t>PS 2782 de 2026 - ESE 2 - HUHMP Neiva</t>
        </is>
      </c>
      <c r="C680" s="14" t="inlineStr">
        <is>
          <t>Gestion hospitalaria y organizacion de la E.S.E.</t>
        </is>
      </c>
      <c r="D680" s="14" t="inlineStr">
        <is>
          <t>Profesional</t>
        </is>
      </c>
      <c r="E680" s="14" t="inlineStr">
        <is>
          <t>C227</t>
        </is>
      </c>
      <c r="F680" s="14" t="inlineStr">
        <is>
          <t>Caso 227</t>
        </is>
      </c>
      <c r="G680" s="14" t="inlineStr">
        <is>
          <t>El hospital cierra el año con un déficit operacional del ocho por ciento y una cartera de dieciocho meses con dos EPS. La junta directiva revisa el plan de gestión y un miembro propone reducir el personal asistencial del turno de la noche como primera medida de ajuste.</t>
        </is>
      </c>
      <c r="H680" s="14" t="inlineStr">
        <is>
          <t>¿Qué debe analizarse antes de esa decisión?</t>
        </is>
      </c>
      <c r="I680" s="14" t="inlineStr">
        <is>
          <t>El efecto sobre la habilitación y la seguridad del paciente, junto con otras alternativas de ajuste</t>
        </is>
      </c>
      <c r="J680" s="14" t="inlineStr">
        <is>
          <t>El ahorro mensual estimado y el impacto en los indicadores financieros del siguiente trimestre</t>
        </is>
      </c>
      <c r="K680" s="14" t="inlineStr">
        <is>
          <t>La disponibilidad de personal de otras áreas para cubrir esos turnos sin contratar nuevo personal</t>
        </is>
      </c>
      <c r="L680" s="14" t="inlineStr">
        <is>
          <t>a</t>
        </is>
      </c>
      <c r="M680" s="14" t="inlineStr">
        <is>
          <t>Reducir talento humano afecta las condiciones declaradas de habilitación y la seguridad del paciente: eso debe evaluarse antes que el ahorro.</t>
        </is>
      </c>
      <c r="N680" s="14" t="inlineStr">
        <is>
          <t>Las opciones b) y c) analizan el efecto económico o logístico sin examinar el impacto asistencial y regulatorio.</t>
        </is>
      </c>
      <c r="O680" s="14" t="inlineStr">
        <is>
          <t>Resolución 3100 de 2019; Ley 1438 de 2011</t>
        </is>
      </c>
      <c r="P680" s="14" t="inlineStr">
        <is>
          <t>SI</t>
        </is>
      </c>
      <c r="Q680" s="14" t="inlineStr">
        <is>
          <t>Media</t>
        </is>
      </c>
      <c r="R680" s="14" t="inlineStr">
        <is>
          <t>v2</t>
        </is>
      </c>
    </row>
    <row r="681" ht="46.25" customHeight="1" s="12">
      <c r="A681" s="14" t="inlineStr">
        <is>
          <t>F0680</t>
        </is>
      </c>
      <c r="B681" s="14" t="inlineStr">
        <is>
          <t>PS 2782 de 2026 - ESE 2 - HUHMP Neiva</t>
        </is>
      </c>
      <c r="C681" s="14" t="inlineStr">
        <is>
          <t>Gestion hospitalaria y organizacion de la E.S.E.</t>
        </is>
      </c>
      <c r="D681" s="14" t="inlineStr">
        <is>
          <t>Profesional</t>
        </is>
      </c>
      <c r="E681" s="14" t="inlineStr">
        <is>
          <t>C227</t>
        </is>
      </c>
      <c r="F681" s="14" t="inlineStr">
        <is>
          <t>Caso 227</t>
        </is>
      </c>
      <c r="G681" s="14" t="inlineStr">
        <is>
          <t>El hospital cierra el año con un déficit operacional del ocho por ciento y una cartera de dieciocho meses con dos EPS. La junta directiva revisa el plan de gestión y un miembro propone reducir el personal asistencial del turno de la noche como primera medida de ajuste.</t>
        </is>
      </c>
      <c r="H681" s="14" t="inlineStr">
        <is>
          <t>La cartera de dieciocho meses con las dos EPS debe gestionarse mediante:</t>
        </is>
      </c>
      <c r="I681" s="14" t="inlineStr">
        <is>
          <t>Conciliación con los deudores y, si no prospera, las acciones de cobro que procedan</t>
        </is>
      </c>
      <c r="J681" s="14" t="inlineStr">
        <is>
          <t>Descuento automático de las cuentas futuras que esas entidades radiquen al hospital</t>
        </is>
      </c>
      <c r="K681" s="14" t="inlineStr">
        <is>
          <t>Suspensión de la atención a los afiliados de esas entidades hasta obtener el pago</t>
        </is>
      </c>
      <c r="L681" s="14" t="inlineStr">
        <is>
          <t>a</t>
        </is>
      </c>
      <c r="M681" s="14" t="inlineStr">
        <is>
          <t>La cartera se gestiona con conciliación y, de no prosperar, con las acciones de cobro; nunca afectando la atención de los usuarios.</t>
        </is>
      </c>
      <c r="N681" s="14" t="inlineStr">
        <is>
          <t>La opción b) aplica una compensación no pactada y la opción c) traslada el conflicto a los afiliados.</t>
        </is>
      </c>
      <c r="O681" s="14" t="inlineStr">
        <is>
          <t>Ley 1438 de 2011; Decreto 780 de 2016</t>
        </is>
      </c>
      <c r="P681" s="14" t="inlineStr">
        <is>
          <t>SI</t>
        </is>
      </c>
      <c r="Q681" s="14" t="inlineStr">
        <is>
          <t>Media</t>
        </is>
      </c>
      <c r="R681" s="14" t="inlineStr">
        <is>
          <t>v2</t>
        </is>
      </c>
    </row>
    <row r="682" ht="46.25" customHeight="1" s="12">
      <c r="A682" s="14" t="inlineStr">
        <is>
          <t>F0681</t>
        </is>
      </c>
      <c r="B682" s="14" t="inlineStr">
        <is>
          <t>PS 2782 de 2026 - ESE 2 - HUHMP Neiva</t>
        </is>
      </c>
      <c r="C682" s="14" t="inlineStr">
        <is>
          <t>Gestion hospitalaria y organizacion de la E.S.E.</t>
        </is>
      </c>
      <c r="D682" s="14" t="inlineStr">
        <is>
          <t>Profesional</t>
        </is>
      </c>
      <c r="E682" s="14" t="inlineStr">
        <is>
          <t>C227</t>
        </is>
      </c>
      <c r="F682" s="14" t="inlineStr">
        <is>
          <t>Caso 227</t>
        </is>
      </c>
      <c r="G682" s="14" t="inlineStr">
        <is>
          <t>El hospital cierra el año con un déficit operacional del ocho por ciento y una cartera de dieciocho meses con dos EPS. La junta directiva revisa el plan de gestión y un miembro propone reducir el personal asistencial del turno de la noche como primera medida de ajuste.</t>
        </is>
      </c>
      <c r="H682" s="14" t="inlineStr">
        <is>
          <t>Si el déficit persiste, la entidad podría quedar sujeta a:</t>
        </is>
      </c>
      <c r="I682" s="14" t="inlineStr">
        <is>
          <t>Categorización de riesgo y adopción de un programa de saneamiento fiscal y financiero</t>
        </is>
      </c>
      <c r="J682" s="14" t="inlineStr">
        <is>
          <t>Intervención inmediata de la Superintendencia con retiro de la junta directiva actual</t>
        </is>
      </c>
      <c r="K682" s="14" t="inlineStr">
        <is>
          <t>Pérdida de la habilitación de los servicios que presta en el departamento del Huila</t>
        </is>
      </c>
      <c r="L682" s="14" t="inlineStr">
        <is>
          <t>a</t>
        </is>
      </c>
      <c r="M682" s="14" t="inlineStr">
        <is>
          <t>El deterioro financiero conduce a la categorización de riesgo y a la adopción de un programa de saneamiento sujeto a viabilización.</t>
        </is>
      </c>
      <c r="N682" s="14" t="inlineStr">
        <is>
          <t>La opción b) anticipa una medida extrema y la opción c) confunde el efecto financiero con el régimen de habilitación.</t>
        </is>
      </c>
      <c r="O682" s="14" t="inlineStr">
        <is>
          <t>Ley 1438 de 2011, art. 80; Ley 1608 de 2013</t>
        </is>
      </c>
      <c r="P682" s="14" t="inlineStr">
        <is>
          <t>SI</t>
        </is>
      </c>
      <c r="Q682" s="14" t="inlineStr">
        <is>
          <t>Media</t>
        </is>
      </c>
      <c r="R682" s="14" t="inlineStr">
        <is>
          <t>v2</t>
        </is>
      </c>
    </row>
    <row r="683" ht="57.45" customHeight="1" s="12">
      <c r="A683" s="14" t="inlineStr">
        <is>
          <t>F0682</t>
        </is>
      </c>
      <c r="B683" s="14" t="inlineStr">
        <is>
          <t>PS 2782 de 2026 - ESE 2 - HUHMP Neiva</t>
        </is>
      </c>
      <c r="C683" s="14" t="inlineStr">
        <is>
          <t>Gestion hospitalaria y organizacion de la E.S.E.</t>
        </is>
      </c>
      <c r="D683" s="14" t="inlineStr">
        <is>
          <t>Profesional</t>
        </is>
      </c>
      <c r="E683" s="14" t="inlineStr">
        <is>
          <t>C228</t>
        </is>
      </c>
      <c r="F683" s="14" t="inlineStr">
        <is>
          <t>Caso 228</t>
        </is>
      </c>
      <c r="G683" s="14" t="inlineStr">
        <is>
          <t>La oficina de talento humano debe proveer catorce empleos de carrera que están ocupados en provisionalidad hace seis años. Existe una lista de elegibles vigente de un proceso anterior para tres de esos empleos. El gerente propone esperar el nuevo concurso y mantener a los provisionales para no afectar el servicio.</t>
        </is>
      </c>
      <c r="H683" s="14" t="inlineStr">
        <is>
          <t>¿Qué corresponde hacer con los tres empleos que tienen lista vigente?</t>
        </is>
      </c>
      <c r="I683" s="14" t="inlineStr">
        <is>
          <t>Usar la lista de elegibles vigente, que es de obligatorio cumplimiento mientras dure su vigencia</t>
        </is>
      </c>
      <c r="J683" s="14" t="inlineStr">
        <is>
          <t>Usar la lista solo si los provisionales actuales no superan la evaluación de su desempeño</t>
        </is>
      </c>
      <c r="K683" s="14" t="inlineStr">
        <is>
          <t>Usar la lista al vencimiento del periodo de los provisionales, para no afectar la continuidad</t>
        </is>
      </c>
      <c r="L683" s="14" t="inlineStr">
        <is>
          <t>a</t>
        </is>
      </c>
      <c r="M683" s="14" t="inlineStr">
        <is>
          <t>La lista de elegibles vigente es de obligatorio uso para proveer las vacantes del empleo respectivo mientras esté vigente.</t>
        </is>
      </c>
      <c r="N683" s="14" t="inlineStr">
        <is>
          <t>Las opciones b) y c) condicionan su uso al desempeño del provisional o a un plazo que la norma no contempla.</t>
        </is>
      </c>
      <c r="O683" s="14" t="inlineStr">
        <is>
          <t>Ley 909 de 2004; Acuerdo CNSC N° 36 de 2026</t>
        </is>
      </c>
      <c r="P683" s="14" t="inlineStr">
        <is>
          <t>SI</t>
        </is>
      </c>
      <c r="Q683" s="14" t="inlineStr">
        <is>
          <t>Alta</t>
        </is>
      </c>
      <c r="R683" s="14" t="inlineStr">
        <is>
          <t>v2</t>
        </is>
      </c>
    </row>
    <row r="684" ht="57.45" customHeight="1" s="12">
      <c r="A684" s="14" t="inlineStr">
        <is>
          <t>F0683</t>
        </is>
      </c>
      <c r="B684" s="14" t="inlineStr">
        <is>
          <t>PS 2782 de 2026 - ESE 2 - HUHMP Neiva</t>
        </is>
      </c>
      <c r="C684" s="14" t="inlineStr">
        <is>
          <t>Gestion hospitalaria y organizacion de la E.S.E.</t>
        </is>
      </c>
      <c r="D684" s="14" t="inlineStr">
        <is>
          <t>Profesional</t>
        </is>
      </c>
      <c r="E684" s="14" t="inlineStr">
        <is>
          <t>C228</t>
        </is>
      </c>
      <c r="F684" s="14" t="inlineStr">
        <is>
          <t>Caso 228</t>
        </is>
      </c>
      <c r="G684" s="14" t="inlineStr">
        <is>
          <t>La oficina de talento humano debe proveer catorce empleos de carrera que están ocupados en provisionalidad hace seis años. Existe una lista de elegibles vigente de un proceso anterior para tres de esos empleos. El gerente propone esperar el nuevo concurso y mantener a los provisionales para no afectar el servicio.</t>
        </is>
      </c>
      <c r="H684" s="14" t="inlineStr">
        <is>
          <t>La provisionalidad prolongada en empleos de carrera:</t>
        </is>
      </c>
      <c r="I684" s="14" t="inlineStr">
        <is>
          <t>Es una situación excepcional que debe resolverse mediante concurso de méritos</t>
        </is>
      </c>
      <c r="J684" s="14" t="inlineStr">
        <is>
          <t>Genera derechos de carrera al servidor que la ocupa por más de cinco años continuos</t>
        </is>
      </c>
      <c r="K684" s="14" t="inlineStr">
        <is>
          <t>Se convierte en nombramiento en propiedad cuando la entidad certifica buen desempeño</t>
        </is>
      </c>
      <c r="L684" s="14" t="inlineStr">
        <is>
          <t>a</t>
        </is>
      </c>
      <c r="M684" s="14" t="inlineStr">
        <is>
          <t>El nombramiento provisional es excepcional y transitorio: la vía para proveer el empleo es el concurso de méritos.</t>
        </is>
      </c>
      <c r="N684" s="14" t="inlineStr">
        <is>
          <t>Las opciones b) y c) sostienen creencias frecuentes que la Constitución y la ley descartan.</t>
        </is>
      </c>
      <c r="O684" s="14" t="inlineStr">
        <is>
          <t>Constitución Política de 1991, art. 125; Ley 909 de 2004</t>
        </is>
      </c>
      <c r="P684" s="14" t="inlineStr">
        <is>
          <t>SI</t>
        </is>
      </c>
      <c r="Q684" s="14" t="inlineStr">
        <is>
          <t>Alta</t>
        </is>
      </c>
      <c r="R684" s="14" t="inlineStr">
        <is>
          <t>v2</t>
        </is>
      </c>
    </row>
    <row r="685" ht="57.45" customHeight="1" s="12">
      <c r="A685" s="14" t="inlineStr">
        <is>
          <t>F0684</t>
        </is>
      </c>
      <c r="B685" s="14" t="inlineStr">
        <is>
          <t>PS 2782 de 2026 - ESE 2 - HUHMP Neiva</t>
        </is>
      </c>
      <c r="C685" s="14" t="inlineStr">
        <is>
          <t>Gestion hospitalaria y organizacion de la E.S.E.</t>
        </is>
      </c>
      <c r="D685" s="14" t="inlineStr">
        <is>
          <t>Profesional</t>
        </is>
      </c>
      <c r="E685" s="14" t="inlineStr">
        <is>
          <t>C228</t>
        </is>
      </c>
      <c r="F685" s="14" t="inlineStr">
        <is>
          <t>Caso 228</t>
        </is>
      </c>
      <c r="G685" s="14" t="inlineStr">
        <is>
          <t>La oficina de talento humano debe proveer catorce empleos de carrera que están ocupados en provisionalidad hace seis años. Existe una lista de elegibles vigente de un proceso anterior para tres de esos empleos. El gerente propone esperar el nuevo concurso y mantener a los provisionales para no afectar el servicio.</t>
        </is>
      </c>
      <c r="H685" s="14" t="inlineStr">
        <is>
          <t>Si la entidad no usa la lista vigente, se expone a:</t>
        </is>
      </c>
      <c r="I685" s="14" t="inlineStr">
        <is>
          <t>Acciones de los elegibles y a las actuaciones de vigilancia de la CNSC sobre el caso</t>
        </is>
      </c>
      <c r="J685" s="14" t="inlineStr">
        <is>
          <t>La nulidad de los nombramientos provisionales que se hayan prorrogado en el tiempo</t>
        </is>
      </c>
      <c r="K685" s="14" t="inlineStr">
        <is>
          <t>La pérdida de los empleos ofertados en el nuevo proceso de selección convocado</t>
        </is>
      </c>
      <c r="L685" s="14" t="inlineStr">
        <is>
          <t>a</t>
        </is>
      </c>
      <c r="M685" s="14" t="inlineStr">
        <is>
          <t>Los elegibles pueden reclamar y la CNSC vigila el uso de las listas, con las consecuencias que ello acarrea para la entidad.</t>
        </is>
      </c>
      <c r="N685" s="14" t="inlineStr">
        <is>
          <t>Las opciones b) y c) enuncian efectos que no se derivan directamente del no uso de la lista.</t>
        </is>
      </c>
      <c r="O685" s="14" t="inlineStr">
        <is>
          <t>Ley 909 de 2004; Ley 1960 de 2019</t>
        </is>
      </c>
      <c r="P685" s="14" t="inlineStr">
        <is>
          <t>SI</t>
        </is>
      </c>
      <c r="Q685" s="14" t="inlineStr">
        <is>
          <t>Alta</t>
        </is>
      </c>
      <c r="R685" s="14" t="inlineStr">
        <is>
          <t>v2</t>
        </is>
      </c>
    </row>
    <row r="686" ht="57.45" customHeight="1" s="12">
      <c r="A686" s="14" t="inlineStr">
        <is>
          <t>F0685</t>
        </is>
      </c>
      <c r="B686" s="14" t="inlineStr">
        <is>
          <t>PS 2782 de 2026 - ESE 2 - HUHMP Neiva</t>
        </is>
      </c>
      <c r="C686" s="14" t="inlineStr">
        <is>
          <t>Gestion hospitalaria y organizacion de la E.S.E.</t>
        </is>
      </c>
      <c r="D686" s="14" t="inlineStr">
        <is>
          <t>Tecnico</t>
        </is>
      </c>
      <c r="E686" s="14" t="inlineStr">
        <is>
          <t>C229</t>
        </is>
      </c>
      <c r="F686" s="14" t="inlineStr">
        <is>
          <t>Caso 229</t>
        </is>
      </c>
      <c r="G686" s="14" t="inlineStr">
        <is>
          <t>El área de planeación debe formular el plan de acción del año. El gerente pide «metas ambiciosas» y propone incluir un aumento del treinta por ciento en producción de servicios, sin cambios en personal ni en infraestructura. El jefe de planeación considera que la meta no es alcanzable con la capacidad actual.</t>
        </is>
      </c>
      <c r="H686" s="14" t="inlineStr">
        <is>
          <t>¿Cómo debe formularse la meta?</t>
        </is>
      </c>
      <c r="I686" s="14" t="inlineStr">
        <is>
          <t>Con base en la capacidad instalada y en la serie histórica, dejando el supuesto explícito</t>
        </is>
      </c>
      <c r="J686" s="14" t="inlineStr">
        <is>
          <t>Con base en la expectativa de la gerencia, ajustándola a mitad de año si no se cumple</t>
        </is>
      </c>
      <c r="K686" s="14" t="inlineStr">
        <is>
          <t>Con base en el promedio de hospitales similares del departamento en la misma vigencia</t>
        </is>
      </c>
      <c r="L686" s="14" t="inlineStr">
        <is>
          <t>a</t>
        </is>
      </c>
      <c r="M686" s="14" t="inlineStr">
        <is>
          <t>Las metas se construyen sobre la capacidad real y la serie histórica, con los supuestos explícitos que permitan evaluar su cumplimiento.</t>
        </is>
      </c>
      <c r="N686" s="14" t="inlineStr">
        <is>
          <t>La opción b) fija una meta arbitraria y la opción c) toma una referencia externa sin considerar la capacidad propia.</t>
        </is>
      </c>
      <c r="O686" s="14" t="inlineStr">
        <is>
          <t>Ley 152 de 1994; Decreto 1499 de 2017</t>
        </is>
      </c>
      <c r="P686" s="14" t="inlineStr">
        <is>
          <t>SI</t>
        </is>
      </c>
      <c r="Q686" s="14" t="inlineStr">
        <is>
          <t>Media</t>
        </is>
      </c>
      <c r="R686" s="14" t="inlineStr">
        <is>
          <t>v2</t>
        </is>
      </c>
    </row>
    <row r="687" ht="57.45" customHeight="1" s="12">
      <c r="A687" s="14" t="inlineStr">
        <is>
          <t>F0686</t>
        </is>
      </c>
      <c r="B687" s="14" t="inlineStr">
        <is>
          <t>PS 2782 de 2026 - ESE 2 - HUHMP Neiva</t>
        </is>
      </c>
      <c r="C687" s="14" t="inlineStr">
        <is>
          <t>Gestion hospitalaria y organizacion de la E.S.E.</t>
        </is>
      </c>
      <c r="D687" s="14" t="inlineStr">
        <is>
          <t>Tecnico</t>
        </is>
      </c>
      <c r="E687" s="14" t="inlineStr">
        <is>
          <t>C229</t>
        </is>
      </c>
      <c r="F687" s="14" t="inlineStr">
        <is>
          <t>Caso 229</t>
        </is>
      </c>
      <c r="G687" s="14" t="inlineStr">
        <is>
          <t>El área de planeación debe formular el plan de acción del año. El gerente pide «metas ambiciosas» y propone incluir un aumento del treinta por ciento en producción de servicios, sin cambios en personal ni en infraestructura. El jefe de planeación considera que la meta no es alcanzable con la capacidad actual.</t>
        </is>
      </c>
      <c r="H687" s="14" t="inlineStr">
        <is>
          <t>El plan de acción debe articularse con:</t>
        </is>
      </c>
      <c r="I687" s="14" t="inlineStr">
        <is>
          <t>El plan de gestión del gerente y los instrumentos de planeación de la entidad</t>
        </is>
      </c>
      <c r="J687" s="14" t="inlineStr">
        <is>
          <t>El presupuesto aprobado por la junta directiva para la siguiente vigencia fiscal</t>
        </is>
      </c>
      <c r="K687" s="14" t="inlineStr">
        <is>
          <t>El plan de desarrollo municipal donde se encuentra ubicada la sede principal</t>
        </is>
      </c>
      <c r="L687" s="14" t="inlineStr">
        <is>
          <t>a</t>
        </is>
      </c>
      <c r="M687" s="14" t="inlineStr">
        <is>
          <t>El plan de acción se deriva del plan de gestión y de los instrumentos de planeación institucional, con los que debe ser consistente.</t>
        </is>
      </c>
      <c r="N687" s="14" t="inlineStr">
        <is>
          <t>La opción b) es un insumo financiero y la opción c) corresponde a otro nivel territorial.</t>
        </is>
      </c>
      <c r="O687" s="14" t="inlineStr">
        <is>
          <t>Ley 152 de 1994; Ley 1438 de 2011, art. 74</t>
        </is>
      </c>
      <c r="P687" s="14" t="inlineStr">
        <is>
          <t>SI</t>
        </is>
      </c>
      <c r="Q687" s="14" t="inlineStr">
        <is>
          <t>Media</t>
        </is>
      </c>
      <c r="R687" s="14" t="inlineStr">
        <is>
          <t>v2</t>
        </is>
      </c>
    </row>
    <row r="688" ht="57.45" customHeight="1" s="12">
      <c r="A688" s="14" t="inlineStr">
        <is>
          <t>F0687</t>
        </is>
      </c>
      <c r="B688" s="14" t="inlineStr">
        <is>
          <t>PS 2782 de 2026 - ESE 2 - HUHMP Neiva</t>
        </is>
      </c>
      <c r="C688" s="14" t="inlineStr">
        <is>
          <t>Gestion hospitalaria y organizacion de la E.S.E.</t>
        </is>
      </c>
      <c r="D688" s="14" t="inlineStr">
        <is>
          <t>Tecnico</t>
        </is>
      </c>
      <c r="E688" s="14" t="inlineStr">
        <is>
          <t>C229</t>
        </is>
      </c>
      <c r="F688" s="14" t="inlineStr">
        <is>
          <t>Caso 229</t>
        </is>
      </c>
      <c r="G688" s="14" t="inlineStr">
        <is>
          <t>El área de planeación debe formular el plan de acción del año. El gerente pide «metas ambiciosas» y propone incluir un aumento del treinta por ciento en producción de servicios, sin cambios en personal ni en infraestructura. El jefe de planeación considera que la meta no es alcanzable con la capacidad actual.</t>
        </is>
      </c>
      <c r="H688" s="14" t="inlineStr">
        <is>
          <t>Si al cierre la meta no se cumple, lo que debe analizarse es:</t>
        </is>
      </c>
      <c r="I688" s="14" t="inlineStr">
        <is>
          <t>Si el incumplimiento se explica por los supuestos o por fallas en la ejecución</t>
        </is>
      </c>
      <c r="J688" s="14" t="inlineStr">
        <is>
          <t>Si la meta fue formulada por el área de planeación o impuesta por la gerencia</t>
        </is>
      </c>
      <c r="K688" s="14" t="inlineStr">
        <is>
          <t>Si otros hospitales del departamento presentaron un comportamiento similar</t>
        </is>
      </c>
      <c r="L688" s="14" t="inlineStr">
        <is>
          <t>a</t>
        </is>
      </c>
      <c r="M688" s="14" t="inlineStr">
        <is>
          <t>El análisis distingue entre supuestos equivocados y fallas de ejecución, que exigen correcciones distintas.</t>
        </is>
      </c>
      <c r="N688" s="14" t="inlineStr">
        <is>
          <t>La opción b) busca responsables y la opción c) compara sin explicar la causa interna.</t>
        </is>
      </c>
      <c r="O688" s="14" t="inlineStr">
        <is>
          <t>Decreto 1499 de 2017; Ley 87 de 1993</t>
        </is>
      </c>
      <c r="P688" s="14" t="inlineStr">
        <is>
          <t>SI</t>
        </is>
      </c>
      <c r="Q688" s="14" t="inlineStr">
        <is>
          <t>Media</t>
        </is>
      </c>
      <c r="R688" s="14" t="inlineStr">
        <is>
          <t>v2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8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1" min="1" max="1"/>
    <col width="30" customWidth="1" style="11" min="2" max="2"/>
    <col width="60" customWidth="1" style="11" min="3" max="3"/>
    <col width="46" customWidth="1" style="11" min="4" max="6"/>
    <col width="10" customWidth="1" style="11" min="7" max="9"/>
    <col width="7" customWidth="1" style="11" min="10" max="10"/>
    <col width="9" customWidth="1" style="11" min="11" max="11"/>
    <col width="34" customWidth="1" style="12" min="12" max="12"/>
    <col width="10" customWidth="1" style="12" min="13" max="13"/>
  </cols>
  <sheetData>
    <row r="1" ht="27.75" customHeight="1" s="12">
      <c r="A1" s="13" t="inlineStr">
        <is>
          <t>id</t>
        </is>
      </c>
      <c r="B1" s="13" t="inlineStr">
        <is>
          <t>competencia</t>
        </is>
      </c>
      <c r="C1" s="13" t="inlineStr">
        <is>
          <t>situacion</t>
        </is>
      </c>
      <c r="D1" s="13" t="inlineStr">
        <is>
          <t>a</t>
        </is>
      </c>
      <c r="E1" s="13" t="inlineStr">
        <is>
          <t>b</t>
        </is>
      </c>
      <c r="F1" s="13" t="inlineStr">
        <is>
          <t>c</t>
        </is>
      </c>
      <c r="G1" s="13" t="inlineStr">
        <is>
          <t>puntos_a</t>
        </is>
      </c>
      <c r="H1" s="13" t="inlineStr">
        <is>
          <t>puntos_b</t>
        </is>
      </c>
      <c r="I1" s="13" t="inlineStr">
        <is>
          <t>puntos_c</t>
        </is>
      </c>
      <c r="J1" s="13" t="inlineStr">
        <is>
          <t>activa</t>
        </is>
      </c>
      <c r="K1" s="11" t="inlineStr">
        <is>
          <t>tipo_v2</t>
        </is>
      </c>
      <c r="L1" s="11" t="inlineStr">
        <is>
          <t>consigna</t>
        </is>
      </c>
      <c r="M1" s="11" t="inlineStr">
        <is>
          <t>invertida</t>
        </is>
      </c>
    </row>
    <row r="2" ht="23.25" customHeight="1" s="12">
      <c r="A2" s="14" t="inlineStr">
        <is>
          <t>B0001</t>
        </is>
      </c>
      <c r="B2" s="14" t="inlineStr">
        <is>
          <t>Orientación al usuario y al ciudadano</t>
        </is>
      </c>
      <c r="C2" s="14" t="inlineStr">
        <is>
          <t>Un usuario llega alterado porque le reprogramaron la cita por tercera vez. El agendamiento no depende de usted.</t>
        </is>
      </c>
      <c r="D2" s="14" t="inlineStr">
        <is>
          <t>Escucha, verifica en el sistema, explica la causa y gestiona con el área responsable una fecha concreta</t>
        </is>
      </c>
      <c r="E2" s="14" t="inlineStr">
        <is>
          <t>Le explica que el trámite no depende de su área y le indica dónde reclamar</t>
        </is>
      </c>
      <c r="F2" s="14" t="inlineStr">
        <is>
          <t>Le ofrece disculpas y le sugiere volver cuando haya menos gente</t>
        </is>
      </c>
      <c r="G2" s="14" t="n">
        <v>3</v>
      </c>
      <c r="H2" s="14" t="n">
        <v>2</v>
      </c>
      <c r="I2" s="14" t="n">
        <v>1</v>
      </c>
      <c r="J2" s="14" t="inlineStr">
        <is>
          <t>NO</t>
        </is>
      </c>
      <c r="L2" s="11" t="inlineStr">
        <is>
          <t>¿Qué hace usted?</t>
        </is>
      </c>
      <c r="M2" s="11" t="inlineStr">
        <is>
          <t>NO</t>
        </is>
      </c>
    </row>
    <row r="3" ht="23.25" customHeight="1" s="12">
      <c r="A3" s="14" t="inlineStr">
        <is>
          <t>B0002</t>
        </is>
      </c>
      <c r="B3" s="14" t="inlineStr">
        <is>
          <t>Orientación al usuario y al ciudadano</t>
        </is>
      </c>
      <c r="C3" s="14" t="inlineStr">
        <is>
          <t>Una persona mayor no entiende el formato de consentimiento que debe firmar antes de un procedimiento.</t>
        </is>
      </c>
      <c r="D3" s="14" t="inlineStr">
        <is>
          <t>Explica en lenguaje sencillo, verifica que comprendió y solo entonces solicita la firma</t>
        </is>
      </c>
      <c r="E3" s="14" t="inlineStr">
        <is>
          <t>Le entrega el formato y le pide que lo lea con calma en la sala</t>
        </is>
      </c>
      <c r="F3" s="14" t="inlineStr">
        <is>
          <t>Pide al acompañante que firme para agilizar</t>
        </is>
      </c>
      <c r="G3" s="14" t="n">
        <v>3</v>
      </c>
      <c r="H3" s="14" t="n">
        <v>2</v>
      </c>
      <c r="I3" s="14" t="n">
        <v>1</v>
      </c>
      <c r="J3" s="14" t="inlineStr">
        <is>
          <t>NO</t>
        </is>
      </c>
      <c r="L3" s="11" t="inlineStr">
        <is>
          <t>¿Qué hace usted?</t>
        </is>
      </c>
      <c r="M3" s="11" t="inlineStr">
        <is>
          <t>NO</t>
        </is>
      </c>
    </row>
    <row r="4" ht="23.25" customHeight="1" s="12">
      <c r="A4" s="14" t="inlineStr">
        <is>
          <t>B0003</t>
        </is>
      </c>
      <c r="B4" s="14" t="inlineStr">
        <is>
          <t>Orientación a resultados</t>
        </is>
      </c>
      <c r="C4" s="14" t="inlineStr">
        <is>
          <t>Un reporte obligatorio vence mañana y falta información de otra dependencia.</t>
        </is>
      </c>
      <c r="D4" s="14" t="inlineStr">
        <is>
          <t>Solicita por escrito lo que falta, informa el riesgo a su jefe y avanza con lo disponible</t>
        </is>
      </c>
      <c r="E4" s="14" t="inlineStr">
        <is>
          <t>Espera la información hasta el último momento y decide entonces</t>
        </is>
      </c>
      <c r="F4" s="14" t="inlineStr">
        <is>
          <t>Reporta datos estimados para cumplir el plazo</t>
        </is>
      </c>
      <c r="G4" s="14" t="n">
        <v>3</v>
      </c>
      <c r="H4" s="14" t="n">
        <v>2</v>
      </c>
      <c r="I4" s="14" t="n">
        <v>1</v>
      </c>
      <c r="J4" s="14" t="inlineStr">
        <is>
          <t>NO</t>
        </is>
      </c>
      <c r="L4" s="11" t="inlineStr">
        <is>
          <t>¿Qué hace usted?</t>
        </is>
      </c>
      <c r="M4" s="11" t="inlineStr">
        <is>
          <t>NO</t>
        </is>
      </c>
    </row>
    <row r="5" ht="23.25" customHeight="1" s="12">
      <c r="A5" s="14" t="inlineStr">
        <is>
          <t>B0004</t>
        </is>
      </c>
      <c r="B5" s="14" t="inlineStr">
        <is>
          <t>Orientación a resultados</t>
        </is>
      </c>
      <c r="C5" s="14" t="inlineStr">
        <is>
          <t>Le asignan tres tareas urgentes el mismo día y no alcanza a hacerlas todas.</t>
        </is>
      </c>
      <c r="D5" s="14" t="inlineStr">
        <is>
          <t>Prioriza según impacto y plazo, acuerda con su jefe el orden y comunica los tiempos</t>
        </is>
      </c>
      <c r="E5" s="14" t="inlineStr">
        <is>
          <t>Empieza por la más fácil para mostrar avance</t>
        </is>
      </c>
      <c r="F5" s="14" t="inlineStr">
        <is>
          <t>Intenta las tres a la vez y entrega lo que alcance</t>
        </is>
      </c>
      <c r="G5" s="14" t="n">
        <v>3</v>
      </c>
      <c r="H5" s="14" t="n">
        <v>2</v>
      </c>
      <c r="I5" s="14" t="n">
        <v>1</v>
      </c>
      <c r="J5" s="14" t="inlineStr">
        <is>
          <t>NO</t>
        </is>
      </c>
      <c r="L5" s="11" t="inlineStr">
        <is>
          <t>¿Qué hace usted?</t>
        </is>
      </c>
      <c r="M5" s="11" t="inlineStr">
        <is>
          <t>NO</t>
        </is>
      </c>
    </row>
    <row r="6" ht="23.25" customHeight="1" s="12">
      <c r="A6" s="14" t="inlineStr">
        <is>
          <t>B0005</t>
        </is>
      </c>
      <c r="B6" s="14" t="inlineStr">
        <is>
          <t>Transparencia</t>
        </is>
      </c>
      <c r="C6" s="14" t="inlineStr">
        <is>
          <t>Un proveedor con el que usted tramita un contrato le ofrece un obsequio de bajo valor.</t>
        </is>
      </c>
      <c r="D6" s="14" t="inlineStr">
        <is>
          <t>Rechaza el obsequio y deja constancia escrita del ofrecimiento ante su jefe inmediato</t>
        </is>
      </c>
      <c r="E6" s="14" t="inlineStr">
        <is>
          <t>Lo rechaza verbalmente y no informa a nadie</t>
        </is>
      </c>
      <c r="F6" s="14" t="inlineStr">
        <is>
          <t>Lo acepta porque su valor es bajo y lo destina al fondo de empleados</t>
        </is>
      </c>
      <c r="G6" s="14" t="n">
        <v>3</v>
      </c>
      <c r="H6" s="14" t="n">
        <v>2</v>
      </c>
      <c r="I6" s="14" t="n">
        <v>1</v>
      </c>
      <c r="J6" s="14" t="inlineStr">
        <is>
          <t>NO</t>
        </is>
      </c>
      <c r="L6" s="11" t="inlineStr">
        <is>
          <t>¿Qué hace usted?</t>
        </is>
      </c>
      <c r="M6" s="11" t="inlineStr">
        <is>
          <t>NO</t>
        </is>
      </c>
    </row>
    <row r="7" ht="23.25" customHeight="1" s="12">
      <c r="A7" s="14" t="inlineStr">
        <is>
          <t>B0006</t>
        </is>
      </c>
      <c r="B7" s="14" t="inlineStr">
        <is>
          <t>Transparencia</t>
        </is>
      </c>
      <c r="C7" s="14" t="inlineStr">
        <is>
          <t>Un familiar suyo se presenta a un proceso contractual en el que usted participa.</t>
        </is>
      </c>
      <c r="D7" s="14" t="inlineStr">
        <is>
          <t>Manifiesta el impedimento por escrito y se aparta del trámite</t>
        </is>
      </c>
      <c r="E7" s="14" t="inlineStr">
        <is>
          <t>Continúa participando pero avisa verbalmente a un compañero</t>
        </is>
      </c>
      <c r="F7" s="14" t="inlineStr">
        <is>
          <t>Continúa porque confía en su imparcialidad</t>
        </is>
      </c>
      <c r="G7" s="14" t="n">
        <v>3</v>
      </c>
      <c r="H7" s="14" t="n">
        <v>2</v>
      </c>
      <c r="I7" s="14" t="n">
        <v>1</v>
      </c>
      <c r="J7" s="14" t="inlineStr">
        <is>
          <t>NO</t>
        </is>
      </c>
      <c r="L7" s="11" t="inlineStr">
        <is>
          <t>¿Qué hace usted?</t>
        </is>
      </c>
      <c r="M7" s="11" t="inlineStr">
        <is>
          <t>NO</t>
        </is>
      </c>
    </row>
    <row r="8" ht="23.25" customHeight="1" s="12">
      <c r="A8" s="14" t="inlineStr">
        <is>
          <t>B0007</t>
        </is>
      </c>
      <c r="B8" s="14" t="inlineStr">
        <is>
          <t>Compromiso con la organización</t>
        </is>
      </c>
      <c r="C8" s="14" t="inlineStr">
        <is>
          <t>Detecta un error propio en un informe que ya llegó a la gerencia.</t>
        </is>
      </c>
      <c r="D8" s="14" t="inlineStr">
        <is>
          <t>Informa de inmediato el error, remite la versión corregida y explica su impacto</t>
        </is>
      </c>
      <c r="E8" s="14" t="inlineStr">
        <is>
          <t>Corrige el archivo compartido y espera a que alguien pregunte</t>
        </is>
      </c>
      <c r="F8" s="14" t="inlineStr">
        <is>
          <t>Guarda silencio porque el error es menor</t>
        </is>
      </c>
      <c r="G8" s="14" t="n">
        <v>3</v>
      </c>
      <c r="H8" s="14" t="n">
        <v>2</v>
      </c>
      <c r="I8" s="14" t="n">
        <v>1</v>
      </c>
      <c r="J8" s="14" t="inlineStr">
        <is>
          <t>NO</t>
        </is>
      </c>
      <c r="L8" s="11" t="inlineStr">
        <is>
          <t>¿Qué hace usted?</t>
        </is>
      </c>
      <c r="M8" s="11" t="inlineStr">
        <is>
          <t>NO</t>
        </is>
      </c>
    </row>
    <row r="9" ht="23.25" customHeight="1" s="12">
      <c r="A9" s="14" t="inlineStr">
        <is>
          <t>B0008</t>
        </is>
      </c>
      <c r="B9" s="14" t="inlineStr">
        <is>
          <t>Compromiso con la organización</t>
        </is>
      </c>
      <c r="C9" s="14" t="inlineStr">
        <is>
          <t>Un compañero critica en público a la entidad frente a usuarios en la sala de espera.</t>
        </is>
      </c>
      <c r="D9" s="14" t="inlineStr">
        <is>
          <t>Le propone en privado llevar el asunto a los canales internos y atiende a los usuarios</t>
        </is>
      </c>
      <c r="E9" s="14" t="inlineStr">
        <is>
          <t>Cambia de tema y sigue con su trabajo</t>
        </is>
      </c>
      <c r="F9" s="14" t="inlineStr">
        <is>
          <t>Se suma a la crítica para no quedar mal con el compañero</t>
        </is>
      </c>
      <c r="G9" s="14" t="n">
        <v>3</v>
      </c>
      <c r="H9" s="14" t="n">
        <v>2</v>
      </c>
      <c r="I9" s="14" t="n">
        <v>1</v>
      </c>
      <c r="J9" s="14" t="inlineStr">
        <is>
          <t>NO</t>
        </is>
      </c>
      <c r="L9" s="11" t="inlineStr">
        <is>
          <t>¿Qué hace usted?</t>
        </is>
      </c>
      <c r="M9" s="11" t="inlineStr">
        <is>
          <t>NO</t>
        </is>
      </c>
    </row>
    <row r="10" ht="23.25" customHeight="1" s="12">
      <c r="A10" s="14" t="inlineStr">
        <is>
          <t>B0009</t>
        </is>
      </c>
      <c r="B10" s="14" t="inlineStr">
        <is>
          <t>Trabajo en equipo</t>
        </is>
      </c>
      <c r="C10" s="14" t="inlineStr">
        <is>
          <t>Un compañero se retrasa por sobrecarga y la entrega del equipo está en riesgo.</t>
        </is>
      </c>
      <c r="D10" s="14" t="inlineStr">
        <is>
          <t>Propone al líder redistribuir tareas y apoya en lo que puede sin descuidar lo suyo</t>
        </is>
      </c>
      <c r="E10" s="14" t="inlineStr">
        <is>
          <t>Entrega su parte y deja constancia de que el retraso no es suyo</t>
        </is>
      </c>
      <c r="F10" s="14" t="inlineStr">
        <is>
          <t>Asume todo el trabajo del compañero sin informar a nadie</t>
        </is>
      </c>
      <c r="G10" s="14" t="n">
        <v>3</v>
      </c>
      <c r="H10" s="14" t="n">
        <v>2</v>
      </c>
      <c r="I10" s="14" t="n">
        <v>1</v>
      </c>
      <c r="J10" s="14" t="inlineStr">
        <is>
          <t>NO</t>
        </is>
      </c>
      <c r="L10" s="11" t="inlineStr">
        <is>
          <t>¿Qué hace usted?</t>
        </is>
      </c>
      <c r="M10" s="11" t="inlineStr">
        <is>
          <t>NO</t>
        </is>
      </c>
    </row>
    <row r="11" ht="23.25" customHeight="1" s="12">
      <c r="A11" s="14" t="inlineStr">
        <is>
          <t>B0010</t>
        </is>
      </c>
      <c r="B11" s="14" t="inlineStr">
        <is>
          <t>Trabajo en equipo</t>
        </is>
      </c>
      <c r="C11" s="14" t="inlineStr">
        <is>
          <t>En una reunión, su propuesta es descartada por el grupo con argumentos técnicos.</t>
        </is>
      </c>
      <c r="D11" s="14" t="inlineStr">
        <is>
          <t>Acoge la decisión, aporta a la alternativa elegida y deja registrada su observación</t>
        </is>
      </c>
      <c r="E11" s="14" t="inlineStr">
        <is>
          <t>Acepta en silencio y se desentiende de la ejecución</t>
        </is>
      </c>
      <c r="F11" s="14" t="inlineStr">
        <is>
          <t>Insiste en su propuesta por fuera de la reunión</t>
        </is>
      </c>
      <c r="G11" s="14" t="n">
        <v>3</v>
      </c>
      <c r="H11" s="14" t="n">
        <v>2</v>
      </c>
      <c r="I11" s="14" t="n">
        <v>1</v>
      </c>
      <c r="J11" s="14" t="inlineStr">
        <is>
          <t>NO</t>
        </is>
      </c>
      <c r="L11" s="11" t="inlineStr">
        <is>
          <t>¿Qué hace usted?</t>
        </is>
      </c>
      <c r="M11" s="11" t="inlineStr">
        <is>
          <t>NO</t>
        </is>
      </c>
    </row>
    <row r="12" ht="23.25" customHeight="1" s="12">
      <c r="A12" s="14" t="inlineStr">
        <is>
          <t>B0011</t>
        </is>
      </c>
      <c r="B12" s="14" t="inlineStr">
        <is>
          <t>Adaptación al cambio</t>
        </is>
      </c>
      <c r="C12" s="14" t="inlineStr">
        <is>
          <t>El hospital implementa un módulo nuevo del sistema de información y cambia su proceso.</t>
        </is>
      </c>
      <c r="D12" s="14" t="inlineStr">
        <is>
          <t>Participa en la capacitación, ajusta su proceso y reporta las dificultades que encuentra</t>
        </is>
      </c>
      <c r="E12" s="14" t="inlineStr">
        <is>
          <t>Usa el módulo solo cuando es indispensable</t>
        </is>
      </c>
      <c r="F12" s="14" t="inlineStr">
        <is>
          <t>Mantiene el registro paralelo en papel para no cambiar</t>
        </is>
      </c>
      <c r="G12" s="14" t="n">
        <v>3</v>
      </c>
      <c r="H12" s="14" t="n">
        <v>2</v>
      </c>
      <c r="I12" s="14" t="n">
        <v>1</v>
      </c>
      <c r="J12" s="14" t="inlineStr">
        <is>
          <t>NO</t>
        </is>
      </c>
      <c r="L12" s="11" t="inlineStr">
        <is>
          <t>¿Qué hace usted?</t>
        </is>
      </c>
      <c r="M12" s="11" t="inlineStr">
        <is>
          <t>NO</t>
        </is>
      </c>
    </row>
    <row r="13" ht="23.25" customHeight="1" s="12">
      <c r="A13" s="14" t="inlineStr">
        <is>
          <t>B0012</t>
        </is>
      </c>
      <c r="B13" s="14" t="inlineStr">
        <is>
          <t>Adaptación al cambio</t>
        </is>
      </c>
      <c r="C13" s="14" t="inlineStr">
        <is>
          <t>Lo trasladan temporalmente a un servicio que no conoce.</t>
        </is>
      </c>
      <c r="D13" s="14" t="inlineStr">
        <is>
          <t>Solicita inducción, identifica los procedimientos críticos y pide retroalimentación</t>
        </is>
      </c>
      <c r="E13" s="14" t="inlineStr">
        <is>
          <t>Espera a que el jefe del servicio le asigne tareas simples</t>
        </is>
      </c>
      <c r="F13" s="14" t="inlineStr">
        <is>
          <t>Manifiesta que no es su área y limita su aporte</t>
        </is>
      </c>
      <c r="G13" s="14" t="n">
        <v>3</v>
      </c>
      <c r="H13" s="14" t="n">
        <v>2</v>
      </c>
      <c r="I13" s="14" t="n">
        <v>1</v>
      </c>
      <c r="J13" s="14" t="inlineStr">
        <is>
          <t>NO</t>
        </is>
      </c>
      <c r="L13" s="11" t="inlineStr">
        <is>
          <t>¿Qué hace usted?</t>
        </is>
      </c>
      <c r="M13" s="11" t="inlineStr">
        <is>
          <t>NO</t>
        </is>
      </c>
    </row>
    <row r="14" ht="23.25" customHeight="1" s="12">
      <c r="A14" s="14" t="inlineStr">
        <is>
          <t>B0013</t>
        </is>
      </c>
      <c r="B14" s="14" t="inlineStr">
        <is>
          <t>Aprendizaje continuo</t>
        </is>
      </c>
      <c r="C14" s="14" t="inlineStr">
        <is>
          <t>Se expide una norma que cambia un procedimiento a su cargo y usted no la conoce.</t>
        </is>
      </c>
      <c r="D14" s="14" t="inlineStr">
        <is>
          <t>Estudia el texto vigente, verifica su aplicabilidad y socializa los cambios con el equipo</t>
        </is>
      </c>
      <c r="E14" s="14" t="inlineStr">
        <is>
          <t>Consulta a un compañero y aplica lo que él le indique</t>
        </is>
      </c>
      <c r="F14" s="14" t="inlineStr">
        <is>
          <t>Sigue con el procedimiento anterior hasta que lo capaciten</t>
        </is>
      </c>
      <c r="G14" s="14" t="n">
        <v>3</v>
      </c>
      <c r="H14" s="14" t="n">
        <v>2</v>
      </c>
      <c r="I14" s="14" t="n">
        <v>1</v>
      </c>
      <c r="J14" s="14" t="inlineStr">
        <is>
          <t>NO</t>
        </is>
      </c>
      <c r="L14" s="11" t="inlineStr">
        <is>
          <t>¿Qué hace usted?</t>
        </is>
      </c>
      <c r="M14" s="11" t="inlineStr">
        <is>
          <t>NO</t>
        </is>
      </c>
    </row>
    <row r="15" ht="23.25" customHeight="1" s="12">
      <c r="A15" s="14" t="inlineStr">
        <is>
          <t>B0014</t>
        </is>
      </c>
      <c r="B15" s="14" t="inlineStr">
        <is>
          <t>Aprendizaje continuo</t>
        </is>
      </c>
      <c r="C15" s="14" t="inlineStr">
        <is>
          <t>Recibe retroalimentación crítica sobre un producto suyo.</t>
        </is>
      </c>
      <c r="D15" s="14" t="inlineStr">
        <is>
          <t>Pide ejemplos concretos, ajusta el producto y aplica el criterio en los siguientes</t>
        </is>
      </c>
      <c r="E15" s="14" t="inlineStr">
        <is>
          <t>Corrige lo señalado sin indagar la razón</t>
        </is>
      </c>
      <c r="F15" s="14" t="inlineStr">
        <is>
          <t>Explica por qué lo hizo así y mantiene su versión</t>
        </is>
      </c>
      <c r="G15" s="14" t="n">
        <v>3</v>
      </c>
      <c r="H15" s="14" t="n">
        <v>2</v>
      </c>
      <c r="I15" s="14" t="n">
        <v>1</v>
      </c>
      <c r="J15" s="14" t="inlineStr">
        <is>
          <t>NO</t>
        </is>
      </c>
      <c r="L15" s="11" t="inlineStr">
        <is>
          <t>¿Qué hace usted?</t>
        </is>
      </c>
      <c r="M15" s="11" t="inlineStr">
        <is>
          <t>NO</t>
        </is>
      </c>
    </row>
    <row r="16" ht="23.25" customHeight="1" s="12">
      <c r="A16" s="14" t="inlineStr">
        <is>
          <t>B0015</t>
        </is>
      </c>
      <c r="B16" s="14" t="inlineStr">
        <is>
          <t>Comunicación efectiva</t>
        </is>
      </c>
      <c r="C16" s="14" t="inlineStr">
        <is>
          <t>Debe explicar a la junta directiva un tema técnico complejo en cinco minutos.</t>
        </is>
      </c>
      <c r="D16" s="14" t="inlineStr">
        <is>
          <t>Prepara el mensaje central, lo traduce a lenguaje claro y anexa el soporte técnico</t>
        </is>
      </c>
      <c r="E16" s="14" t="inlineStr">
        <is>
          <t>Lee el informe técnico completo para no omitir nada</t>
        </is>
      </c>
      <c r="F16" s="14" t="inlineStr">
        <is>
          <t>Entrega el documento y responde solo si le preguntan</t>
        </is>
      </c>
      <c r="G16" s="14" t="n">
        <v>3</v>
      </c>
      <c r="H16" s="14" t="n">
        <v>2</v>
      </c>
      <c r="I16" s="14" t="n">
        <v>1</v>
      </c>
      <c r="J16" s="14" t="inlineStr">
        <is>
          <t>NO</t>
        </is>
      </c>
      <c r="L16" s="11" t="inlineStr">
        <is>
          <t>¿Qué hace usted?</t>
        </is>
      </c>
      <c r="M16" s="11" t="inlineStr">
        <is>
          <t>NO</t>
        </is>
      </c>
    </row>
    <row r="17" ht="23.25" customHeight="1" s="12">
      <c r="A17" s="14" t="inlineStr">
        <is>
          <t>B0016</t>
        </is>
      </c>
      <c r="B17" s="14" t="inlineStr">
        <is>
          <t>Aporte técnico-profesional</t>
        </is>
      </c>
      <c r="C17" s="14" t="inlineStr">
        <is>
          <t>Su jefe le pide un concepto y usted identifica que la solución propuesta tiene un riesgo jurídico.</t>
        </is>
      </c>
      <c r="D17" s="14" t="inlineStr">
        <is>
          <t>Expone el riesgo con fundamento normativo y plantea alternativas viables</t>
        </is>
      </c>
      <c r="E17" s="14" t="inlineStr">
        <is>
          <t>Emite el concepto en el sentido solicitado y menciona el riesgo al final</t>
        </is>
      </c>
      <c r="F17" s="14" t="inlineStr">
        <is>
          <t>Emite el concepto como se lo pidieron</t>
        </is>
      </c>
      <c r="G17" s="14" t="n">
        <v>3</v>
      </c>
      <c r="H17" s="14" t="n">
        <v>2</v>
      </c>
      <c r="I17" s="14" t="n">
        <v>1</v>
      </c>
      <c r="J17" s="14" t="inlineStr">
        <is>
          <t>NO</t>
        </is>
      </c>
      <c r="L17" s="11" t="inlineStr">
        <is>
          <t>¿Qué hace usted?</t>
        </is>
      </c>
      <c r="M17" s="11" t="inlineStr">
        <is>
          <t>NO</t>
        </is>
      </c>
    </row>
    <row r="18" ht="23.25" customHeight="1" s="12">
      <c r="A18" s="14" t="inlineStr">
        <is>
          <t>B0017</t>
        </is>
      </c>
      <c r="B18" s="14" t="inlineStr">
        <is>
          <t>Confiabilidad técnica</t>
        </is>
      </c>
      <c r="C18" s="14" t="inlineStr">
        <is>
          <t>Recibe una solicitud que excede su competencia técnica y podría afectar la seguridad del paciente.</t>
        </is>
      </c>
      <c r="D18" s="14" t="inlineStr">
        <is>
          <t>Informa el límite de su competencia y escala el caso al profesional responsable</t>
        </is>
      </c>
      <c r="E18" s="14" t="inlineStr">
        <is>
          <t>Consulta por internet y responde lo que encuentra</t>
        </is>
      </c>
      <c r="F18" s="14" t="inlineStr">
        <is>
          <t>Resuelve como puede para no demorar el trámite</t>
        </is>
      </c>
      <c r="G18" s="14" t="n">
        <v>3</v>
      </c>
      <c r="H18" s="14" t="n">
        <v>2</v>
      </c>
      <c r="I18" s="14" t="n">
        <v>1</v>
      </c>
      <c r="J18" s="14" t="inlineStr">
        <is>
          <t>NO</t>
        </is>
      </c>
      <c r="L18" s="11" t="inlineStr">
        <is>
          <t>¿Qué hace usted?</t>
        </is>
      </c>
      <c r="M18" s="11" t="inlineStr">
        <is>
          <t>NO</t>
        </is>
      </c>
    </row>
    <row r="19" ht="23.25" customHeight="1" s="12">
      <c r="A19" s="14" t="inlineStr">
        <is>
          <t>B0018</t>
        </is>
      </c>
      <c r="B19" s="14" t="inlineStr">
        <is>
          <t>Disciplina</t>
        </is>
      </c>
      <c r="C19" s="14" t="inlineStr">
        <is>
          <t>Un procedimiento institucional le parece innecesariamente largo.</t>
        </is>
      </c>
      <c r="D19" s="14" t="inlineStr">
        <is>
          <t>Lo cumple mientras propone formalmente su mejora con evidencia</t>
        </is>
      </c>
      <c r="E19" s="14" t="inlineStr">
        <is>
          <t>Lo cumple parcialmente por eficiencia</t>
        </is>
      </c>
      <c r="F19" s="14" t="inlineStr">
        <is>
          <t>Lo omite y avisa después</t>
        </is>
      </c>
      <c r="G19" s="14" t="n">
        <v>3</v>
      </c>
      <c r="H19" s="14" t="n">
        <v>2</v>
      </c>
      <c r="I19" s="14" t="n">
        <v>1</v>
      </c>
      <c r="J19" s="14" t="inlineStr">
        <is>
          <t>NO</t>
        </is>
      </c>
      <c r="L19" s="11" t="inlineStr">
        <is>
          <t>¿Qué hace usted?</t>
        </is>
      </c>
      <c r="M19" s="11" t="inlineStr">
        <is>
          <t>NO</t>
        </is>
      </c>
    </row>
    <row r="20" ht="23.25" customHeight="1" s="12">
      <c r="A20" s="14" t="inlineStr">
        <is>
          <t>B0019</t>
        </is>
      </c>
      <c r="B20" s="14" t="inlineStr">
        <is>
          <t>Orientación a resultados</t>
        </is>
      </c>
      <c r="C20" s="14" t="inlineStr">
        <is>
          <t>Su jefe le pide un dato que usted sabe que está desactualizado en el sistema.</t>
        </is>
      </c>
      <c r="D20" s="14" t="inlineStr">
        <is>
          <t>Entrega el dato advirtiendo la fecha de corte y propone cómo actualizarlo</t>
        </is>
      </c>
      <c r="E20" s="14" t="inlineStr">
        <is>
          <t>Entrega el dato sin advertencia</t>
        </is>
      </c>
      <c r="F20" s="14" t="inlineStr">
        <is>
          <t>Dice que no hay información disponible</t>
        </is>
      </c>
      <c r="G20" s="14" t="n">
        <v>3</v>
      </c>
      <c r="H20" s="14" t="n">
        <v>2</v>
      </c>
      <c r="I20" s="14" t="n">
        <v>1</v>
      </c>
      <c r="J20" s="14" t="inlineStr">
        <is>
          <t>NO</t>
        </is>
      </c>
      <c r="L20" s="11" t="inlineStr">
        <is>
          <t>¿Qué hace usted?</t>
        </is>
      </c>
      <c r="M20" s="11" t="inlineStr">
        <is>
          <t>NO</t>
        </is>
      </c>
    </row>
    <row r="21" ht="23.25" customHeight="1" s="12">
      <c r="A21" s="14" t="inlineStr">
        <is>
          <t>B0020</t>
        </is>
      </c>
      <c r="B21" s="14" t="inlineStr">
        <is>
          <t>Transparencia</t>
        </is>
      </c>
      <c r="C21" s="14" t="inlineStr">
        <is>
          <t>Un compañero le pide su usuario y contraseña para adelantar un registro urgente.</t>
        </is>
      </c>
      <c r="D21" s="14" t="inlineStr">
        <is>
          <t>Se niega y ofrece hacer el registro usted mismo o gestionar el permiso</t>
        </is>
      </c>
      <c r="E21" s="14" t="inlineStr">
        <is>
          <t>Se lo presta solo por esta vez</t>
        </is>
      </c>
      <c r="F21" s="14" t="inlineStr">
        <is>
          <t>Se lo presta y le pide que no lo comente</t>
        </is>
      </c>
      <c r="G21" s="14" t="n">
        <v>3</v>
      </c>
      <c r="H21" s="14" t="n">
        <v>2</v>
      </c>
      <c r="I21" s="14" t="n">
        <v>1</v>
      </c>
      <c r="J21" s="14" t="inlineStr">
        <is>
          <t>NO</t>
        </is>
      </c>
      <c r="L21" s="11" t="inlineStr">
        <is>
          <t>¿Qué hace usted?</t>
        </is>
      </c>
      <c r="M21" s="11" t="inlineStr">
        <is>
          <t>NO</t>
        </is>
      </c>
    </row>
    <row r="22" ht="23.25" customHeight="1" s="12">
      <c r="A22" s="14" t="inlineStr">
        <is>
          <t>B0021</t>
        </is>
      </c>
      <c r="B22" s="14" t="inlineStr">
        <is>
          <t>Compromiso con la organización</t>
        </is>
      </c>
      <c r="C22" s="14" t="inlineStr">
        <is>
          <t>Le asignan una tarea que nadie quiere y que no suma a sus indicadores.</t>
        </is>
      </c>
      <c r="D22" s="14" t="inlineStr">
        <is>
          <t>La asume con el mismo estándar y propone cómo hacerla sostenible</t>
        </is>
      </c>
      <c r="E22" s="14" t="inlineStr">
        <is>
          <t>La hace a medias</t>
        </is>
      </c>
      <c r="F22" s="14" t="inlineStr">
        <is>
          <t>La devuelve alegando que no le corresponde</t>
        </is>
      </c>
      <c r="G22" s="14" t="n">
        <v>3</v>
      </c>
      <c r="H22" s="14" t="n">
        <v>2</v>
      </c>
      <c r="I22" s="14" t="n">
        <v>1</v>
      </c>
      <c r="J22" s="14" t="inlineStr">
        <is>
          <t>NO</t>
        </is>
      </c>
      <c r="L22" s="11" t="inlineStr">
        <is>
          <t>¿Qué hace usted?</t>
        </is>
      </c>
      <c r="M22" s="11" t="inlineStr">
        <is>
          <t>NO</t>
        </is>
      </c>
    </row>
    <row r="23" ht="23.25" customHeight="1" s="12">
      <c r="A23" s="14" t="inlineStr">
        <is>
          <t>B0022</t>
        </is>
      </c>
      <c r="B23" s="14" t="inlineStr">
        <is>
          <t>Trabajo en equipo</t>
        </is>
      </c>
      <c r="C23" s="14" t="inlineStr">
        <is>
          <t>Otra área comete un error que afecta su proceso.</t>
        </is>
      </c>
      <c r="D23" s="14" t="inlineStr">
        <is>
          <t>Lo informa con datos al responsable y propone un ajuste conjunto</t>
        </is>
      </c>
      <c r="E23" s="14" t="inlineStr">
        <is>
          <t>Corrige el efecto en su proceso y no dice nada</t>
        </is>
      </c>
      <c r="F23" s="14" t="inlineStr">
        <is>
          <t>Lo comenta con terceros sin avisar al área</t>
        </is>
      </c>
      <c r="G23" s="14" t="n">
        <v>3</v>
      </c>
      <c r="H23" s="14" t="n">
        <v>2</v>
      </c>
      <c r="I23" s="14" t="n">
        <v>1</v>
      </c>
      <c r="J23" s="14" t="inlineStr">
        <is>
          <t>NO</t>
        </is>
      </c>
      <c r="L23" s="11" t="inlineStr">
        <is>
          <t>¿Qué hace usted?</t>
        </is>
      </c>
      <c r="M23" s="11" t="inlineStr">
        <is>
          <t>NO</t>
        </is>
      </c>
    </row>
    <row r="24" ht="23.25" customHeight="1" s="12">
      <c r="A24" s="14" t="inlineStr">
        <is>
          <t>B0023</t>
        </is>
      </c>
      <c r="B24" s="14" t="inlineStr">
        <is>
          <t>Orientación al usuario y al ciudadano</t>
        </is>
      </c>
      <c r="C24" s="14" t="inlineStr">
        <is>
          <t>Un usuario pide una información que usted no conoce.</t>
        </is>
      </c>
      <c r="D24" s="14" t="inlineStr">
        <is>
          <t>Consulta con quien sabe, confirma y le responde en el momento o le da un plazo cierto</t>
        </is>
      </c>
      <c r="E24" s="14" t="inlineStr">
        <is>
          <t>Le da una respuesta aproximada</t>
        </is>
      </c>
      <c r="F24" s="14" t="inlineStr">
        <is>
          <t>Le dice que pregunte en otra parte</t>
        </is>
      </c>
      <c r="G24" s="14" t="n">
        <v>3</v>
      </c>
      <c r="H24" s="14" t="n">
        <v>2</v>
      </c>
      <c r="I24" s="14" t="n">
        <v>1</v>
      </c>
      <c r="J24" s="14" t="inlineStr">
        <is>
          <t>NO</t>
        </is>
      </c>
      <c r="L24" s="11" t="inlineStr">
        <is>
          <t>¿Qué hace usted?</t>
        </is>
      </c>
      <c r="M24" s="11" t="inlineStr">
        <is>
          <t>NO</t>
        </is>
      </c>
    </row>
    <row r="25" ht="23.25" customHeight="1" s="12">
      <c r="A25" s="14" t="inlineStr">
        <is>
          <t>B0024</t>
        </is>
      </c>
      <c r="B25" s="14" t="inlineStr">
        <is>
          <t>Adaptación al cambio</t>
        </is>
      </c>
      <c r="C25" s="14" t="inlineStr">
        <is>
          <t>Cambian el horario de su turno por reorganización del servicio.</t>
        </is>
      </c>
      <c r="D25" s="14" t="inlineStr">
        <is>
          <t>Se ajusta, plantea por el canal formal las dificultades reales y propone alternativas</t>
        </is>
      </c>
      <c r="E25" s="14" t="inlineStr">
        <is>
          <t>Cumple el nuevo horario en silencio aunque afecte el servicio</t>
        </is>
      </c>
      <c r="F25" s="14" t="inlineStr">
        <is>
          <t>Se niega a cambiar</t>
        </is>
      </c>
      <c r="G25" s="14" t="n">
        <v>3</v>
      </c>
      <c r="H25" s="14" t="n">
        <v>2</v>
      </c>
      <c r="I25" s="14" t="n">
        <v>1</v>
      </c>
      <c r="J25" s="14" t="inlineStr">
        <is>
          <t>NO</t>
        </is>
      </c>
      <c r="L25" s="11" t="inlineStr">
        <is>
          <t>¿Qué hace usted?</t>
        </is>
      </c>
      <c r="M25" s="11" t="inlineStr">
        <is>
          <t>NO</t>
        </is>
      </c>
    </row>
    <row r="26" ht="23.25" customHeight="1" s="12">
      <c r="A26" s="14" t="inlineStr">
        <is>
          <t>B0025</t>
        </is>
      </c>
      <c r="B26" s="14" t="inlineStr">
        <is>
          <t>Aprendizaje continuo</t>
        </is>
      </c>
      <c r="C26" s="14" t="inlineStr">
        <is>
          <t>Su equipo comete el mismo error dos veces en un mes.</t>
        </is>
      </c>
      <c r="D26" s="14" t="inlineStr">
        <is>
          <t>Analiza la causa con el equipo y documenta el ajuste del procedimiento</t>
        </is>
      </c>
      <c r="E26" s="14" t="inlineStr">
        <is>
          <t>Recuerda verbalmente cómo se hace</t>
        </is>
      </c>
      <c r="F26" s="14" t="inlineStr">
        <is>
          <t>Corrige usted los casos y sigue</t>
        </is>
      </c>
      <c r="G26" s="14" t="n">
        <v>3</v>
      </c>
      <c r="H26" s="14" t="n">
        <v>2</v>
      </c>
      <c r="I26" s="14" t="n">
        <v>1</v>
      </c>
      <c r="J26" s="14" t="inlineStr">
        <is>
          <t>NO</t>
        </is>
      </c>
      <c r="L26" s="11" t="inlineStr">
        <is>
          <t>¿Qué hace usted?</t>
        </is>
      </c>
      <c r="M26" s="11" t="inlineStr">
        <is>
          <t>NO</t>
        </is>
      </c>
    </row>
    <row r="27" ht="23.25" customHeight="1" s="12">
      <c r="A27" s="14" t="inlineStr">
        <is>
          <t>B0026</t>
        </is>
      </c>
      <c r="B27" s="14" t="inlineStr">
        <is>
          <t>Comunicación efectiva</t>
        </is>
      </c>
      <c r="C27" s="14" t="inlineStr">
        <is>
          <t>Debe dar una noticia incómoda a un usuario: su trámite se demorará.</t>
        </is>
      </c>
      <c r="D27" s="14" t="inlineStr">
        <is>
          <t>Le explica la causa, el plazo estimado y qué hará la entidad mientras tanto</t>
        </is>
      </c>
      <c r="E27" s="14" t="inlineStr">
        <is>
          <t>Le dice que el sistema está lento</t>
        </is>
      </c>
      <c r="F27" s="14" t="inlineStr">
        <is>
          <t>Evita el tema hasta que él pregunte</t>
        </is>
      </c>
      <c r="G27" s="14" t="n">
        <v>3</v>
      </c>
      <c r="H27" s="14" t="n">
        <v>2</v>
      </c>
      <c r="I27" s="14" t="n">
        <v>1</v>
      </c>
      <c r="J27" s="14" t="inlineStr">
        <is>
          <t>NO</t>
        </is>
      </c>
      <c r="L27" s="11" t="inlineStr">
        <is>
          <t>¿Qué hace usted?</t>
        </is>
      </c>
      <c r="M27" s="11" t="inlineStr">
        <is>
          <t>NO</t>
        </is>
      </c>
    </row>
    <row r="28" ht="15" customHeight="1" s="12">
      <c r="A28" s="14" t="inlineStr">
        <is>
          <t>B0027</t>
        </is>
      </c>
      <c r="B28" s="14" t="inlineStr">
        <is>
          <t>Confiabilidad técnica</t>
        </is>
      </c>
      <c r="C28" s="14" t="inlineStr">
        <is>
          <t>Detecta que un dato del informe que firmó tiene un error de cálculo.</t>
        </is>
      </c>
      <c r="D28" s="14" t="inlineStr">
        <is>
          <t>Avisa, corrige y verifica si afectó decisiones ya tomadas</t>
        </is>
      </c>
      <c r="E28" s="14" t="inlineStr">
        <is>
          <t>Corrige la próxima versión</t>
        </is>
      </c>
      <c r="F28" s="14" t="inlineStr">
        <is>
          <t>Deja el dato porque el error es pequeño</t>
        </is>
      </c>
      <c r="G28" s="14" t="n">
        <v>3</v>
      </c>
      <c r="H28" s="14" t="n">
        <v>2</v>
      </c>
      <c r="I28" s="14" t="n">
        <v>1</v>
      </c>
      <c r="J28" s="14" t="inlineStr">
        <is>
          <t>NO</t>
        </is>
      </c>
      <c r="L28" s="11" t="inlineStr">
        <is>
          <t>¿Qué hace usted?</t>
        </is>
      </c>
      <c r="M28" s="11" t="inlineStr">
        <is>
          <t>NO</t>
        </is>
      </c>
    </row>
    <row r="29" ht="23.25" customHeight="1" s="12">
      <c r="A29" s="14" t="inlineStr">
        <is>
          <t>B0028</t>
        </is>
      </c>
      <c r="B29" s="14" t="inlineStr">
        <is>
          <t>Disciplina</t>
        </is>
      </c>
      <c r="C29" s="14" t="inlineStr">
        <is>
          <t>Su jefe le da una instrucción verbal que contradice un procedimiento vigente.</t>
        </is>
      </c>
      <c r="D29" s="14" t="inlineStr">
        <is>
          <t>Pide la instrucción por escrito y advierte el conflicto con el procedimiento</t>
        </is>
      </c>
      <c r="E29" s="14" t="inlineStr">
        <is>
          <t>La cumple por ser una orden</t>
        </is>
      </c>
      <c r="F29" s="14" t="inlineStr">
        <is>
          <t>La ignora sin decir nada</t>
        </is>
      </c>
      <c r="G29" s="14" t="n">
        <v>3</v>
      </c>
      <c r="H29" s="14" t="n">
        <v>2</v>
      </c>
      <c r="I29" s="14" t="n">
        <v>1</v>
      </c>
      <c r="J29" s="14" t="inlineStr">
        <is>
          <t>NO</t>
        </is>
      </c>
      <c r="L29" s="11" t="inlineStr">
        <is>
          <t>¿Qué hace usted?</t>
        </is>
      </c>
      <c r="M29" s="11" t="inlineStr">
        <is>
          <t>NO</t>
        </is>
      </c>
    </row>
    <row r="30" ht="15" customHeight="1" s="12">
      <c r="A30" s="14" t="inlineStr">
        <is>
          <t>B0029</t>
        </is>
      </c>
      <c r="B30" s="14" t="inlineStr">
        <is>
          <t>Responsabilidad</t>
        </is>
      </c>
      <c r="C30" s="14" t="inlineStr">
        <is>
          <t>Termina su turno y queda un pendiente que solo usted conoce.</t>
        </is>
      </c>
      <c r="D30" s="14" t="inlineStr">
        <is>
          <t>Lo entrega documentado a quien recibe el turno</t>
        </is>
      </c>
      <c r="E30" s="14" t="inlineStr">
        <is>
          <t>Lo deja anotado en un papel suelto</t>
        </is>
      </c>
      <c r="F30" s="14" t="inlineStr">
        <is>
          <t>Lo resuelve al día siguiente</t>
        </is>
      </c>
      <c r="G30" s="14" t="n">
        <v>3</v>
      </c>
      <c r="H30" s="14" t="n">
        <v>2</v>
      </c>
      <c r="I30" s="14" t="n">
        <v>1</v>
      </c>
      <c r="J30" s="14" t="inlineStr">
        <is>
          <t>NO</t>
        </is>
      </c>
      <c r="L30" s="11" t="inlineStr">
        <is>
          <t>¿Qué hace usted?</t>
        </is>
      </c>
      <c r="M30" s="11" t="inlineStr">
        <is>
          <t>NO</t>
        </is>
      </c>
    </row>
    <row r="31" ht="23.25" customHeight="1" s="12">
      <c r="A31" s="14" t="inlineStr">
        <is>
          <t>B0030</t>
        </is>
      </c>
      <c r="B31" s="14" t="inlineStr">
        <is>
          <t>Gestión de procedimientos</t>
        </is>
      </c>
      <c r="C31" s="14" t="inlineStr">
        <is>
          <t>Un usuario le pide saltarse un paso del procedimiento por urgencia.</t>
        </is>
      </c>
      <c r="D31" s="14" t="inlineStr">
        <is>
          <t>Explica por qué existe el paso y busca la ruta prevista para casos urgentes</t>
        </is>
      </c>
      <c r="E31" s="14" t="inlineStr">
        <is>
          <t>Se lo salta por esta vez</t>
        </is>
      </c>
      <c r="F31" s="14" t="inlineStr">
        <is>
          <t>Le dice que no hay nada que hacer</t>
        </is>
      </c>
      <c r="G31" s="14" t="n">
        <v>3</v>
      </c>
      <c r="H31" s="14" t="n">
        <v>2</v>
      </c>
      <c r="I31" s="14" t="n">
        <v>1</v>
      </c>
      <c r="J31" s="14" t="inlineStr">
        <is>
          <t>NO</t>
        </is>
      </c>
      <c r="L31" s="11" t="inlineStr">
        <is>
          <t>¿Qué hace usted?</t>
        </is>
      </c>
      <c r="M31" s="11" t="inlineStr">
        <is>
          <t>NO</t>
        </is>
      </c>
    </row>
    <row r="32" ht="57" customHeight="1" s="12">
      <c r="A32" s="14" t="inlineStr">
        <is>
          <t>B0031</t>
        </is>
      </c>
      <c r="B32" s="14" t="inlineStr">
        <is>
          <t>Orientación al usuario y al ciudadano</t>
        </is>
      </c>
      <c r="C32" s="14" t="inlineStr">
        <is>
          <t>Son las 11:40 y usted atiende el último turno antes del almuerzo. Llega una señora de otro municipio que viajó dos horas y trae la documentación incompleta: le falta un soporte que puede pedir por correo, pero tardaría dos días. Detrás hay cuatro personas esperando y su jefe insiste en cumplir el indicador de tiempo de atención.</t>
        </is>
      </c>
      <c r="D32" s="14" t="inlineStr">
        <is>
          <t>Recibe lo que trae, le indica con precisión cómo enviar el soporte faltante y le deja el trámite radicado</t>
        </is>
      </c>
      <c r="E32" s="14" t="inlineStr">
        <is>
          <t>Le explica que sin el soporte no puede radicar y le entrega por escrito la lista de lo que debe traer</t>
        </is>
      </c>
      <c r="F32" s="14" t="inlineStr">
        <is>
          <t>Le recibe todo sin revisar para no demorar la fila y le dice que después la llaman si algo falta</t>
        </is>
      </c>
      <c r="G32" s="14" t="n">
        <v>3</v>
      </c>
      <c r="H32" s="14" t="n">
        <v>2</v>
      </c>
      <c r="I32" s="14" t="n">
        <v>1</v>
      </c>
      <c r="J32" s="14" t="inlineStr">
        <is>
          <t>SI</t>
        </is>
      </c>
      <c r="K32" s="14" t="inlineStr">
        <is>
          <t>v2</t>
        </is>
      </c>
      <c r="L32" s="11" t="inlineStr">
        <is>
          <t>¿Qué hace usted?</t>
        </is>
      </c>
      <c r="M32" s="11" t="inlineStr">
        <is>
          <t>NO</t>
        </is>
      </c>
    </row>
    <row r="33" ht="45.75" customHeight="1" s="12">
      <c r="A33" s="14" t="inlineStr">
        <is>
          <t>B0032</t>
        </is>
      </c>
      <c r="B33" s="14" t="inlineStr">
        <is>
          <t>Orientación al usuario y al ciudadano</t>
        </is>
      </c>
      <c r="C33" s="14" t="inlineStr">
        <is>
          <t>Un usuario lleva veinte minutos discutiendo en voz alta porque su cita fue reprogramada. El agendamiento no depende de usted y la sala está llena de pacientes esperando. Su compañera le sugiere que lo ignore hasta que se canse y el vigilante pregunta si lo retira del lugar.</t>
        </is>
      </c>
      <c r="D33" s="14" t="inlineStr">
        <is>
          <t>Lo atiende en un espacio aparte, verifica su caso en el sistema y le da una respuesta con fecha concreta</t>
        </is>
      </c>
      <c r="E33" s="14" t="inlineStr">
        <is>
          <t>Escucha su reclamo en la ventanilla, le pide calma y le entrega el formato para presentar la queja formal</t>
        </is>
      </c>
      <c r="F33" s="14" t="inlineStr">
        <is>
          <t>Le explica que el agendamiento no es su área y le indica en qué oficina puede reclamar por ese asunto</t>
        </is>
      </c>
      <c r="G33" s="14" t="n">
        <v>3</v>
      </c>
      <c r="H33" s="14" t="n">
        <v>2</v>
      </c>
      <c r="I33" s="14" t="n">
        <v>1</v>
      </c>
      <c r="J33" s="14" t="inlineStr">
        <is>
          <t>SI</t>
        </is>
      </c>
      <c r="K33" s="14" t="inlineStr">
        <is>
          <t>v2</t>
        </is>
      </c>
      <c r="L33" s="11" t="inlineStr">
        <is>
          <t>¿Qué hace usted?</t>
        </is>
      </c>
      <c r="M33" s="11" t="inlineStr">
        <is>
          <t>NO</t>
        </is>
      </c>
    </row>
    <row r="34" ht="45.75" customHeight="1" s="12">
      <c r="A34" s="14" t="inlineStr">
        <is>
          <t>B0033</t>
        </is>
      </c>
      <c r="B34" s="14" t="inlineStr">
        <is>
          <t>Orientación a resultados</t>
        </is>
      </c>
      <c r="C34" s="14" t="inlineStr">
        <is>
          <t>El informe mensual vence mañana y falta un dato que depende de otra dependencia que no responde hace tres días. Su jefe está de comisión y no contesta. Entregar incompleto afecta el indicador del área; entregar tarde también, y ambos quedan registrados en el sistema de seguimiento.</t>
        </is>
      </c>
      <c r="D34" s="14" t="inlineStr">
        <is>
          <t>Reitera la solicitud por escrito, informa el riesgo al superior encargado y entrega con el dato pendiente identificado</t>
        </is>
      </c>
      <c r="E34" s="14" t="inlineStr">
        <is>
          <t>Entrega el informe con el dato en blanco y una nota que identifica cuál dependencia no lo remitió a tiempo</t>
        </is>
      </c>
      <c r="F34" s="14" t="inlineStr">
        <is>
          <t>Estima el dato con el promedio de los meses anteriores para poder entregar el informe completo a tiempo</t>
        </is>
      </c>
      <c r="G34" s="14" t="n">
        <v>3</v>
      </c>
      <c r="H34" s="14" t="n">
        <v>2</v>
      </c>
      <c r="I34" s="14" t="n">
        <v>1</v>
      </c>
      <c r="J34" s="14" t="inlineStr">
        <is>
          <t>SI</t>
        </is>
      </c>
      <c r="K34" s="14" t="inlineStr">
        <is>
          <t>v2</t>
        </is>
      </c>
      <c r="L34" s="11" t="inlineStr">
        <is>
          <t>¿Qué hace usted?</t>
        </is>
      </c>
      <c r="M34" s="11" t="inlineStr">
        <is>
          <t>NO</t>
        </is>
      </c>
    </row>
    <row r="35" ht="45.75" customHeight="1" s="12">
      <c r="A35" s="14" t="inlineStr">
        <is>
          <t>B0034</t>
        </is>
      </c>
      <c r="B35" s="14" t="inlineStr">
        <is>
          <t>Orientación a resultados</t>
        </is>
      </c>
      <c r="C35" s="14" t="inlineStr">
        <is>
          <t>Le asignan tres tareas para el mismo viernes: un reporte a un ente de control, una presentación para la junta directiva y la revisión de un procedimiento interno. Ninguna puede aplazarse sin costo, y su jefe le dice que las tres son prioritarias y que se organice como pueda.</t>
        </is>
      </c>
      <c r="D35" s="14" t="inlineStr">
        <is>
          <t>Estima el tiempo de cada una, propone al jefe un orden con fechas y confirma por escrito lo acordado</t>
        </is>
      </c>
      <c r="E35" s="14" t="inlineStr">
        <is>
          <t>Empieza por la del ente de control, que tiene consecuencias legales, y avanza con las otras según alcance</t>
        </is>
      </c>
      <c r="F35" s="14" t="inlineStr">
        <is>
          <t>Trabaja en las tres de manera simultánea y entrega el viernes lo que haya logrado adelantar de cada una</t>
        </is>
      </c>
      <c r="G35" s="14" t="n">
        <v>3</v>
      </c>
      <c r="H35" s="14" t="n">
        <v>2</v>
      </c>
      <c r="I35" s="14" t="n">
        <v>1</v>
      </c>
      <c r="J35" s="14" t="inlineStr">
        <is>
          <t>SI</t>
        </is>
      </c>
      <c r="K35" s="14" t="inlineStr">
        <is>
          <t>v2</t>
        </is>
      </c>
      <c r="L35" s="11" t="inlineStr">
        <is>
          <t>¿Qué hace usted?</t>
        </is>
      </c>
      <c r="M35" s="11" t="inlineStr">
        <is>
          <t>NO</t>
        </is>
      </c>
    </row>
    <row r="36" ht="45.75" customHeight="1" s="12">
      <c r="A36" s="14" t="inlineStr">
        <is>
          <t>B0035</t>
        </is>
      </c>
      <c r="B36" s="14" t="inlineStr">
        <is>
          <t>Transparencia</t>
        </is>
      </c>
      <c r="C36" s="14" t="inlineStr">
        <is>
          <t>Un proveedor con el que usted tramita un contrato le envía por la fiesta de fin de año una canasta navideña a su casa, sin remitente visible. Usted la recibe sin saber de quién era y al día siguiente él se lo comenta entre risas en una llamada de trabajo.</t>
        </is>
      </c>
      <c r="D36" s="14" t="inlineStr">
        <is>
          <t>Devuelve la canasta, deja constancia escrita del hecho ante su jefe y continúa el trámite con normalidad</t>
        </is>
      </c>
      <c r="E36" s="14" t="inlineStr">
        <is>
          <t>Devuelve la canasta al proveedor, le pide que no se repita y no informa el hecho dentro de la entidad</t>
        </is>
      </c>
      <c r="F36" s="14" t="inlineStr">
        <is>
          <t>Conserva la canasta porque ya fue recibida y decide no volver a tratar temas personales con ese proveedor</t>
        </is>
      </c>
      <c r="G36" s="14" t="n">
        <v>3</v>
      </c>
      <c r="H36" s="14" t="n">
        <v>2</v>
      </c>
      <c r="I36" s="14" t="n">
        <v>1</v>
      </c>
      <c r="J36" s="14" t="inlineStr">
        <is>
          <t>SI</t>
        </is>
      </c>
      <c r="K36" s="14" t="inlineStr">
        <is>
          <t>v2</t>
        </is>
      </c>
      <c r="L36" s="11" t="inlineStr">
        <is>
          <t>¿Qué hace usted?</t>
        </is>
      </c>
      <c r="M36" s="11" t="inlineStr">
        <is>
          <t>NO</t>
        </is>
      </c>
    </row>
    <row r="37" ht="45.75" customHeight="1" s="12">
      <c r="A37" s="14" t="inlineStr">
        <is>
          <t>B0036</t>
        </is>
      </c>
      <c r="B37" s="14" t="inlineStr">
        <is>
          <t>Transparencia</t>
        </is>
      </c>
      <c r="C37" s="14" t="inlineStr">
        <is>
          <t>Su cuñado se presenta a una convocatoria de prestación de servicios en la que usted revisa las hojas de vida. Es el candidato con mejor perfil y la entidad necesita cubrir el cargo esta semana. Nadie en la oficina conoce el parentesco y su jefe le pide agilizar la evaluación.</t>
        </is>
      </c>
      <c r="D37" s="14" t="inlineStr">
        <is>
          <t>Declara el impedimento por escrito, se aparta de la evaluación y propone quién puede asumirla esta semana</t>
        </is>
      </c>
      <c r="E37" s="14" t="inlineStr">
        <is>
          <t>Le comenta el parentesco a su jefe de manera verbal y continúa la evaluación aplicando criterios objetivos</t>
        </is>
      </c>
      <c r="F37" s="14" t="inlineStr">
        <is>
          <t>Evalúa las hojas de vida y deja que sea el jefe quien tome la decisión final sobre la contratación</t>
        </is>
      </c>
      <c r="G37" s="14" t="n">
        <v>3</v>
      </c>
      <c r="H37" s="14" t="n">
        <v>2</v>
      </c>
      <c r="I37" s="14" t="n">
        <v>1</v>
      </c>
      <c r="J37" s="14" t="inlineStr">
        <is>
          <t>SI</t>
        </is>
      </c>
      <c r="K37" s="14" t="inlineStr">
        <is>
          <t>v2</t>
        </is>
      </c>
      <c r="L37" s="11" t="inlineStr">
        <is>
          <t>¿Qué hace usted?</t>
        </is>
      </c>
      <c r="M37" s="11" t="inlineStr">
        <is>
          <t>NO</t>
        </is>
      </c>
    </row>
    <row r="38" ht="45.75" customHeight="1" s="12">
      <c r="A38" s="14" t="inlineStr">
        <is>
          <t>B0037</t>
        </is>
      </c>
      <c r="B38" s="14" t="inlineStr">
        <is>
          <t>Compromiso con la organización</t>
        </is>
      </c>
      <c r="C38" s="14" t="inlineStr">
        <is>
          <t>Detecta que un informe suyo, ya enviado a la gerencia y citado en una reunión con el ente de control, tiene un error de cálculo que cambia una cifra en un ocho por ciento. Nadie lo ha notado. Corregirlo implica reconocer el error frente a quienes ya usaron el dato.</t>
        </is>
      </c>
      <c r="D38" s="14" t="inlineStr">
        <is>
          <t>Informa el error de inmediato, remite la versión corregida y precisa qué decisiones pudo haber afectado</t>
        </is>
      </c>
      <c r="E38" s="14" t="inlineStr">
        <is>
          <t>Corrige el archivo, lo reenvía con el asunto actualizado y espera a que alguien pregunte por la diferencia</t>
        </is>
      </c>
      <c r="F38" s="14" t="inlineStr">
        <is>
          <t>Deja el dato como está y ajusta los informes siguientes para que la serie quede consistente hacia adelante</t>
        </is>
      </c>
      <c r="G38" s="14" t="n">
        <v>3</v>
      </c>
      <c r="H38" s="14" t="n">
        <v>2</v>
      </c>
      <c r="I38" s="14" t="n">
        <v>1</v>
      </c>
      <c r="J38" s="14" t="inlineStr">
        <is>
          <t>SI</t>
        </is>
      </c>
      <c r="K38" s="14" t="inlineStr">
        <is>
          <t>v2</t>
        </is>
      </c>
      <c r="L38" s="11" t="inlineStr">
        <is>
          <t>¿Qué hace usted?</t>
        </is>
      </c>
      <c r="M38" s="11" t="inlineStr">
        <is>
          <t>NO</t>
        </is>
      </c>
    </row>
    <row r="39" ht="45.75" customHeight="1" s="12">
      <c r="A39" s="14" t="inlineStr">
        <is>
          <t>B0038</t>
        </is>
      </c>
      <c r="B39" s="14" t="inlineStr">
        <is>
          <t>Compromiso con la organización</t>
        </is>
      </c>
      <c r="C39" s="14" t="inlineStr">
        <is>
          <t>En una reunión con usuarios, un compañero critica en voz alta la gestión de la entidad y afirma que los procesos no sirven. Varios asistentes asienten. Usted comparte parte del diagnóstico, pero no la forma ni el lugar, y el compañero es más antiguo que usted en la institución.</t>
        </is>
      </c>
      <c r="D39" s="14" t="inlineStr">
        <is>
          <t>Reencauza la reunión hacia lo que sí puede resolverse y luego habla en privado con el compañero</t>
        </is>
      </c>
      <c r="E39" s="14" t="inlineStr">
        <is>
          <t>Guarda silencio en la reunión y después lleva el tema al comité interno donde corresponde tratarlo</t>
        </is>
      </c>
      <c r="F39" s="14" t="inlineStr">
        <is>
          <t>Aclara en el momento que esa es una opinión personal suya y continúa con el orden del día previsto</t>
        </is>
      </c>
      <c r="G39" s="14" t="n">
        <v>3</v>
      </c>
      <c r="H39" s="14" t="n">
        <v>2</v>
      </c>
      <c r="I39" s="14" t="n">
        <v>1</v>
      </c>
      <c r="J39" s="14" t="inlineStr">
        <is>
          <t>SI</t>
        </is>
      </c>
      <c r="K39" s="14" t="inlineStr">
        <is>
          <t>v2</t>
        </is>
      </c>
      <c r="L39" s="11" t="inlineStr">
        <is>
          <t>¿Qué hace usted?</t>
        </is>
      </c>
      <c r="M39" s="11" t="inlineStr">
        <is>
          <t>NO</t>
        </is>
      </c>
    </row>
    <row r="40" ht="45.75" customHeight="1" s="12">
      <c r="A40" s="14" t="inlineStr">
        <is>
          <t>B0039</t>
        </is>
      </c>
      <c r="B40" s="14" t="inlineStr">
        <is>
          <t>Trabajo en equipo</t>
        </is>
      </c>
      <c r="C40" s="14" t="inlineStr">
        <is>
          <t>Un compañero de su equipo está atrasado porque asumió el trabajo de otra persona que salió a incapacidad. La entrega conjunta es en dos días. Si usted lo apoya, descuida una tarea propia que también vence, y el líder del equipo aún no se ha enterado de la situación.</t>
        </is>
      </c>
      <c r="D40" s="14" t="inlineStr">
        <is>
          <t>Informa al líder el riesgo real, propone una redistribución con plazos y apoya en lo que pueda sostener</t>
        </is>
      </c>
      <c r="E40" s="14" t="inlineStr">
        <is>
          <t>Le ayuda con lo más urgente en horas adicionales y comenta la situación al líder cuando se entregue todo</t>
        </is>
      </c>
      <c r="F40" s="14" t="inlineStr">
        <is>
          <t>Entrega su parte a tiempo y aclara por correo que el retraso del equipo no corresponde a su actividad</t>
        </is>
      </c>
      <c r="G40" s="14" t="n">
        <v>3</v>
      </c>
      <c r="H40" s="14" t="n">
        <v>2</v>
      </c>
      <c r="I40" s="14" t="n">
        <v>1</v>
      </c>
      <c r="J40" s="14" t="inlineStr">
        <is>
          <t>SI</t>
        </is>
      </c>
      <c r="K40" s="14" t="inlineStr">
        <is>
          <t>v2</t>
        </is>
      </c>
      <c r="L40" s="11" t="inlineStr">
        <is>
          <t>¿Qué hace usted?</t>
        </is>
      </c>
      <c r="M40" s="11" t="inlineStr">
        <is>
          <t>NO</t>
        </is>
      </c>
    </row>
    <row r="41" ht="45.75" customHeight="1" s="12">
      <c r="A41" s="14" t="inlineStr">
        <is>
          <t>B0040</t>
        </is>
      </c>
      <c r="B41" s="14" t="inlineStr">
        <is>
          <t>Trabajo en equipo</t>
        </is>
      </c>
      <c r="C41" s="14" t="inlineStr">
        <is>
          <t>Otra área comete un error que afecta su proceso y usted debe rehacer el trabajo de dos días. El responsable es una persona con la que ya ha tenido roces. Su jefe le pregunta qué pasó delante de todo el equipo en la reunión de seguimiento semanal.</t>
        </is>
      </c>
      <c r="D41" s="14" t="inlineStr">
        <is>
          <t>Describe el hecho con datos, sin señalar personas, y propone un ajuste conjunto entre las dos áreas</t>
        </is>
      </c>
      <c r="E41" s="14" t="inlineStr">
        <is>
          <t>Explica que el error vino de la otra área y aclara que ya lo está corrigiendo por su cuenta</t>
        </is>
      </c>
      <c r="F41" s="14" t="inlineStr">
        <is>
          <t>Responde que hubo un inconveniente menor y habla luego del tema directamente con el responsable</t>
        </is>
      </c>
      <c r="G41" s="14" t="n">
        <v>3</v>
      </c>
      <c r="H41" s="14" t="n">
        <v>2</v>
      </c>
      <c r="I41" s="14" t="n">
        <v>1</v>
      </c>
      <c r="J41" s="14" t="inlineStr">
        <is>
          <t>SI</t>
        </is>
      </c>
      <c r="K41" s="14" t="inlineStr">
        <is>
          <t>v2</t>
        </is>
      </c>
      <c r="L41" s="11" t="inlineStr">
        <is>
          <t>¿Qué hace usted?</t>
        </is>
      </c>
      <c r="M41" s="11" t="inlineStr">
        <is>
          <t>NO</t>
        </is>
      </c>
    </row>
    <row r="42" ht="45.75" customHeight="1" s="12">
      <c r="A42" s="14" t="inlineStr">
        <is>
          <t>B0041</t>
        </is>
      </c>
      <c r="B42" s="14" t="inlineStr">
        <is>
          <t>Adaptación al cambio</t>
        </is>
      </c>
      <c r="C42" s="14" t="inlineStr">
        <is>
          <t>La entidad cambia el aplicativo con el que usted trabaja hace seis años. La nueva versión es más lenta en su tarea principal, aunque mejora el reporte global. Varios compañeros siguen usando el archivo antiguo en paralelo y el jefe no ha dicho nada al respecto.</t>
        </is>
      </c>
      <c r="D42" s="14" t="inlineStr">
        <is>
          <t>Usa el aplicativo nuevo, documenta con datos dónde se pierde tiempo y lleva la observación al responsable</t>
        </is>
      </c>
      <c r="E42" s="14" t="inlineStr">
        <is>
          <t>Adopta el aplicativo nuevo y resuelve como puede la demora, sin reportar la dificultad que encontró</t>
        </is>
      </c>
      <c r="F42" s="14" t="inlineStr">
        <is>
          <t>Mantiene el archivo antiguo para su tarea y usa el aplicativo solo cuando debe generar el reporte global</t>
        </is>
      </c>
      <c r="G42" s="14" t="n">
        <v>3</v>
      </c>
      <c r="H42" s="14" t="n">
        <v>2</v>
      </c>
      <c r="I42" s="14" t="n">
        <v>1</v>
      </c>
      <c r="J42" s="14" t="inlineStr">
        <is>
          <t>SI</t>
        </is>
      </c>
      <c r="K42" s="14" t="inlineStr">
        <is>
          <t>v2</t>
        </is>
      </c>
      <c r="L42" s="11" t="inlineStr">
        <is>
          <t>¿Qué hace usted?</t>
        </is>
      </c>
      <c r="M42" s="11" t="inlineStr">
        <is>
          <t>NO</t>
        </is>
      </c>
    </row>
    <row r="43" ht="45.75" customHeight="1" s="12">
      <c r="A43" s="14" t="inlineStr">
        <is>
          <t>B0042</t>
        </is>
      </c>
      <c r="B43" s="14" t="inlineStr">
        <is>
          <t>Adaptación al cambio</t>
        </is>
      </c>
      <c r="C43" s="14" t="inlineStr">
        <is>
          <t>Lo trasladan por tres meses a un servicio que no conoce, con procedimientos distintos y un equipo que ya tiene su ritmo. El jefe del servicio está ocupado y le dice que aprenda observando. La primera semana le asignan tareas para las que no tiene claridad.</t>
        </is>
      </c>
      <c r="D43" s="14" t="inlineStr">
        <is>
          <t>Solicita una inducción breve, identifica los procedimientos críticos y confirma cada duda antes de actuar</t>
        </is>
      </c>
      <c r="E43" s="14" t="inlineStr">
        <is>
          <t>Observa una semana, toma notas y empieza a trabajar preguntando cuando encuentra algo que no comprende</t>
        </is>
      </c>
      <c r="F43" s="14" t="inlineStr">
        <is>
          <t>Ejecuta las tareas asignadas replicando lo que ve hacer a los compañeros más antiguos del servicio</t>
        </is>
      </c>
      <c r="G43" s="14" t="n">
        <v>3</v>
      </c>
      <c r="H43" s="14" t="n">
        <v>2</v>
      </c>
      <c r="I43" s="14" t="n">
        <v>1</v>
      </c>
      <c r="J43" s="14" t="inlineStr">
        <is>
          <t>SI</t>
        </is>
      </c>
      <c r="K43" s="14" t="inlineStr">
        <is>
          <t>v2</t>
        </is>
      </c>
      <c r="L43" s="11" t="inlineStr">
        <is>
          <t>¿Qué hace usted?</t>
        </is>
      </c>
      <c r="M43" s="11" t="inlineStr">
        <is>
          <t>NO</t>
        </is>
      </c>
    </row>
    <row r="44" ht="45.75" customHeight="1" s="12">
      <c r="A44" s="14" t="inlineStr">
        <is>
          <t>B0043</t>
        </is>
      </c>
      <c r="B44" s="14" t="inlineStr">
        <is>
          <t>Aprendizaje continuo</t>
        </is>
      </c>
      <c r="C44" s="14" t="inlineStr">
        <is>
          <t>Una norma que regula un procedimiento a su cargo cambió hace un mes y usted se entera por un comentario de pasillo. La entidad no ha programado capacitación y su jefe le dice que siga como está hasta que llegue una instrucción oficial de la dirección.</t>
        </is>
      </c>
      <c r="D44" s="14" t="inlineStr">
        <is>
          <t>Consulta el texto vigente en la fuente oficial, verifica qué cambia en su proceso y lo advierte por escrito</t>
        </is>
      </c>
      <c r="E44" s="14" t="inlineStr">
        <is>
          <t>Pregunta a la oficina jurídica cómo debe proceder y espera su respuesta antes de modificar el procedimiento</t>
        </is>
      </c>
      <c r="F44" s="14" t="inlineStr">
        <is>
          <t>Continúa con el procedimiento actual mientras la entidad define oficialmente cómo aplicar la nueva norma</t>
        </is>
      </c>
      <c r="G44" s="14" t="n">
        <v>3</v>
      </c>
      <c r="H44" s="14" t="n">
        <v>2</v>
      </c>
      <c r="I44" s="14" t="n">
        <v>1</v>
      </c>
      <c r="J44" s="14" t="inlineStr">
        <is>
          <t>SI</t>
        </is>
      </c>
      <c r="K44" s="14" t="inlineStr">
        <is>
          <t>v2</t>
        </is>
      </c>
      <c r="L44" s="11" t="inlineStr">
        <is>
          <t>¿Qué hace usted?</t>
        </is>
      </c>
      <c r="M44" s="11" t="inlineStr">
        <is>
          <t>NO</t>
        </is>
      </c>
    </row>
    <row r="45" ht="45.75" customHeight="1" s="12">
      <c r="A45" s="14" t="inlineStr">
        <is>
          <t>B0044</t>
        </is>
      </c>
      <c r="B45" s="14" t="inlineStr">
        <is>
          <t>Aprendizaje continuo</t>
        </is>
      </c>
      <c r="C45" s="14" t="inlineStr">
        <is>
          <t>Su jefe le devuelve un documento con la anotación «esto no sirve así» y ninguna explicación adicional. Es el tercer documento que le devuelve en el mes. Usted tiene la impresión de que el problema es de forma, pero no está seguro y el plazo de entrega sigue corriendo.</t>
        </is>
      </c>
      <c r="D45" s="14" t="inlineStr">
        <is>
          <t>Pide una reunión breve, solicita ejemplos concretos de lo que espera y ajusta el documento con ese criterio</t>
        </is>
      </c>
      <c r="E45" s="14" t="inlineStr">
        <is>
          <t>Revisa documentos anteriores aprobados, identifica las diferencias y rehace el suyo siguiendo ese modelo</t>
        </is>
      </c>
      <c r="F45" s="14" t="inlineStr">
        <is>
          <t>Corrige la forma y lo reenvía, esperando que esta vez cumpla con lo que su jefe tiene en mente</t>
        </is>
      </c>
      <c r="G45" s="14" t="n">
        <v>3</v>
      </c>
      <c r="H45" s="14" t="n">
        <v>2</v>
      </c>
      <c r="I45" s="14" t="n">
        <v>1</v>
      </c>
      <c r="J45" s="14" t="inlineStr">
        <is>
          <t>SI</t>
        </is>
      </c>
      <c r="K45" s="14" t="inlineStr">
        <is>
          <t>v2</t>
        </is>
      </c>
      <c r="L45" s="11" t="inlineStr">
        <is>
          <t>¿Qué hace usted?</t>
        </is>
      </c>
      <c r="M45" s="11" t="inlineStr">
        <is>
          <t>NO</t>
        </is>
      </c>
    </row>
    <row r="46" ht="45.75" customHeight="1" s="12">
      <c r="A46" s="14" t="inlineStr">
        <is>
          <t>B0045</t>
        </is>
      </c>
      <c r="B46" s="14" t="inlineStr">
        <is>
          <t>Comunicación efectiva</t>
        </is>
      </c>
      <c r="C46" s="14" t="inlineStr">
        <is>
          <t>Debe explicar a la junta directiva, en cinco minutos, por qué un indicador cayó. La explicación técnica es compleja y hay un miembro que suele interrumpir. Si simplifica demasiado, pierde precisión; si entra en detalle, no alcanza el tiempo y pierde la atención.</t>
        </is>
      </c>
      <c r="D46" s="14" t="inlineStr">
        <is>
          <t>Presenta la causa principal en lenguaje claro, ofrece el soporte técnico y deja el detalle en un anexo</t>
        </is>
      </c>
      <c r="E46" s="14" t="inlineStr">
        <is>
          <t>Expone el análisis técnico completo para no perder precisión y responde las preguntas que le formulen</t>
        </is>
      </c>
      <c r="F46" s="14" t="inlineStr">
        <is>
          <t>Presenta solo el dato del indicador y ofrece enviar por correo la explicación detallada de las causas</t>
        </is>
      </c>
      <c r="G46" s="14" t="n">
        <v>3</v>
      </c>
      <c r="H46" s="14" t="n">
        <v>2</v>
      </c>
      <c r="I46" s="14" t="n">
        <v>1</v>
      </c>
      <c r="J46" s="14" t="inlineStr">
        <is>
          <t>SI</t>
        </is>
      </c>
      <c r="K46" s="14" t="inlineStr">
        <is>
          <t>v2</t>
        </is>
      </c>
      <c r="L46" s="11" t="inlineStr">
        <is>
          <t>¿Qué hace usted?</t>
        </is>
      </c>
      <c r="M46" s="11" t="inlineStr">
        <is>
          <t>NO</t>
        </is>
      </c>
    </row>
    <row r="47" ht="45.75" customHeight="1" s="12">
      <c r="A47" s="14" t="inlineStr">
        <is>
          <t>B0046</t>
        </is>
      </c>
      <c r="B47" s="14" t="inlineStr">
        <is>
          <t>Comunicación efectiva</t>
        </is>
      </c>
      <c r="C47" s="14" t="inlineStr">
        <is>
          <t>Debe informar a un usuario que su trámite se demorará tres semanas más por una falla del sistema de la entidad. El usuario ya reclamó dos veces y hoy vino expresamente a recoger la respuesta. Reconocer la falla puede generar una queja formal contra la dependencia.</t>
        </is>
      </c>
      <c r="D47" s="14" t="inlineStr">
        <is>
          <t>Le explica la causa real, el nuevo plazo y qué hará la entidad entre tanto para no perjudicarlo</t>
        </is>
      </c>
      <c r="E47" s="14" t="inlineStr">
        <is>
          <t>Le informa que hay una demora administrativa y le da una fecha aproximada de respuesta definitiva</t>
        </is>
      </c>
      <c r="F47" s="14" t="inlineStr">
        <is>
          <t>Le pide que regrese en una semana, cuando espera tener información más clara sobre su trámite</t>
        </is>
      </c>
      <c r="G47" s="14" t="n">
        <v>3</v>
      </c>
      <c r="H47" s="14" t="n">
        <v>2</v>
      </c>
      <c r="I47" s="14" t="n">
        <v>1</v>
      </c>
      <c r="J47" s="14" t="inlineStr">
        <is>
          <t>SI</t>
        </is>
      </c>
      <c r="K47" s="14" t="inlineStr">
        <is>
          <t>v2</t>
        </is>
      </c>
      <c r="L47" s="11" t="inlineStr">
        <is>
          <t>¿Qué hace usted?</t>
        </is>
      </c>
      <c r="M47" s="11" t="inlineStr">
        <is>
          <t>NO</t>
        </is>
      </c>
    </row>
    <row r="48" ht="45.75" customHeight="1" s="12">
      <c r="A48" s="14" t="inlineStr">
        <is>
          <t>B0047</t>
        </is>
      </c>
      <c r="B48" s="14" t="inlineStr">
        <is>
          <t>Aporte técnico-profesional</t>
        </is>
      </c>
      <c r="C48" s="14" t="inlineStr">
        <is>
          <t>Su jefe le pide un concepto que respalde una decisión ya tomada. Usted identifica que esa decisión tiene un riesgo jurídico serio. El jefe le aclara que la decisión no va a cambiar y que solo necesita el documento para el expediente antes del viernes.</t>
        </is>
      </c>
      <c r="D48" s="14" t="inlineStr">
        <is>
          <t>Emite el concepto con el análisis real, expone el riesgo con fundamento y plantea alternativas viables</t>
        </is>
      </c>
      <c r="E48" s="14" t="inlineStr">
        <is>
          <t>Emite el concepto solicitado e incluye al final una advertencia breve sobre el riesgo que identificó</t>
        </is>
      </c>
      <c r="F48" s="14" t="inlineStr">
        <is>
          <t>Emite el concepto en el sentido pedido y comenta verbalmente el riesgo a su jefe antes de firmarlo</t>
        </is>
      </c>
      <c r="G48" s="14" t="n">
        <v>3</v>
      </c>
      <c r="H48" s="14" t="n">
        <v>2</v>
      </c>
      <c r="I48" s="14" t="n">
        <v>1</v>
      </c>
      <c r="J48" s="14" t="inlineStr">
        <is>
          <t>SI</t>
        </is>
      </c>
      <c r="K48" s="14" t="inlineStr">
        <is>
          <t>v2</t>
        </is>
      </c>
      <c r="L48" s="11" t="inlineStr">
        <is>
          <t>¿Qué hace usted?</t>
        </is>
      </c>
      <c r="M48" s="11" t="inlineStr">
        <is>
          <t>NO</t>
        </is>
      </c>
    </row>
    <row r="49" ht="45.75" customHeight="1" s="12">
      <c r="A49" s="14" t="inlineStr">
        <is>
          <t>B0048</t>
        </is>
      </c>
      <c r="B49" s="14" t="inlineStr">
        <is>
          <t>Gestión de procedimientos</t>
        </is>
      </c>
      <c r="C49" s="14" t="inlineStr">
        <is>
          <t>Un usuario en situación evidente de necesidad le pide saltarse un paso del procedimiento para agilizar su caso. El paso existe por una razón de control. Usted sabe que hay una ruta prevista para casos urgentes, pero es más demorada de tramitar para usted.</t>
        </is>
      </c>
      <c r="D49" s="14" t="inlineStr">
        <is>
          <t>Activa la ruta prevista para casos urgentes y le explica al usuario los tiempos reales de esa alternativa</t>
        </is>
      </c>
      <c r="E49" s="14" t="inlineStr">
        <is>
          <t>Le explica por qué existe el paso y tramita su caso por la vía ordinaria dándole prioridad en la fila</t>
        </is>
      </c>
      <c r="F49" s="14" t="inlineStr">
        <is>
          <t>Omite el paso por esta única vez, dada la situación del usuario, y documenta después lo que hizo</t>
        </is>
      </c>
      <c r="G49" s="14" t="n">
        <v>3</v>
      </c>
      <c r="H49" s="14" t="n">
        <v>2</v>
      </c>
      <c r="I49" s="14" t="n">
        <v>1</v>
      </c>
      <c r="J49" s="14" t="inlineStr">
        <is>
          <t>SI</t>
        </is>
      </c>
      <c r="K49" s="14" t="inlineStr">
        <is>
          <t>v2</t>
        </is>
      </c>
      <c r="L49" s="11" t="inlineStr">
        <is>
          <t>¿Qué hace usted?</t>
        </is>
      </c>
      <c r="M49" s="11" t="inlineStr">
        <is>
          <t>NO</t>
        </is>
      </c>
    </row>
    <row r="50" ht="45.75" customHeight="1" s="12">
      <c r="A50" s="14" t="inlineStr">
        <is>
          <t>B0049</t>
        </is>
      </c>
      <c r="B50" s="14" t="inlineStr">
        <is>
          <t>Instrumentación de decisiones</t>
        </is>
      </c>
      <c r="C50" s="14" t="inlineStr">
        <is>
          <t>La dirección adopta una decisión con la que usted no está de acuerdo y que debe implementar en su área. Su equipo le pregunta qué opina y varios esperan que usted respalde su inconformidad ante la dirección, donde ya expuso sus reparos y no fueron acogidos.</t>
        </is>
      </c>
      <c r="D50" s="14" t="inlineStr">
        <is>
          <t>Implementa la decisión, explica al equipo el marco en que se tomó y deja registrada su observación técnica</t>
        </is>
      </c>
      <c r="E50" s="14" t="inlineStr">
        <is>
          <t>Implementa la decisión y evita opinar frente al equipo para no afectar el clima laboral del área</t>
        </is>
      </c>
      <c r="F50" s="14" t="inlineStr">
        <is>
          <t>Entrega el cronograma con los tiempos ajustados para dar margen mientras la dirección reconsidera la medida</t>
        </is>
      </c>
      <c r="G50" s="14" t="n">
        <v>3</v>
      </c>
      <c r="H50" s="14" t="n">
        <v>2</v>
      </c>
      <c r="I50" s="14" t="n">
        <v>1</v>
      </c>
      <c r="J50" s="14" t="inlineStr">
        <is>
          <t>SI</t>
        </is>
      </c>
      <c r="K50" s="14" t="inlineStr">
        <is>
          <t>v2</t>
        </is>
      </c>
      <c r="L50" s="11" t="inlineStr">
        <is>
          <t>¿Qué hace usted?</t>
        </is>
      </c>
      <c r="M50" s="11" t="inlineStr">
        <is>
          <t>NO</t>
        </is>
      </c>
    </row>
    <row r="51" ht="45.75" customHeight="1" s="12">
      <c r="A51" s="14" t="inlineStr">
        <is>
          <t>B0050</t>
        </is>
      </c>
      <c r="B51" s="14" t="inlineStr">
        <is>
          <t>Confiabilidad técnica</t>
        </is>
      </c>
      <c r="C51" s="14" t="inlineStr">
        <is>
          <t>Recibe una solicitud que excede su competencia técnica y que, mal resuelta, puede afectar la seguridad de un paciente. El profesional responsable está en un procedimiento y tardará dos horas. El solicitante insiste en que es urgente y que usted ya lo ha visto hacer antes.</t>
        </is>
      </c>
      <c r="D51" s="14" t="inlineStr">
        <is>
          <t>Informa el límite de su competencia, escala el caso al responsable y gestiona una alternativa inmediata</t>
        </is>
      </c>
      <c r="E51" s="14" t="inlineStr">
        <is>
          <t>Le explica que debe esperar al profesional responsable y deja la solicitud en la primera posición del turno</t>
        </is>
      </c>
      <c r="F51" s="14" t="inlineStr">
        <is>
          <t>Resuelve lo que está a su alcance y deja anotado en el registro que el caso requiere revisión posterior</t>
        </is>
      </c>
      <c r="G51" s="14" t="n">
        <v>3</v>
      </c>
      <c r="H51" s="14" t="n">
        <v>2</v>
      </c>
      <c r="I51" s="14" t="n">
        <v>1</v>
      </c>
      <c r="J51" s="14" t="inlineStr">
        <is>
          <t>SI</t>
        </is>
      </c>
      <c r="K51" s="14" t="inlineStr">
        <is>
          <t>v2</t>
        </is>
      </c>
      <c r="L51" s="11" t="inlineStr">
        <is>
          <t>¿Qué hace usted?</t>
        </is>
      </c>
      <c r="M51" s="11" t="inlineStr">
        <is>
          <t>NO</t>
        </is>
      </c>
    </row>
    <row r="52" ht="45.75" customHeight="1" s="12">
      <c r="A52" s="14" t="inlineStr">
        <is>
          <t>B0051</t>
        </is>
      </c>
      <c r="B52" s="14" t="inlineStr">
        <is>
          <t>Disciplina</t>
        </is>
      </c>
      <c r="C52" s="14" t="inlineStr">
        <is>
          <t>Su jefe le da una instrucción verbal que contradice un procedimiento vigente. Cumplirla agiliza un trámite que tiene presionado a todo el equipo. No cumplirla lo expone a un conflicto con él, que es quien evalúa su desempeño al final del periodo.</t>
        </is>
      </c>
      <c r="D52" s="14" t="inlineStr">
        <is>
          <t>Advierte el conflicto con el procedimiento, pide la instrucción por escrito y propone la ruta que sí procede</t>
        </is>
      </c>
      <c r="E52" s="14" t="inlineStr">
        <is>
          <t>Consulta con la oficina jurídica del hospital y actúa según lo que ella responda, informando después a su jefe</t>
        </is>
      </c>
      <c r="F52" s="14" t="inlineStr">
        <is>
          <t>Cumple la instrucción porque viene del superior y deja constancia en su correo de que la recibió así</t>
        </is>
      </c>
      <c r="G52" s="14" t="n">
        <v>3</v>
      </c>
      <c r="H52" s="14" t="n">
        <v>2</v>
      </c>
      <c r="I52" s="14" t="n">
        <v>1</v>
      </c>
      <c r="J52" s="14" t="inlineStr">
        <is>
          <t>SI</t>
        </is>
      </c>
      <c r="K52" s="14" t="inlineStr">
        <is>
          <t>v2</t>
        </is>
      </c>
      <c r="L52" s="11" t="inlineStr">
        <is>
          <t>¿Qué hace usted?</t>
        </is>
      </c>
      <c r="M52" s="11" t="inlineStr">
        <is>
          <t>NO</t>
        </is>
      </c>
    </row>
    <row r="53" ht="45.75" customHeight="1" s="12">
      <c r="A53" s="14" t="inlineStr">
        <is>
          <t>B0052</t>
        </is>
      </c>
      <c r="B53" s="14" t="inlineStr">
        <is>
          <t>Responsabilidad</t>
        </is>
      </c>
      <c r="C53" s="14" t="inlineStr">
        <is>
          <t>Termina su turno y queda pendiente un asunto que solo usted conoce en detalle. Quien recibe el turno es nuevo y ya va con retraso en la entrega. Usted tiene un compromiso personal en treinta minutos y documentar el caso le tomaría al menos veinte.</t>
        </is>
      </c>
      <c r="D53" s="14" t="inlineStr">
        <is>
          <t>Documenta el pendiente con lo esencial, se lo entrega explicado y deja su contacto por si surge una duda</t>
        </is>
      </c>
      <c r="E53" s="14" t="inlineStr">
        <is>
          <t>Le explica el caso verbalmente con detalle y le pide que lo anote en la minuta antes de continuar</t>
        </is>
      </c>
      <c r="F53" s="14" t="inlineStr">
        <is>
          <t>Deja una nota breve en el puesto de trabajo y resuelve personalmente el asunto al día siguiente en su turno</t>
        </is>
      </c>
      <c r="G53" s="14" t="n">
        <v>3</v>
      </c>
      <c r="H53" s="14" t="n">
        <v>2</v>
      </c>
      <c r="I53" s="14" t="n">
        <v>1</v>
      </c>
      <c r="J53" s="14" t="inlineStr">
        <is>
          <t>SI</t>
        </is>
      </c>
      <c r="K53" s="14" t="inlineStr">
        <is>
          <t>v2</t>
        </is>
      </c>
      <c r="L53" s="11" t="inlineStr">
        <is>
          <t>¿Qué hace usted?</t>
        </is>
      </c>
      <c r="M53" s="11" t="inlineStr">
        <is>
          <t>NO</t>
        </is>
      </c>
    </row>
    <row r="54" ht="57" customHeight="1" s="12">
      <c r="A54" s="14" t="inlineStr">
        <is>
          <t>B0053</t>
        </is>
      </c>
      <c r="B54" s="14" t="inlineStr">
        <is>
          <t>Orientación al usuario y al ciudadano</t>
        </is>
      </c>
      <c r="C54" s="14" t="inlineStr">
        <is>
          <t>Una usuaria mayor no entiende las indicaciones del tratamiento y ya se las explicaron dos veces. El consultorio va con cuarenta minutos de retraso y afuera hay ocho pacientes citados. Ella asiente con la cabeza, pero por sus preguntas es evidente que no comprendió la frecuencia de las dosis.</t>
        </is>
      </c>
      <c r="D54" s="14" t="inlineStr">
        <is>
          <t>Explica con un ejemplo concreto del día a día, le pide que repita el esquema y se lo entrega escrito</t>
        </is>
      </c>
      <c r="E54" s="14" t="inlineStr">
        <is>
          <t>Le entrega las indicaciones escritas y le sugiere que un familiar se las revise cuando llegue a casa</t>
        </is>
      </c>
      <c r="F54" s="14" t="inlineStr">
        <is>
          <t>Repite la explicación de forma más lenta y continúa con el siguiente paciente que está esperando</t>
        </is>
      </c>
      <c r="G54" s="14" t="n">
        <v>3</v>
      </c>
      <c r="H54" s="14" t="n">
        <v>2</v>
      </c>
      <c r="I54" s="14" t="n">
        <v>1</v>
      </c>
      <c r="J54" s="14" t="inlineStr">
        <is>
          <t>SI</t>
        </is>
      </c>
      <c r="K54" s="14" t="inlineStr">
        <is>
          <t>v2</t>
        </is>
      </c>
      <c r="L54" s="11" t="inlineStr">
        <is>
          <t>¿Qué hace usted?</t>
        </is>
      </c>
      <c r="M54" s="11" t="inlineStr">
        <is>
          <t>NO</t>
        </is>
      </c>
    </row>
    <row r="55" ht="45.75" customHeight="1" s="12">
      <c r="A55" s="14" t="inlineStr">
        <is>
          <t>B0054</t>
        </is>
      </c>
      <c r="B55" s="14" t="inlineStr">
        <is>
          <t>Orientación al usuario y al ciudadano</t>
        </is>
      </c>
      <c r="C55" s="14" t="inlineStr">
        <is>
          <t>Un familiar exige información sobre el estado de un paciente adulto que no autorizó entregarla. Insiste en que es el hermano, está alterado y afirma que lleva tres horas sin noticias. Otros acompañantes empiezan a apoyarlo en voz alta y el pasillo se está llenando.</t>
        </is>
      </c>
      <c r="D55" s="14" t="inlineStr">
        <is>
          <t>Le explica el límite legal, verifica con el paciente a quién autoriza y le da un canal y una hora ciertos</t>
        </is>
      </c>
      <c r="E55" s="14" t="inlineStr">
        <is>
          <t>Le informa que sin autorización del paciente no puede darle datos y le pide esperar el parte médico</t>
        </is>
      </c>
      <c r="F55" s="14" t="inlineStr">
        <is>
          <t>Le confirma en términos generales que el paciente se encuentra estable, para calmarlo y bajar la tensión del pasillo</t>
        </is>
      </c>
      <c r="G55" s="14" t="n">
        <v>3</v>
      </c>
      <c r="H55" s="14" t="n">
        <v>2</v>
      </c>
      <c r="I55" s="14" t="n">
        <v>1</v>
      </c>
      <c r="J55" s="14" t="inlineStr">
        <is>
          <t>SI</t>
        </is>
      </c>
      <c r="K55" s="14" t="inlineStr">
        <is>
          <t>v2</t>
        </is>
      </c>
      <c r="L55" s="11" t="inlineStr">
        <is>
          <t>¿Qué hace usted?</t>
        </is>
      </c>
      <c r="M55" s="11" t="inlineStr">
        <is>
          <t>NO</t>
        </is>
      </c>
    </row>
    <row r="56" ht="45.75" customHeight="1" s="12">
      <c r="A56" s="14" t="inlineStr">
        <is>
          <t>B0055</t>
        </is>
      </c>
      <c r="B56" s="14" t="inlineStr">
        <is>
          <t>Trabajo en equipo</t>
        </is>
      </c>
      <c r="C56" s="14" t="inlineStr">
        <is>
          <t>En su servicio hay dos compañeros que no se hablan desde un desacuerdo de hace meses. La falta de comunicación entre ellos ya causó una duplicidad de trabajo esta semana. Usted no es el jefe, pero el retraso empieza a afectar al resto del equipo y nadie dice nada.</t>
        </is>
      </c>
      <c r="D56" s="14" t="inlineStr">
        <is>
          <t>Plantea el efecto concreto en el trabajo, propone un acuerdo mínimo de coordinación y avisa al líder</t>
        </is>
      </c>
      <c r="E56" s="14" t="inlineStr">
        <is>
          <t>Se ofrece como puente entre los dos para que la información fluya mientras el conflicto se resuelve</t>
        </is>
      </c>
      <c r="F56" s="14" t="inlineStr">
        <is>
          <t>Evita involucrarse y organiza su trabajo de modo que no dependa de la comunicación entre ellos</t>
        </is>
      </c>
      <c r="G56" s="14" t="n">
        <v>3</v>
      </c>
      <c r="H56" s="14" t="n">
        <v>2</v>
      </c>
      <c r="I56" s="14" t="n">
        <v>1</v>
      </c>
      <c r="J56" s="14" t="inlineStr">
        <is>
          <t>SI</t>
        </is>
      </c>
      <c r="K56" s="14" t="inlineStr">
        <is>
          <t>v2</t>
        </is>
      </c>
      <c r="L56" s="11" t="inlineStr">
        <is>
          <t>¿Qué hace usted?</t>
        </is>
      </c>
      <c r="M56" s="11" t="inlineStr">
        <is>
          <t>NO</t>
        </is>
      </c>
    </row>
    <row r="57" ht="45.75" customHeight="1" s="12">
      <c r="A57" s="14" t="inlineStr">
        <is>
          <t>B0056</t>
        </is>
      </c>
      <c r="B57" s="14" t="inlineStr">
        <is>
          <t>Trabajo en equipo</t>
        </is>
      </c>
      <c r="C57" s="14" t="inlineStr">
        <is>
          <t>Su equipo recibe una felicitación de la gerencia por un resultado que en buena parte se debió al trabajo de una compañera que ya se trasladó a otra área. En la reunión, el líder atribuye el logro al equipo actual y nadie la menciona. Ella se enterará de todas formas.</t>
        </is>
      </c>
      <c r="D57" s="14" t="inlineStr">
        <is>
          <t>Reconoce en la reunión el aporte de la compañera y sugiere que se le informe la felicitación</t>
        </is>
      </c>
      <c r="E57" s="14" t="inlineStr">
        <is>
          <t>Le escribe a la compañera para contarle y agradecerle, sin plantear el tema en la reunión</t>
        </is>
      </c>
      <c r="F57" s="14" t="inlineStr">
        <is>
          <t>Considera que el reconocimiento es del equipo y no hace ninguna precisión sobre el asunto</t>
        </is>
      </c>
      <c r="G57" s="14" t="n">
        <v>3</v>
      </c>
      <c r="H57" s="14" t="n">
        <v>2</v>
      </c>
      <c r="I57" s="14" t="n">
        <v>1</v>
      </c>
      <c r="J57" s="14" t="inlineStr">
        <is>
          <t>SI</t>
        </is>
      </c>
      <c r="K57" s="14" t="inlineStr">
        <is>
          <t>v2</t>
        </is>
      </c>
      <c r="L57" s="11" t="inlineStr">
        <is>
          <t>¿Qué hace usted?</t>
        </is>
      </c>
      <c r="M57" s="11" t="inlineStr">
        <is>
          <t>NO</t>
        </is>
      </c>
    </row>
    <row r="58" ht="45.75" customHeight="1" s="12">
      <c r="A58" s="14" t="inlineStr">
        <is>
          <t>B0057</t>
        </is>
      </c>
      <c r="B58" s="14" t="inlineStr">
        <is>
          <t>Transparencia</t>
        </is>
      </c>
      <c r="C58" s="14" t="inlineStr">
        <is>
          <t>Descubre que un compañero usa la impresora y el papel de la oficina para un trabajo de su posgrado. Es poca cantidad, lo hace fuera del horario y es una persona apreciada en el área. Usted es quien reporta mensualmente el consumo de insumos de la dependencia.</t>
        </is>
      </c>
      <c r="D58" s="14" t="inlineStr">
        <is>
          <t>Le plantea en privado que ese uso no corresponde y, si continúa, lo informa por el canal interno</t>
        </is>
      </c>
      <c r="E58" s="14" t="inlineStr">
        <is>
          <t>Registra el consumo real en su reporte sin señalar la causa y espera que el hecho se detecte solo</t>
        </is>
      </c>
      <c r="F58" s="14" t="inlineStr">
        <is>
          <t>Omite el tema porque la cantidad es menor y el compañero lo hace fuera del horario laboral</t>
        </is>
      </c>
      <c r="G58" s="14" t="n">
        <v>3</v>
      </c>
      <c r="H58" s="14" t="n">
        <v>2</v>
      </c>
      <c r="I58" s="14" t="n">
        <v>1</v>
      </c>
      <c r="J58" s="14" t="inlineStr">
        <is>
          <t>SI</t>
        </is>
      </c>
      <c r="K58" s="14" t="inlineStr">
        <is>
          <t>v2</t>
        </is>
      </c>
      <c r="L58" s="11" t="inlineStr">
        <is>
          <t>¿Qué hace usted?</t>
        </is>
      </c>
      <c r="M58" s="11" t="inlineStr">
        <is>
          <t>NO</t>
        </is>
      </c>
    </row>
    <row r="59" ht="45.75" customHeight="1" s="12">
      <c r="A59" s="14" t="inlineStr">
        <is>
          <t>B0058</t>
        </is>
      </c>
      <c r="B59" s="14" t="inlineStr">
        <is>
          <t>Transparencia</t>
        </is>
      </c>
      <c r="C59" s="14" t="inlineStr">
        <is>
          <t>Un conocido suyo le pide que le avise cuándo van a publicar una convocatoria de la entidad, para preparar documentos con tiempo. La información aún no es pública, aunque se publicará la próxima semana y cualquiera podrá consultarla en ese momento.</t>
        </is>
      </c>
      <c r="D59" s="14" t="inlineStr">
        <is>
          <t>Le explica que no puede anticipar información no publicada y le indica dónde se publicará</t>
        </is>
      </c>
      <c r="E59" s="14" t="inlineStr">
        <is>
          <t>Le sugiere que revise la página de la entidad con frecuencia y le indica dónde se publican las convocatorias</t>
        </is>
      </c>
      <c r="F59" s="14" t="inlineStr">
        <is>
          <t>Le comenta la fecha aproximada porque de todos modos la información será pública en días</t>
        </is>
      </c>
      <c r="G59" s="14" t="n">
        <v>3</v>
      </c>
      <c r="H59" s="14" t="n">
        <v>2</v>
      </c>
      <c r="I59" s="14" t="n">
        <v>1</v>
      </c>
      <c r="J59" s="14" t="inlineStr">
        <is>
          <t>SI</t>
        </is>
      </c>
      <c r="K59" s="14" t="inlineStr">
        <is>
          <t>v2</t>
        </is>
      </c>
      <c r="L59" s="11" t="inlineStr">
        <is>
          <t>¿Qué hace usted?</t>
        </is>
      </c>
      <c r="M59" s="11" t="inlineStr">
        <is>
          <t>NO</t>
        </is>
      </c>
    </row>
    <row r="60" ht="45.75" customHeight="1" s="12">
      <c r="A60" s="14" t="inlineStr">
        <is>
          <t>B0059</t>
        </is>
      </c>
      <c r="B60" s="14" t="inlineStr">
        <is>
          <t>Manejo de la información</t>
        </is>
      </c>
      <c r="C60" s="14" t="inlineStr">
        <is>
          <t>En el grupo de WhatsApp del servicio, un compañero comparte la foto de una pantalla con datos de un paciente para pedir opinión clínica. Varios responden con recomendaciones útiles. El grupo tiene veinte personas, algunas de otras áreas, y la práctica es habitual.</t>
        </is>
      </c>
      <c r="D60" s="14" t="inlineStr">
        <is>
          <t>Advierte el riesgo de exponer datos del paciente y propone usar el canal institucional para consultas</t>
        </is>
      </c>
      <c r="E60" s="14" t="inlineStr">
        <is>
          <t>Responde la consulta por mensaje privado y evita comentar el tema del grupo para no incomodar</t>
        </is>
      </c>
      <c r="F60" s="14" t="inlineStr">
        <is>
          <t>Participa en la discusión porque el objetivo es clínico y el grupo es solo de personal del hospital</t>
        </is>
      </c>
      <c r="G60" s="14" t="n">
        <v>3</v>
      </c>
      <c r="H60" s="14" t="n">
        <v>2</v>
      </c>
      <c r="I60" s="14" t="n">
        <v>1</v>
      </c>
      <c r="J60" s="14" t="inlineStr">
        <is>
          <t>SI</t>
        </is>
      </c>
      <c r="K60" s="14" t="inlineStr">
        <is>
          <t>v2</t>
        </is>
      </c>
      <c r="L60" s="11" t="inlineStr">
        <is>
          <t>¿Qué hace usted?</t>
        </is>
      </c>
      <c r="M60" s="11" t="inlineStr">
        <is>
          <t>NO</t>
        </is>
      </c>
    </row>
    <row r="61" ht="45.75" customHeight="1" s="12">
      <c r="A61" s="14" t="inlineStr">
        <is>
          <t>B0060</t>
        </is>
      </c>
      <c r="B61" s="14" t="inlineStr">
        <is>
          <t>Manejo de la información</t>
        </is>
      </c>
      <c r="C61" s="14" t="inlineStr">
        <is>
          <t>Un periodista local lo llama a su celular para preguntar por un caso del que se habla en la ciudad. Usted conoce los hechos. El periodista le ofrece no citar su nombre y le advierte que si nadie del hospital habla, publicará la versión de la familia.</t>
        </is>
      </c>
      <c r="D61" s="14" t="inlineStr">
        <is>
          <t>Le indica el canal oficial de comunicaciones del hospital y se abstiene de dar información del caso</t>
        </is>
      </c>
      <c r="E61" s="14" t="inlineStr">
        <is>
          <t>Le da un contexto general sin datos del paciente para que la nota quede mejor balanceada</t>
        </is>
      </c>
      <c r="F61" s="14" t="inlineStr">
        <is>
          <t>Le confirma únicamente los hechos que ya son de conocimiento público en la ciudad y le pide que no lo mencione</t>
        </is>
      </c>
      <c r="G61" s="14" t="n">
        <v>3</v>
      </c>
      <c r="H61" s="14" t="n">
        <v>2</v>
      </c>
      <c r="I61" s="14" t="n">
        <v>1</v>
      </c>
      <c r="J61" s="14" t="inlineStr">
        <is>
          <t>SI</t>
        </is>
      </c>
      <c r="K61" s="14" t="inlineStr">
        <is>
          <t>v2</t>
        </is>
      </c>
      <c r="L61" s="11" t="inlineStr">
        <is>
          <t>¿Qué hace usted?</t>
        </is>
      </c>
      <c r="M61" s="11" t="inlineStr">
        <is>
          <t>NO</t>
        </is>
      </c>
    </row>
    <row r="62" ht="45.75" customHeight="1" s="12">
      <c r="A62" s="14" t="inlineStr">
        <is>
          <t>B0061</t>
        </is>
      </c>
      <c r="B62" s="14" t="inlineStr">
        <is>
          <t>Adaptación al cambio</t>
        </is>
      </c>
      <c r="C62" s="14" t="inlineStr">
        <is>
          <t>Su área se fusiona con otra y usted pasa a reportar a una jefe más joven, con menos experiencia en el tema pero designada por la dirección. En la primera reunión ella propone cambiar un proceso que usted diseñó y que funciona bien desde hace cuatro años.</t>
        </is>
      </c>
      <c r="D62" s="14" t="inlineStr">
        <is>
          <t>Expone con datos cómo funciona hoy el proceso, escucha su propuesta y acuerdan qué probar y medir</t>
        </is>
      </c>
      <c r="E62" s="14" t="inlineStr">
        <is>
          <t>Acoge el cambio propuesto y documenta los efectos para revisarlo si los resultados desmejoran</t>
        </is>
      </c>
      <c r="F62" s="14" t="inlineStr">
        <is>
          <t>Le explica que el proceso ya fue probado durante años y sugiere concentrarse en otras prioridades</t>
        </is>
      </c>
      <c r="G62" s="14" t="n">
        <v>3</v>
      </c>
      <c r="H62" s="14" t="n">
        <v>2</v>
      </c>
      <c r="I62" s="14" t="n">
        <v>1</v>
      </c>
      <c r="J62" s="14" t="inlineStr">
        <is>
          <t>SI</t>
        </is>
      </c>
      <c r="K62" s="14" t="inlineStr">
        <is>
          <t>v2</t>
        </is>
      </c>
      <c r="L62" s="11" t="inlineStr">
        <is>
          <t>¿Qué hace usted?</t>
        </is>
      </c>
      <c r="M62" s="11" t="inlineStr">
        <is>
          <t>NO</t>
        </is>
      </c>
    </row>
    <row r="63" ht="45.75" customHeight="1" s="12">
      <c r="A63" s="14" t="inlineStr">
        <is>
          <t>B0062</t>
        </is>
      </c>
      <c r="B63" s="14" t="inlineStr">
        <is>
          <t>Orientación a resultados</t>
        </is>
      </c>
      <c r="C63" s="14" t="inlineStr">
        <is>
          <t>Su indicador de oportunidad mejora si no registra los casos que llegan después de las cuatro de la tarde, algo que otras dependencias hacen sin que nadie lo cuestione. Su jefe le reclamó el mes pasado por estar tres puntos por debajo de la meta institucional.</t>
        </is>
      </c>
      <c r="D63" s="14" t="inlineStr">
        <is>
          <t>Registra todos los casos, muestra la brecha real y propone con datos cómo cerrarla en el trimestre</t>
        </is>
      </c>
      <c r="E63" s="14" t="inlineStr">
        <is>
          <t>Registra todos los casos y explica en el informe por qué el indicador quedó por debajo de la meta</t>
        </is>
      </c>
      <c r="F63" s="14" t="inlineStr">
        <is>
          <t>Aplica el mismo criterio de registro que usan las otras dependencias para que las cifras sean comparables</t>
        </is>
      </c>
      <c r="G63" s="14" t="n">
        <v>3</v>
      </c>
      <c r="H63" s="14" t="n">
        <v>2</v>
      </c>
      <c r="I63" s="14" t="n">
        <v>1</v>
      </c>
      <c r="J63" s="14" t="inlineStr">
        <is>
          <t>SI</t>
        </is>
      </c>
      <c r="K63" s="14" t="inlineStr">
        <is>
          <t>v2</t>
        </is>
      </c>
      <c r="L63" s="11" t="inlineStr">
        <is>
          <t>¿Qué hace usted?</t>
        </is>
      </c>
      <c r="M63" s="11" t="inlineStr">
        <is>
          <t>NO</t>
        </is>
      </c>
    </row>
    <row r="64" ht="45.75" customHeight="1" s="12">
      <c r="A64" s="14" t="inlineStr">
        <is>
          <t>B0063</t>
        </is>
      </c>
      <c r="B64" s="14" t="inlineStr">
        <is>
          <t>Compromiso con la organización</t>
        </is>
      </c>
      <c r="C64" s="14" t="inlineStr">
        <is>
          <t>Le ofrecen un cargo mejor pagado en otra entidad y debe responder en una semana. En su área está en curso un proceso crítico que solo usted conoce en detalle y cuyo cierre es en un mes. Aún no ha comentado nada a su jefe y la oferta es una oportunidad real.</t>
        </is>
      </c>
      <c r="D64" s="14" t="inlineStr">
        <is>
          <t>Informa oportunamente su decisión y prepara un empalme documentado del proceso que tiene a cargo</t>
        </is>
      </c>
      <c r="E64" s="14" t="inlineStr">
        <is>
          <t>Espera a tener la decisión tomada y, cuando renuncie, dedica el preaviso a explicar el proceso</t>
        </is>
      </c>
      <c r="F64" s="14" t="inlineStr">
        <is>
          <t>Presenta la renuncia cuando deba hacerlo y deja la información organizada en la carpeta compartida</t>
        </is>
      </c>
      <c r="G64" s="14" t="n">
        <v>3</v>
      </c>
      <c r="H64" s="14" t="n">
        <v>2</v>
      </c>
      <c r="I64" s="14" t="n">
        <v>1</v>
      </c>
      <c r="J64" s="14" t="inlineStr">
        <is>
          <t>SI</t>
        </is>
      </c>
      <c r="K64" s="14" t="inlineStr">
        <is>
          <t>v2</t>
        </is>
      </c>
      <c r="L64" s="11" t="inlineStr">
        <is>
          <t>¿Qué hace usted?</t>
        </is>
      </c>
      <c r="M64" s="11" t="inlineStr">
        <is>
          <t>NO</t>
        </is>
      </c>
    </row>
    <row r="65" ht="45.75" customHeight="1" s="12">
      <c r="A65" s="14" t="inlineStr">
        <is>
          <t>B0064</t>
        </is>
      </c>
      <c r="B65" s="14" t="inlineStr">
        <is>
          <t>Gestión de procedimientos</t>
        </is>
      </c>
      <c r="C65" s="14" t="inlineStr">
        <is>
          <t>Usted identifica que un formato que la entidad exige duplica información que ya reposa en otro sistema. Eliminarlo ahorraría tiempo, pero fue adoptado por un acto administrativo y varias dependencias lo usan para sus propios controles internos.</t>
        </is>
      </c>
      <c r="D65" s="14" t="inlineStr">
        <is>
          <t>Documenta la duplicidad con evidencia y presenta la propuesta de ajuste por el conducto que corresponde</t>
        </is>
      </c>
      <c r="E65" s="14" t="inlineStr">
        <is>
          <t>Comenta la observación en el comité de calidad del hospital y espera a que alguien más impulse la modificación</t>
        </is>
      </c>
      <c r="F65" s="14" t="inlineStr">
        <is>
          <t>Deja de diligenciar el formato en su dependencia porque la información ya está en el otro sistema</t>
        </is>
      </c>
      <c r="G65" s="14" t="n">
        <v>3</v>
      </c>
      <c r="H65" s="14" t="n">
        <v>2</v>
      </c>
      <c r="I65" s="14" t="n">
        <v>1</v>
      </c>
      <c r="J65" s="14" t="inlineStr">
        <is>
          <t>SI</t>
        </is>
      </c>
      <c r="K65" s="14" t="inlineStr">
        <is>
          <t>v2</t>
        </is>
      </c>
      <c r="L65" s="11" t="inlineStr">
        <is>
          <t>¿Qué hace usted?</t>
        </is>
      </c>
      <c r="M65" s="11" t="inlineStr">
        <is>
          <t>NO</t>
        </is>
      </c>
    </row>
    <row r="66" ht="45.75" customHeight="1" s="12">
      <c r="A66" s="14" t="inlineStr">
        <is>
          <t>B0065</t>
        </is>
      </c>
      <c r="B66" s="14" t="inlineStr">
        <is>
          <t>Aporte técnico-profesional</t>
        </is>
      </c>
      <c r="C66" s="14" t="inlineStr">
        <is>
          <t>En una reunión, un contratista externo presenta un diagnóstico con una cifra que usted sabe que está mal calculada. Está el gerente y dos miembros de la junta. Corregirlo en público deja mal parado al contratista, que además es cercano a uno de los asistentes.</t>
        </is>
      </c>
      <c r="D66" s="14" t="inlineStr">
        <is>
          <t>Pide la palabra, plantea la duda sobre el dato con el soporte y ofrece revisarlo antes de decidir</t>
        </is>
      </c>
      <c r="E66" s="14" t="inlineStr">
        <is>
          <t>Guarda silencio en la reunión y le envía después al contratista y al gerente la observación por correo</t>
        </is>
      </c>
      <c r="F66" s="14" t="inlineStr">
        <is>
          <t>Menciona al final que conviene validar las cifras antes de tomar decisiones con ese diagnóstico</t>
        </is>
      </c>
      <c r="G66" s="14" t="n">
        <v>3</v>
      </c>
      <c r="H66" s="14" t="n">
        <v>2</v>
      </c>
      <c r="I66" s="14" t="n">
        <v>1</v>
      </c>
      <c r="J66" s="14" t="inlineStr">
        <is>
          <t>SI</t>
        </is>
      </c>
      <c r="K66" s="14" t="inlineStr">
        <is>
          <t>v2</t>
        </is>
      </c>
      <c r="L66" s="11" t="inlineStr">
        <is>
          <t>¿Qué hace usted?</t>
        </is>
      </c>
      <c r="M66" s="11" t="inlineStr">
        <is>
          <t>NO</t>
        </is>
      </c>
    </row>
    <row r="67" ht="45.75" customHeight="1" s="12">
      <c r="A67" s="14" t="inlineStr">
        <is>
          <t>B0066</t>
        </is>
      </c>
      <c r="B67" s="14" t="inlineStr">
        <is>
          <t>Instrumentación de decisiones</t>
        </is>
      </c>
      <c r="C67" s="14" t="inlineStr">
        <is>
          <t>Debe implementar en su área una decisión que reduce el personal disponible en el turno de la noche. Su equipo la considera riesgosa y usted comparte parte de esa preocupación. La dirección pide el cronograma de implementación para el viernes.</t>
        </is>
      </c>
      <c r="D67" s="14" t="inlineStr">
        <is>
          <t>Entrega el cronograma y remite en el mismo acto el riesgo identificado con la medida que lo mitiga</t>
        </is>
      </c>
      <c r="E67" s="14" t="inlineStr">
        <is>
          <t>Entrega el cronograma y solicita una reunión posterior para exponer las preocupaciones del equipo</t>
        </is>
      </c>
      <c r="F67" s="14" t="inlineStr">
        <is>
          <t>Entrega el cronograma con los tiempos ajustados para dar margen mientras la dirección reconsidera</t>
        </is>
      </c>
      <c r="G67" s="14" t="n">
        <v>3</v>
      </c>
      <c r="H67" s="14" t="n">
        <v>2</v>
      </c>
      <c r="I67" s="14" t="n">
        <v>1</v>
      </c>
      <c r="J67" s="14" t="inlineStr">
        <is>
          <t>SI</t>
        </is>
      </c>
      <c r="K67" s="14" t="inlineStr">
        <is>
          <t>v2</t>
        </is>
      </c>
      <c r="L67" s="11" t="inlineStr">
        <is>
          <t>¿Qué hace usted?</t>
        </is>
      </c>
      <c r="M67" s="11" t="inlineStr">
        <is>
          <t>NO</t>
        </is>
      </c>
    </row>
    <row r="68" ht="45.75" customHeight="1" s="12">
      <c r="A68" s="14" t="inlineStr">
        <is>
          <t>B0067</t>
        </is>
      </c>
      <c r="B68" s="14" t="inlineStr">
        <is>
          <t>Confiabilidad técnica</t>
        </is>
      </c>
      <c r="C68" s="14" t="inlineStr">
        <is>
          <t>Un equipo del servicio muestra una lectura que usted considera inconsistente con el estado del paciente. El mantenimiento está vigente y el compañero del turno anterior dice que siempre da esa lectura y que igual sirve. El paciente debe ser valorado en minutos.</t>
        </is>
      </c>
      <c r="D68" s="14" t="inlineStr">
        <is>
          <t>Verifica con otro equipo, informa la inconsistencia al área responsable y deja el hallazgo registrado</t>
        </is>
      </c>
      <c r="E68" s="14" t="inlineStr">
        <is>
          <t>Usa otro equipo disponible para esa valoración y comenta el asunto al terminar el turno</t>
        </is>
      </c>
      <c r="F68" s="14" t="inlineStr">
        <is>
          <t>Registra la lectura obtenida y anota en la historia que el equipo presenta comportamiento irregular</t>
        </is>
      </c>
      <c r="G68" s="14" t="n">
        <v>3</v>
      </c>
      <c r="H68" s="14" t="n">
        <v>2</v>
      </c>
      <c r="I68" s="14" t="n">
        <v>1</v>
      </c>
      <c r="J68" s="14" t="inlineStr">
        <is>
          <t>SI</t>
        </is>
      </c>
      <c r="K68" s="14" t="inlineStr">
        <is>
          <t>v2</t>
        </is>
      </c>
      <c r="L68" s="11" t="inlineStr">
        <is>
          <t>¿Qué hace usted?</t>
        </is>
      </c>
      <c r="M68" s="11" t="inlineStr">
        <is>
          <t>NO</t>
        </is>
      </c>
    </row>
    <row r="69" ht="45.75" customHeight="1" s="12">
      <c r="A69" s="14" t="inlineStr">
        <is>
          <t>B0068</t>
        </is>
      </c>
      <c r="B69" s="14" t="inlineStr">
        <is>
          <t>Disciplina</t>
        </is>
      </c>
      <c r="C69" s="14" t="inlineStr">
        <is>
          <t>Llega quince minutos tarde por un trancón y descubre que nadie lo notó porque el registro de entrada está fallando hace días. Un compañero le comenta que aproveche, que esta semana nadie está controlando la hora y que varios están llegando tarde.</t>
        </is>
      </c>
      <c r="D69" s="14" t="inlineStr">
        <is>
          <t>Registra su hora real de llegada por el medio alterno e informa la falla del sistema al área encargada</t>
        </is>
      </c>
      <c r="E69" s="14" t="inlineStr">
        <is>
          <t>Registra su hora real de llegada y no comenta nada sobre la falla del sistema de registro</t>
        </is>
      </c>
      <c r="F69" s="14" t="inlineStr">
        <is>
          <t>Registra la hora habitual de entrada porque el retraso fue menor y por una causa ajena a su voluntad</t>
        </is>
      </c>
      <c r="G69" s="14" t="n">
        <v>3</v>
      </c>
      <c r="H69" s="14" t="n">
        <v>2</v>
      </c>
      <c r="I69" s="14" t="n">
        <v>1</v>
      </c>
      <c r="J69" s="14" t="inlineStr">
        <is>
          <t>SI</t>
        </is>
      </c>
      <c r="K69" s="14" t="inlineStr">
        <is>
          <t>v2</t>
        </is>
      </c>
      <c r="L69" s="11" t="inlineStr">
        <is>
          <t>¿Qué hace usted?</t>
        </is>
      </c>
      <c r="M69" s="11" t="inlineStr">
        <is>
          <t>NO</t>
        </is>
      </c>
    </row>
    <row r="70" ht="45.75" customHeight="1" s="12">
      <c r="A70" s="14" t="inlineStr">
        <is>
          <t>B0069</t>
        </is>
      </c>
      <c r="B70" s="14" t="inlineStr">
        <is>
          <t>Responsabilidad</t>
        </is>
      </c>
      <c r="C70" s="14" t="inlineStr">
        <is>
          <t>Se equivoca al diligenciar un dato en un reporte externo que ya fue radicado. El error es suyo, no afecta la cifra global y corregirlo implica una solicitud formal de la entidad, con firma del jefe y explicación escrita del motivo.</t>
        </is>
      </c>
      <c r="D70" s="14" t="inlineStr">
        <is>
          <t>Informa el error a su jefe, prepara la solicitud de corrección y explica cómo evitará que se repita</t>
        </is>
      </c>
      <c r="E70" s="14" t="inlineStr">
        <is>
          <t>Prepara la corrección para el siguiente reporte y deja anotado el ajuste en el expediente del trámite</t>
        </is>
      </c>
      <c r="F70" s="14" t="inlineStr">
        <is>
          <t>Deja el dato como quedó porque no altera el resultado global ni afecta la decisión del destinatario</t>
        </is>
      </c>
      <c r="G70" s="14" t="n">
        <v>3</v>
      </c>
      <c r="H70" s="14" t="n">
        <v>2</v>
      </c>
      <c r="I70" s="14" t="n">
        <v>1</v>
      </c>
      <c r="J70" s="14" t="inlineStr">
        <is>
          <t>SI</t>
        </is>
      </c>
      <c r="K70" s="14" t="inlineStr">
        <is>
          <t>v2</t>
        </is>
      </c>
      <c r="L70" s="11" t="inlineStr">
        <is>
          <t>¿Qué hace usted?</t>
        </is>
      </c>
      <c r="M70" s="11" t="inlineStr">
        <is>
          <t>NO</t>
        </is>
      </c>
    </row>
    <row r="71" ht="45.75" customHeight="1" s="12">
      <c r="A71" s="14" t="inlineStr">
        <is>
          <t>B0070</t>
        </is>
      </c>
      <c r="B71" s="14" t="inlineStr">
        <is>
          <t>Aprendizaje continuo</t>
        </is>
      </c>
      <c r="C71" s="14" t="inlineStr">
        <is>
          <t>Le asignan un tema nuevo con el que no ha trabajado. Hay un compañero que lo domina, pero es reservado con lo que sabe y suele responder con evasivas. El plazo es de tres semanas y su jefe asume que usted ya conoce la materia.</t>
        </is>
      </c>
      <c r="D71" s="14" t="inlineStr">
        <is>
          <t>Estudia la base por su cuenta, llega con preguntas concretas al compañero y valida el avance con el jefe</t>
        </is>
      </c>
      <c r="E71" s="14" t="inlineStr">
        <is>
          <t>Le pide al jefe que reasigne la tarea a quien ya conoce el tema y le ofrece apoyar en lo que se requiera</t>
        </is>
      </c>
      <c r="F71" s="14" t="inlineStr">
        <is>
          <t>Avanza con lo que encuentra por su cuenta y consulta al compañero solo si queda bloqueado al final</t>
        </is>
      </c>
      <c r="G71" s="14" t="n">
        <v>3</v>
      </c>
      <c r="H71" s="14" t="n">
        <v>2</v>
      </c>
      <c r="I71" s="14" t="n">
        <v>1</v>
      </c>
      <c r="J71" s="14" t="inlineStr">
        <is>
          <t>SI</t>
        </is>
      </c>
      <c r="K71" s="14" t="inlineStr">
        <is>
          <t>v2</t>
        </is>
      </c>
      <c r="L71" s="11" t="inlineStr">
        <is>
          <t>¿Qué hace usted?</t>
        </is>
      </c>
      <c r="M71" s="11" t="inlineStr">
        <is>
          <t>NO</t>
        </is>
      </c>
    </row>
    <row r="72" ht="45.75" customHeight="1" s="12">
      <c r="A72" s="14" t="inlineStr">
        <is>
          <t>B0071</t>
        </is>
      </c>
      <c r="B72" s="14" t="inlineStr">
        <is>
          <t>Comunicación efectiva</t>
        </is>
      </c>
      <c r="C72" s="14" t="inlineStr">
        <is>
          <t>Debe enviar un correo a tres dependencias solicitando información para un informe. En intentos anteriores el mismo correo no obtuvo respuesta y usted sospecha que se pierde entre los muchos mensajes que reciben esas oficinas cada día.</t>
        </is>
      </c>
      <c r="D72" s="14" t="inlineStr">
        <is>
          <t>Escribe un correo con la petición concreta, el plazo y el uso del dato, y confirma recibido por teléfono</t>
        </is>
      </c>
      <c r="E72" s="14" t="inlineStr">
        <is>
          <t>Reenvía el correo anterior marcándolo como urgente y con copia a los jefes de las tres dependencias</t>
        </is>
      </c>
      <c r="F72" s="14" t="inlineStr">
        <is>
          <t>Envía el correo y, si no responden, deja constancia del intento en el informe que debe presentar</t>
        </is>
      </c>
      <c r="G72" s="14" t="n">
        <v>3</v>
      </c>
      <c r="H72" s="14" t="n">
        <v>2</v>
      </c>
      <c r="I72" s="14" t="n">
        <v>1</v>
      </c>
      <c r="J72" s="14" t="inlineStr">
        <is>
          <t>SI</t>
        </is>
      </c>
      <c r="K72" s="14" t="inlineStr">
        <is>
          <t>v2</t>
        </is>
      </c>
      <c r="L72" s="11" t="inlineStr">
        <is>
          <t>¿Qué hace usted?</t>
        </is>
      </c>
      <c r="M72" s="11" t="inlineStr">
        <is>
          <t>NO</t>
        </is>
      </c>
    </row>
    <row r="73" ht="45.75" customHeight="1" s="12">
      <c r="A73" s="14" t="inlineStr">
        <is>
          <t>B0072</t>
        </is>
      </c>
      <c r="B73" s="14" t="inlineStr">
        <is>
          <t>Orientación al usuario y al ciudadano</t>
        </is>
      </c>
      <c r="C73" s="14" t="inlineStr">
        <is>
          <t>Un usuario con discapacidad auditiva llega solo a solicitar una cita. No hay intérprete en la institución y la comunicación escrita es lenta porque él escribe con dificultad. Detrás hay fila y su turno ya se está demorando el doble de lo habitual.</t>
        </is>
      </c>
      <c r="D73" s="14" t="inlineStr">
        <is>
          <t>Busca un medio de comunicación que ambos entiendan, verifica la comprensión y deja la cita asignada</t>
        </is>
      </c>
      <c r="E73" s="14" t="inlineStr">
        <is>
          <t>Le entrega por escrito las opciones de fecha y le pide que señale la que prefiere para agendarla</t>
        </is>
      </c>
      <c r="F73" s="14" t="inlineStr">
        <is>
          <t>Le sugiere volver acompañado de alguien que pueda apoyarlo con la comunicación en la ventanilla</t>
        </is>
      </c>
      <c r="G73" s="14" t="n">
        <v>3</v>
      </c>
      <c r="H73" s="14" t="n">
        <v>2</v>
      </c>
      <c r="I73" s="14" t="n">
        <v>1</v>
      </c>
      <c r="J73" s="14" t="inlineStr">
        <is>
          <t>SI</t>
        </is>
      </c>
      <c r="K73" s="14" t="inlineStr">
        <is>
          <t>v2</t>
        </is>
      </c>
      <c r="L73" s="11" t="inlineStr">
        <is>
          <t>¿Qué hace usted?</t>
        </is>
      </c>
      <c r="M73" s="11" t="inlineStr">
        <is>
          <t>NO</t>
        </is>
      </c>
    </row>
    <row r="74" ht="45.75" customHeight="1" s="12">
      <c r="A74" s="14" t="inlineStr">
        <is>
          <t>B0073</t>
        </is>
      </c>
      <c r="B74" s="14" t="inlineStr">
        <is>
          <t>Compromiso con la organización</t>
        </is>
      </c>
      <c r="C74" s="14" t="inlineStr">
        <is>
          <t>Un usuario le ofrece dinero para adelantar su turno en una lista de espera. Es una suma pequeña, el usuario tiene una situación de salud difícil y nadie presenció el ofrecimiento. Usted sabe que hay criterios de priorización clínica que podrían aplicarle.</t>
        </is>
      </c>
      <c r="D74" s="14" t="inlineStr">
        <is>
          <t>Rechaza el ofrecimiento, deja constancia del hecho y revisa si el caso cumple criterios de priorización</t>
        </is>
      </c>
      <c r="E74" s="14" t="inlineStr">
        <is>
          <t>Rechaza el ofrecimiento con firmeza y continúa el trámite normal, sin informar el hecho a nadie dentro del hospital</t>
        </is>
      </c>
      <c r="F74" s="14" t="inlineStr">
        <is>
          <t>Rechaza el dinero y le adelanta el turno por su situación de salud, sin revisar los criterios</t>
        </is>
      </c>
      <c r="G74" s="14" t="n">
        <v>3</v>
      </c>
      <c r="H74" s="14" t="n">
        <v>2</v>
      </c>
      <c r="I74" s="14" t="n">
        <v>1</v>
      </c>
      <c r="J74" s="14" t="inlineStr">
        <is>
          <t>SI</t>
        </is>
      </c>
      <c r="K74" s="14" t="inlineStr">
        <is>
          <t>v2</t>
        </is>
      </c>
      <c r="L74" s="11" t="inlineStr">
        <is>
          <t>¿Qué hace usted?</t>
        </is>
      </c>
      <c r="M74" s="11" t="inlineStr">
        <is>
          <t>NO</t>
        </is>
      </c>
    </row>
    <row r="75" ht="45.75" customHeight="1" s="12">
      <c r="A75" s="14" t="inlineStr">
        <is>
          <t>B0074</t>
        </is>
      </c>
      <c r="B75" s="14" t="inlineStr">
        <is>
          <t>Trabajo en equipo</t>
        </is>
      </c>
      <c r="C75" s="14" t="inlineStr">
        <is>
          <t>Usted propone una mejora en la reunión de equipo y nadie comenta nada. Dos semanas después, un compañero presenta la misma idea al jefe como propia y recibe el reconocimiento. El jefe lo felicita frente a todos y le encarga liderar la implementación.</t>
        </is>
      </c>
      <c r="D75" s="14" t="inlineStr">
        <is>
          <t>Habla en privado con el compañero, aclara el origen de la idea y se ofrece a participar en el trabajo</t>
        </is>
      </c>
      <c r="E75" s="14" t="inlineStr">
        <is>
          <t>Le recuerda al jefe que la propuesta la había planteado usted en la reunión anterior del equipo</t>
        </is>
      </c>
      <c r="F75" s="14" t="inlineStr">
        <is>
          <t>Deja pasar el hecho y en adelante presenta sus ideas directamente al jefe por escrito, con copia al equipo</t>
        </is>
      </c>
      <c r="G75" s="14" t="n">
        <v>3</v>
      </c>
      <c r="H75" s="14" t="n">
        <v>2</v>
      </c>
      <c r="I75" s="14" t="n">
        <v>1</v>
      </c>
      <c r="J75" s="14" t="inlineStr">
        <is>
          <t>SI</t>
        </is>
      </c>
      <c r="K75" s="14" t="inlineStr">
        <is>
          <t>v2</t>
        </is>
      </c>
      <c r="L75" s="11" t="inlineStr">
        <is>
          <t>¿Qué hace usted?</t>
        </is>
      </c>
      <c r="M75" s="11" t="inlineStr">
        <is>
          <t>NO</t>
        </is>
      </c>
    </row>
    <row r="76" ht="45.75" customHeight="1" s="12">
      <c r="A76" s="14" t="inlineStr">
        <is>
          <t>B0075</t>
        </is>
      </c>
      <c r="B76" s="14" t="inlineStr">
        <is>
          <t>Gestión de procedimientos</t>
        </is>
      </c>
      <c r="C76" s="14" t="inlineStr">
        <is>
          <t>El sistema se cae dos horas y usted debe decidir si detiene la atención o la continúa con registro manual. El registro manual implica transcribir después, con riesgo de errores, y no hay instrucción escrita de la entidad sobre qué hacer en estos casos.</t>
        </is>
      </c>
      <c r="D76" s="14" t="inlineStr">
        <is>
          <t>Continúa con registro manual siguiendo el plan de contingencia, y avisa al área de sistemas y a su jefe</t>
        </is>
      </c>
      <c r="E76" s="14" t="inlineStr">
        <is>
          <t>Continúa con registro manual y transcribe todo apenas el sistema se restablezca, sin informar el hecho</t>
        </is>
      </c>
      <c r="F76" s="14" t="inlineStr">
        <is>
          <t>Suspende la atención mientras el sistema se restablece para evitar errores en los registros</t>
        </is>
      </c>
      <c r="G76" s="14" t="n">
        <v>3</v>
      </c>
      <c r="H76" s="14" t="n">
        <v>2</v>
      </c>
      <c r="I76" s="14" t="n">
        <v>1</v>
      </c>
      <c r="J76" s="14" t="inlineStr">
        <is>
          <t>SI</t>
        </is>
      </c>
      <c r="K76" s="14" t="inlineStr">
        <is>
          <t>v2</t>
        </is>
      </c>
      <c r="L76" s="11" t="inlineStr">
        <is>
          <t>¿Qué hace usted?</t>
        </is>
      </c>
      <c r="M76" s="11" t="inlineStr">
        <is>
          <t>NO</t>
        </is>
      </c>
    </row>
    <row r="77">
      <c r="A77" s="15" t="inlineStr">
        <is>
          <t>B0076</t>
        </is>
      </c>
      <c r="B77" s="15" t="inlineStr">
        <is>
          <t>Orientación a resultados</t>
        </is>
      </c>
      <c r="C77" s="15" t="inlineStr">
        <is>
          <t>Faltan dos horas para que cierre el plazo de un reporte obligatorio y el aplicativo del ministerio no carga el archivo. Usted ya lo intentó cuatro veces. El soporte técnico atiende por correo y suele responder al día siguiente. Su jefe está en una reunión que termina después del cierre.</t>
        </is>
      </c>
      <c r="D77" s="15" t="inlineStr">
        <is>
          <t>Llamar a la línea del ministerio para confirmar si la falla es del aplicativo o del archivo</t>
        </is>
      </c>
      <c r="E77" s="15" t="inlineStr">
        <is>
          <t>Escribir al soporte técnico y guardar el pantallazo del error como evidencia del intento</t>
        </is>
      </c>
      <c r="F77" s="15" t="inlineStr">
        <is>
          <t>Reintentar la carga cada quince minutos y avisar a su jefe cuando salga de la reunión</t>
        </is>
      </c>
      <c r="G77" s="15" t="n">
        <v>3</v>
      </c>
      <c r="H77" s="15" t="n">
        <v>2</v>
      </c>
      <c r="I77" s="15" t="n">
        <v>1</v>
      </c>
      <c r="J77" s="15" t="inlineStr">
        <is>
          <t>SI</t>
        </is>
      </c>
      <c r="K77" s="15" t="inlineStr">
        <is>
          <t>v3</t>
        </is>
      </c>
      <c r="L77" s="15" t="inlineStr">
        <is>
          <t>¿Cuál sería su primera acción?</t>
        </is>
      </c>
      <c r="M77" s="15" t="inlineStr">
        <is>
          <t>NO</t>
        </is>
      </c>
    </row>
    <row r="78">
      <c r="A78" s="15" t="inlineStr">
        <is>
          <t>B0077</t>
        </is>
      </c>
      <c r="B78" s="15" t="inlineStr">
        <is>
          <t>Confiabilidad técnica</t>
        </is>
      </c>
      <c r="C78" s="15" t="inlineStr">
        <is>
          <t>Usted revisa una liquidación de incapacidades y encuentra una diferencia de setecientos mil pesos a favor de un empleado. El cálculo lo hizo una compañera que salió a vacaciones y el pago se ordena mañana. Nadie más ha revisado el documento.</t>
        </is>
      </c>
      <c r="D78" s="15" t="inlineStr">
        <is>
          <t>Dejar pasar el pago por ser un valor menor frente al total de la nómina del mes</t>
        </is>
      </c>
      <c r="E78" s="15" t="inlineStr">
        <is>
          <t>Corregir la liquidación y dejar la anotación del ajuste en el soporte del pago</t>
        </is>
      </c>
      <c r="F78" s="15" t="inlineStr">
        <is>
          <t>Advertir la diferencia a quien ordena el pago antes de que este se ejecute mañana</t>
        </is>
      </c>
      <c r="G78" s="15" t="n">
        <v>3</v>
      </c>
      <c r="H78" s="15" t="n">
        <v>1</v>
      </c>
      <c r="I78" s="15" t="n">
        <v>1</v>
      </c>
      <c r="J78" s="15" t="inlineStr">
        <is>
          <t>SI</t>
        </is>
      </c>
      <c r="K78" s="15" t="inlineStr">
        <is>
          <t>v3</t>
        </is>
      </c>
      <c r="L78" s="15" t="inlineStr">
        <is>
          <t>¿Cuál de estas conductas NO adoptaría?</t>
        </is>
      </c>
      <c r="M78" s="15" t="inlineStr">
        <is>
          <t>SI</t>
        </is>
      </c>
    </row>
    <row r="79">
      <c r="A79" s="15" t="inlineStr">
        <is>
          <t>B0078</t>
        </is>
      </c>
      <c r="B79" s="15" t="inlineStr">
        <is>
          <t>Gestión de procedimientos</t>
        </is>
      </c>
      <c r="C79" s="15" t="inlineStr">
        <is>
          <t>Un usuario llega a las 16:55 y el trámite que necesita cierra a las 17:00. Le faltan cinco minutos de atención y usted alcanza a resolverlo, pero eso significa salir veinte minutos tarde porque debe cerrar caja. El usuario vive en zona rural y el transporte sale a las 18:00.</t>
        </is>
      </c>
      <c r="D79" s="15" t="inlineStr">
        <is>
          <t>Atender el trámite en el tiempo que queda y organizar después el cierre de caja</t>
        </is>
      </c>
      <c r="E79" s="15" t="inlineStr">
        <is>
          <t>Explicarle el horario y asignarle turno preferente para el primer bloque del día siguiente</t>
        </is>
      </c>
      <c r="F79" s="15" t="inlineStr">
        <is>
          <t>Consultar con su jefe si puede quedarse a atenderlo fuera del horario establecido</t>
        </is>
      </c>
      <c r="G79" s="15" t="n">
        <v>3</v>
      </c>
      <c r="H79" s="15" t="n">
        <v>2</v>
      </c>
      <c r="I79" s="15" t="n">
        <v>1</v>
      </c>
      <c r="J79" s="15" t="inlineStr">
        <is>
          <t>SI</t>
        </is>
      </c>
      <c r="K79" s="15" t="inlineStr">
        <is>
          <t>v3</t>
        </is>
      </c>
      <c r="L79" s="15" t="inlineStr">
        <is>
          <t>¿Cuál sería su primera acción?</t>
        </is>
      </c>
      <c r="M79" s="15" t="inlineStr">
        <is>
          <t>NO</t>
        </is>
      </c>
    </row>
    <row r="80">
      <c r="A80" s="15" t="inlineStr">
        <is>
          <t>B0079</t>
        </is>
      </c>
      <c r="B80" s="15" t="inlineStr">
        <is>
          <t>Trabajo en equipo</t>
        </is>
      </c>
      <c r="C80" s="15" t="inlineStr">
        <is>
          <t>En la entrega de turno, la enfermera que sale omite mencionar que un paciente presentó un episodio de desorientación en la madrugada. Usted lo descubre dos horas después revisando la historia clínica. Es la tercera vez este mes que la entrega llega incompleta.</t>
        </is>
      </c>
      <c r="D80" s="15" t="inlineStr">
        <is>
          <t>Hablar con ella al terminar el turno y proponer una lista corta de puntos obligatorios</t>
        </is>
      </c>
      <c r="E80" s="15" t="inlineStr">
        <is>
          <t>Registrar el hallazgo en la historia y comentarlo en la reunión mensual del servicio</t>
        </is>
      </c>
      <c r="F80" s="15" t="inlineStr">
        <is>
          <t>Informar el hecho a la coordinadora para que ella corrija a la persona responsable</t>
        </is>
      </c>
      <c r="G80" s="15" t="n">
        <v>3</v>
      </c>
      <c r="H80" s="15" t="n">
        <v>2</v>
      </c>
      <c r="I80" s="15" t="n">
        <v>1</v>
      </c>
      <c r="J80" s="15" t="inlineStr">
        <is>
          <t>SI</t>
        </is>
      </c>
      <c r="K80" s="15" t="inlineStr">
        <is>
          <t>v3</t>
        </is>
      </c>
      <c r="L80" s="15" t="inlineStr">
        <is>
          <t>¿Cuál es la conducta más efectiva?</t>
        </is>
      </c>
      <c r="M80" s="15" t="inlineStr">
        <is>
          <t>NO</t>
        </is>
      </c>
    </row>
    <row r="81">
      <c r="A81" s="15" t="inlineStr">
        <is>
          <t>B0080</t>
        </is>
      </c>
      <c r="B81" s="15" t="inlineStr">
        <is>
          <t>Transparencia</t>
        </is>
      </c>
      <c r="C81" s="15" t="inlineStr">
        <is>
          <t>Un compañero le pide que marque su llegada en el reloj biométrico porque viene retrasado por una cita médica que no alcanzó a reportar. Dice que siempre repone el tiempo y que lo haría por usted sin dudarlo. Nadie está mirando en ese momento.</t>
        </is>
      </c>
      <c r="D81" s="15" t="inlineStr">
        <is>
          <t>Marcar por él esta vez, dado que la causa del retraso es justificada y repondrá el tiempo</t>
        </is>
      </c>
      <c r="E81" s="15" t="inlineStr">
        <is>
          <t>Negarse y sugerirle que reporte la cita médica por el canal que existe para eso</t>
        </is>
      </c>
      <c r="F81" s="15" t="inlineStr">
        <is>
          <t>Negarse y explicarle que el registro es personal y que marcar por otro es una falta</t>
        </is>
      </c>
      <c r="G81" s="15" t="n">
        <v>3</v>
      </c>
      <c r="H81" s="15" t="n">
        <v>1</v>
      </c>
      <c r="I81" s="15" t="n">
        <v>1</v>
      </c>
      <c r="J81" s="15" t="inlineStr">
        <is>
          <t>SI</t>
        </is>
      </c>
      <c r="K81" s="15" t="inlineStr">
        <is>
          <t>v3</t>
        </is>
      </c>
      <c r="L81" s="15" t="inlineStr">
        <is>
          <t>¿Cuál de estas conductas NO adoptaría?</t>
        </is>
      </c>
      <c r="M81" s="15" t="inlineStr">
        <is>
          <t>SI</t>
        </is>
      </c>
    </row>
    <row r="82">
      <c r="A82" s="15" t="inlineStr">
        <is>
          <t>B0081</t>
        </is>
      </c>
      <c r="B82" s="15" t="inlineStr">
        <is>
          <t>Orientación al usuario y al ciudadano</t>
        </is>
      </c>
      <c r="C82" s="15" t="inlineStr">
        <is>
          <t>Una usuaria de setenta años se equivocó de fila, esperó cuarenta minutos y ahora debe empezar de nuevo en otra ventanilla donde hay doce personas. Está cansada y molesta. El error fue de ella, aunque la señalización del pasillo es confusa y ya varios se han equivocado hoy.</t>
        </is>
      </c>
      <c r="D82" s="15" t="inlineStr">
        <is>
          <t>Gestionar su atención en el turno siguiente, explicándole por qué se produjo la confusión</t>
        </is>
      </c>
      <c r="E82" s="15" t="inlineStr">
        <is>
          <t>Acompañarla a la fila correcta y avisar al compañero de esa ventanilla sobre su caso</t>
        </is>
      </c>
      <c r="F82" s="15" t="inlineStr">
        <is>
          <t>Explicarle el procedimiento y reportar el problema de señalización al área encargada</t>
        </is>
      </c>
      <c r="G82" s="15" t="n">
        <v>3</v>
      </c>
      <c r="H82" s="15" t="n">
        <v>2</v>
      </c>
      <c r="I82" s="15" t="n">
        <v>1</v>
      </c>
      <c r="J82" s="15" t="inlineStr">
        <is>
          <t>SI</t>
        </is>
      </c>
      <c r="K82" s="15" t="inlineStr">
        <is>
          <t>v3</t>
        </is>
      </c>
      <c r="L82" s="15" t="inlineStr">
        <is>
          <t>¿Cuál sería su primera acción?</t>
        </is>
      </c>
      <c r="M82" s="15" t="inlineStr">
        <is>
          <t>NO</t>
        </is>
      </c>
    </row>
    <row r="83">
      <c r="A83" s="15" t="inlineStr">
        <is>
          <t>B0082</t>
        </is>
      </c>
      <c r="B83" s="15" t="inlineStr">
        <is>
          <t>Instrumentación de decisiones</t>
        </is>
      </c>
      <c r="C83" s="15" t="inlineStr">
        <is>
          <t>La dirección adopta un formato único para todas las áreas. En la suya, ese formato omite un dato clínico que el equipo usa a diario para priorizar pacientes. El plazo de implementación es el lunes y la dirección ya rechazó dos solicitudes de excepción de otras áreas.</t>
        </is>
      </c>
      <c r="D83" s="15" t="inlineStr">
        <is>
          <t>Implementar el formato y llevar el dato faltante en un registro paralelo transitorio</t>
        </is>
      </c>
      <c r="E83" s="15" t="inlineStr">
        <is>
          <t>Implementar el formato y presentar el ajuste con evidencia del uso clínico del dato</t>
        </is>
      </c>
      <c r="F83" s="15" t="inlineStr">
        <is>
          <t>Implementar el formato tal como está y esperar la evaluación que haga la dirección</t>
        </is>
      </c>
      <c r="G83" s="15" t="n">
        <v>2</v>
      </c>
      <c r="H83" s="15" t="n">
        <v>3</v>
      </c>
      <c r="I83" s="15" t="n">
        <v>1</v>
      </c>
      <c r="J83" s="15" t="inlineStr">
        <is>
          <t>SI</t>
        </is>
      </c>
      <c r="K83" s="15" t="inlineStr">
        <is>
          <t>v3</t>
        </is>
      </c>
      <c r="L83" s="15" t="inlineStr">
        <is>
          <t>¿Cuál es la conducta más efectiva?</t>
        </is>
      </c>
      <c r="M83" s="15" t="inlineStr">
        <is>
          <t>NO</t>
        </is>
      </c>
    </row>
    <row r="84">
      <c r="A84" s="15" t="inlineStr">
        <is>
          <t>B0083</t>
        </is>
      </c>
      <c r="B84" s="15" t="inlineStr">
        <is>
          <t>Aporte técnico-profesional</t>
        </is>
      </c>
      <c r="C84" s="15" t="inlineStr">
        <is>
          <t>Le piden revisar un estudio previo elaborado por otra dependencia. Encuentra que la cantidad solicitada de un insumo duplica el consumo histórico. El plazo para publicar el proceso vence hoy y la dependencia insiste en que el cálculo está bien porque «este año habrá más demanda».</t>
        </is>
      </c>
      <c r="D84" s="15" t="inlineStr">
        <is>
          <t>Avalar el estudio y dejar anotado que la cantidad se basa en una proyección de la dependencia</t>
        </is>
      </c>
      <c r="E84" s="15" t="inlineStr">
        <is>
          <t>Devolver el estudio pidiendo el soporte de la proyección y fijar un plazo para recibirlo</t>
        </is>
      </c>
      <c r="F84" s="15" t="inlineStr">
        <is>
          <t>Reunirse con la dependencia para revisar juntos el cálculo antes de que venza el plazo</t>
        </is>
      </c>
      <c r="G84" s="15" t="n">
        <v>3</v>
      </c>
      <c r="H84" s="15" t="n">
        <v>1</v>
      </c>
      <c r="I84" s="15" t="n">
        <v>1</v>
      </c>
      <c r="J84" s="15" t="inlineStr">
        <is>
          <t>SI</t>
        </is>
      </c>
      <c r="K84" s="15" t="inlineStr">
        <is>
          <t>v3</t>
        </is>
      </c>
      <c r="L84" s="15" t="inlineStr">
        <is>
          <t>¿Cuál de estas conductas NO adoptaría?</t>
        </is>
      </c>
      <c r="M84" s="15" t="inlineStr">
        <is>
          <t>SI</t>
        </is>
      </c>
    </row>
    <row r="85">
      <c r="A85" s="15" t="inlineStr">
        <is>
          <t>B0084</t>
        </is>
      </c>
      <c r="B85" s="15" t="inlineStr">
        <is>
          <t>Adaptación al cambio</t>
        </is>
      </c>
      <c r="C85" s="15" t="inlineStr">
        <is>
          <t>Le informan por correo, un viernes a las 17:30, que desde el lunes su área asume un proceso nuevo que hoy maneja otra dependencia. No hay manual, no hubo empalme y la persona que lo llevaba se retiró la semana pasada. El proceso atiende usuarios todos los días.</t>
        </is>
      </c>
      <c r="D85" s="15" t="inlineStr">
        <is>
          <t>Identificar qué casos entran el lunes y con quién resolverlos mientras se organiza el resto</t>
        </is>
      </c>
      <c r="E85" s="15" t="inlineStr">
        <is>
          <t>Solicitar por escrito el empalme formal y el manual antes de asumir el proceso nuevo</t>
        </is>
      </c>
      <c r="F85" s="15" t="inlineStr">
        <is>
          <t>Informar a su jefe que sin manual ni empalme el área no puede asumir la tarea el lunes</t>
        </is>
      </c>
      <c r="G85" s="15" t="n">
        <v>3</v>
      </c>
      <c r="H85" s="15" t="n">
        <v>2</v>
      </c>
      <c r="I85" s="15" t="n">
        <v>1</v>
      </c>
      <c r="J85" s="15" t="inlineStr">
        <is>
          <t>SI</t>
        </is>
      </c>
      <c r="K85" s="15" t="inlineStr">
        <is>
          <t>v3</t>
        </is>
      </c>
      <c r="L85" s="15" t="inlineStr">
        <is>
          <t>¿Cuál sería su primera acción?</t>
        </is>
      </c>
      <c r="M85" s="15" t="inlineStr">
        <is>
          <t>NO</t>
        </is>
      </c>
    </row>
    <row r="86">
      <c r="A86" s="15" t="inlineStr">
        <is>
          <t>B0085</t>
        </is>
      </c>
      <c r="B86" s="15" t="inlineStr">
        <is>
          <t>Responsabilidad</t>
        </is>
      </c>
      <c r="C86" s="15" t="inlineStr">
        <is>
          <t>Usted cometió un error en un trámite de un usuario hace dos semanas y eso le costó a él un viaje adicional de dos horas. Hoy vuelve y lo reconoce a usted. Nadie en la oficina sabe del error y el usuario no ha puesto queja, solo comenta lo que le pasó mientras espera.</t>
        </is>
      </c>
      <c r="D86" s="15" t="inlineStr">
        <is>
          <t>Reconocer el error ante el usuario, ofrecer disculpas y resolverle el trámite ese día</t>
        </is>
      </c>
      <c r="E86" s="15" t="inlineStr">
        <is>
          <t>Resolverle el trámite con prioridad y ofrecerle disculpas generales por la demora sufrida</t>
        </is>
      </c>
      <c r="F86" s="15" t="inlineStr">
        <is>
          <t>Explicarle que el trámite tiene pasos que a veces generan devoluciones como la suya</t>
        </is>
      </c>
      <c r="G86" s="15" t="n">
        <v>3</v>
      </c>
      <c r="H86" s="15" t="n">
        <v>2</v>
      </c>
      <c r="I86" s="15" t="n">
        <v>1</v>
      </c>
      <c r="J86" s="15" t="inlineStr">
        <is>
          <t>SI</t>
        </is>
      </c>
      <c r="K86" s="15" t="inlineStr">
        <is>
          <t>v3</t>
        </is>
      </c>
      <c r="L86" s="15" t="inlineStr">
        <is>
          <t>¿Cuál es la conducta más efectiva?</t>
        </is>
      </c>
      <c r="M86" s="15" t="inlineStr">
        <is>
          <t>NO</t>
        </is>
      </c>
    </row>
    <row r="87">
      <c r="A87" s="15" t="inlineStr">
        <is>
          <t>B0086</t>
        </is>
      </c>
      <c r="B87" s="15" t="inlineStr">
        <is>
          <t>Manejo de la información</t>
        </is>
      </c>
      <c r="C87" s="15" t="inlineStr">
        <is>
          <t>Un exfuncionario, que fue jefe suyo y con quien tiene buena relación, le pide por teléfono un dato del sistema para un trabajo académico que está terminando. Es información agregada, sin nombres de pacientes, y él la manejaba cuando trabajaba allí.</t>
        </is>
      </c>
      <c r="D87" s="15" t="inlineStr">
        <is>
          <t>Enviarle el dato agregado, dado que no identifica pacientes y él ya lo conocía del cargo</t>
        </is>
      </c>
      <c r="E87" s="15" t="inlineStr">
        <is>
          <t>Indicarle que presente la solicitud a la entidad y tramitarla por el canal correspondiente</t>
        </is>
      </c>
      <c r="F87" s="15" t="inlineStr">
        <is>
          <t>Consultar con su jefe si ese dato puede entregarse y responderle según lo que le indiquen</t>
        </is>
      </c>
      <c r="G87" s="15" t="n">
        <v>3</v>
      </c>
      <c r="H87" s="15" t="n">
        <v>1</v>
      </c>
      <c r="I87" s="15" t="n">
        <v>1</v>
      </c>
      <c r="J87" s="15" t="inlineStr">
        <is>
          <t>SI</t>
        </is>
      </c>
      <c r="K87" s="15" t="inlineStr">
        <is>
          <t>v3</t>
        </is>
      </c>
      <c r="L87" s="15" t="inlineStr">
        <is>
          <t>¿Cuál de estas conductas NO adoptaría?</t>
        </is>
      </c>
      <c r="M87" s="15" t="inlineStr">
        <is>
          <t>SI</t>
        </is>
      </c>
    </row>
    <row r="88">
      <c r="A88" s="15" t="inlineStr">
        <is>
          <t>B0087</t>
        </is>
      </c>
      <c r="B88" s="15" t="inlineStr">
        <is>
          <t>Comunicación efectiva</t>
        </is>
      </c>
      <c r="C88" s="15" t="inlineStr">
        <is>
          <t>Debe coordinar con tres áreas una jornada de atención el sábado. Envió dos correos y solo respondió una. Faltan cuatro días, la jornada ya se anunció a la comunidad y usted no tiene autoridad jerárquica sobre las otras dos áreas.</t>
        </is>
      </c>
      <c r="D88" s="15" t="inlineStr">
        <is>
          <t>Llamar a los responsables de las dos áreas y cerrar en esa llamada los compromisos</t>
        </is>
      </c>
      <c r="E88" s="15" t="inlineStr">
        <is>
          <t>Reenviar el correo con copia a los jefes y fijar un plazo de respuesta de dos días</t>
        </is>
      </c>
      <c r="F88" s="15" t="inlineStr">
        <is>
          <t>Informar a su jefe que las áreas no responden para que él eleve la solicitud</t>
        </is>
      </c>
      <c r="G88" s="15" t="n">
        <v>3</v>
      </c>
      <c r="H88" s="15" t="n">
        <v>2</v>
      </c>
      <c r="I88" s="15" t="n">
        <v>1</v>
      </c>
      <c r="J88" s="15" t="inlineStr">
        <is>
          <t>SI</t>
        </is>
      </c>
      <c r="K88" s="15" t="inlineStr">
        <is>
          <t>v3</t>
        </is>
      </c>
      <c r="L88" s="15" t="inlineStr">
        <is>
          <t>¿Cuál sería su primera acción?</t>
        </is>
      </c>
      <c r="M88" s="15" t="inlineStr">
        <is>
          <t>NO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1" min="1" max="1"/>
    <col width="34" customWidth="1" style="11" min="2" max="2"/>
    <col width="14" customWidth="1" style="11" min="3" max="3"/>
  </cols>
  <sheetData>
    <row r="1" ht="15.75" customHeight="1" s="12">
      <c r="A1" s="16" t="inlineStr">
        <is>
          <t>Solaris Merit Neiva - Resumen del banco</t>
        </is>
      </c>
      <c r="B1" s="17" t="n"/>
      <c r="C1" s="17" t="n"/>
    </row>
    <row r="2" ht="15" customHeight="1" s="12">
      <c r="A2" s="17" t="n"/>
      <c r="B2" s="17" t="n"/>
      <c r="C2" s="17" t="n"/>
    </row>
    <row r="3" ht="15" customHeight="1" s="12">
      <c r="A3" s="17" t="inlineStr">
        <is>
          <t>Concurso</t>
        </is>
      </c>
      <c r="B3" s="17" t="inlineStr">
        <is>
          <t>PS 2782 de 2026 - ESE 2 - HUHMP Neiva</t>
        </is>
      </c>
      <c r="C3" s="17" t="n"/>
    </row>
    <row r="4" ht="15" customHeight="1" s="12">
      <c r="A4" s="17" t="inlineStr">
        <is>
          <t>Preguntas funcionales</t>
        </is>
      </c>
      <c r="B4" s="17">
        <f>COUNTA(Funcionales!A2:A2000)</f>
        <v/>
      </c>
      <c r="C4" s="17" t="n"/>
    </row>
    <row r="5" ht="15" customHeight="1" s="12">
      <c r="A5" s="17" t="inlineStr">
        <is>
          <t>Casos funcionales</t>
        </is>
      </c>
      <c r="B5" s="17">
        <f>SUMPRODUCT((Funcionales!E2:E2000&lt;&gt;"")/COUNTIF(Funcionales!E2:E2000,Funcionales!E2:E2000&amp;""))</f>
        <v/>
      </c>
      <c r="C5" s="17" t="n"/>
    </row>
    <row r="6" ht="15" customHeight="1" s="12">
      <c r="A6" s="17" t="inlineStr">
        <is>
          <t>Preguntas comportamentales</t>
        </is>
      </c>
      <c r="B6" s="17">
        <f>COUNTA(Comportamentales!A2:A500)</f>
        <v/>
      </c>
      <c r="C6" s="17" t="n"/>
    </row>
    <row r="7" ht="15" customHeight="1" s="12">
      <c r="A7" s="17" t="inlineStr">
        <is>
          <t>Total preguntas</t>
        </is>
      </c>
      <c r="B7" s="17">
        <f>B4+B6</f>
        <v/>
      </c>
      <c r="C7" s="17" t="n"/>
    </row>
    <row r="8" ht="15" customHeight="1" s="12">
      <c r="A8" s="17" t="n"/>
      <c r="B8" s="17" t="n"/>
      <c r="C8" s="17" t="n"/>
    </row>
    <row r="9" ht="15" customHeight="1" s="12">
      <c r="A9" s="18" t="inlineStr">
        <is>
          <t>Preguntas por eje</t>
        </is>
      </c>
      <c r="B9" s="17" t="n"/>
      <c r="C9" s="17" t="n"/>
    </row>
    <row r="10" ht="15" customHeight="1" s="12">
      <c r="A10" s="19" t="inlineStr">
        <is>
          <t>Eje</t>
        </is>
      </c>
      <c r="B10" s="19" t="inlineStr">
        <is>
          <t>Preguntas</t>
        </is>
      </c>
      <c r="C10" s="19" t="inlineStr">
        <is>
          <t>Casos</t>
        </is>
      </c>
    </row>
    <row r="11" ht="15" customHeight="1" s="12">
      <c r="A11" s="17" t="inlineStr">
        <is>
          <t>Sistema de salud y Ley 100 de 1993</t>
        </is>
      </c>
      <c r="B11" s="17">
        <f>COUNTIF(Funcionales!$C$2:$C$2000,$A11)</f>
        <v/>
      </c>
      <c r="C11" s="17">
        <f>COUNTIF(Funcionales!$C$2:$C$2000,$A11)/3</f>
        <v/>
      </c>
    </row>
    <row r="12" ht="15" customHeight="1" s="12">
      <c r="A12" s="17" t="inlineStr">
        <is>
          <t>Ley 1751 de 2015 - derecho fundamental a la salud</t>
        </is>
      </c>
      <c r="B12" s="17">
        <f>COUNTIF(Funcionales!$C$2:$C$2000,$A12)</f>
        <v/>
      </c>
      <c r="C12" s="17">
        <f>COUNTIF(Funcionales!$C$2:$C$2000,$A12)/3</f>
        <v/>
      </c>
    </row>
    <row r="13" ht="15" customHeight="1" s="12">
      <c r="A13" s="17" t="inlineStr">
        <is>
          <t>Habilitacion y calidad (Resolucion 3100 de 2019)</t>
        </is>
      </c>
      <c r="B13" s="17">
        <f>COUNTIF(Funcionales!$C$2:$C$2000,$A13)</f>
        <v/>
      </c>
      <c r="C13" s="17">
        <f>COUNTIF(Funcionales!$C$2:$C$2000,$A13)/3</f>
        <v/>
      </c>
    </row>
    <row r="14" ht="15" customHeight="1" s="12">
      <c r="A14" s="17" t="inlineStr">
        <is>
          <t>Seguridad del paciente</t>
        </is>
      </c>
      <c r="B14" s="17">
        <f>COUNTIF(Funcionales!$C$2:$C$2000,$A14)</f>
        <v/>
      </c>
      <c r="C14" s="17">
        <f>COUNTIF(Funcionales!$C$2:$C$2000,$A14)/3</f>
        <v/>
      </c>
    </row>
    <row r="15" ht="15" customHeight="1" s="12">
      <c r="A15" s="17" t="inlineStr">
        <is>
          <t>Historia clinica y proteccion de datos (Ley 1581 de 2012)</t>
        </is>
      </c>
      <c r="B15" s="17">
        <f>COUNTIF(Funcionales!$C$2:$C$2000,$A15)</f>
        <v/>
      </c>
      <c r="C15" s="17">
        <f>COUNTIF(Funcionales!$C$2:$C$2000,$A15)/3</f>
        <v/>
      </c>
    </row>
    <row r="16" ht="15" customHeight="1" s="12">
      <c r="A16" s="17" t="inlineStr">
        <is>
          <t>Humanizacion y derechos del paciente</t>
        </is>
      </c>
      <c r="B16" s="17">
        <f>COUNTIF(Funcionales!$C$2:$C$2000,$A16)</f>
        <v/>
      </c>
      <c r="C16" s="17">
        <f>COUNTIF(Funcionales!$C$2:$C$2000,$A16)/3</f>
        <v/>
      </c>
    </row>
    <row r="17" ht="15" customHeight="1" s="12">
      <c r="A17" s="17" t="inlineStr">
        <is>
          <t>Referencia y contrarreferencia</t>
        </is>
      </c>
      <c r="B17" s="17">
        <f>COUNTIF(Funcionales!$C$2:$C$2000,$A17)</f>
        <v/>
      </c>
      <c r="C17" s="17">
        <f>COUNTIF(Funcionales!$C$2:$C$2000,$A17)/3</f>
        <v/>
      </c>
    </row>
    <row r="18" ht="15" customHeight="1" s="12">
      <c r="A18" s="17" t="inlineStr">
        <is>
          <t>Urgencias</t>
        </is>
      </c>
      <c r="B18" s="17">
        <f>COUNTIF(Funcionales!$C$2:$C$2000,$A18)</f>
        <v/>
      </c>
      <c r="C18" s="17">
        <f>COUNTIF(Funcionales!$C$2:$C$2000,$A18)/3</f>
        <v/>
      </c>
    </row>
    <row r="19" ht="15" customHeight="1" s="12">
      <c r="A19" s="17" t="inlineStr">
        <is>
          <t>Gestion hospitalaria y organizacion de la E.S.E.</t>
        </is>
      </c>
      <c r="B19" s="17">
        <f>COUNTIF(Funcionales!$C$2:$C$2000,$A19)</f>
        <v/>
      </c>
      <c r="C19" s="17">
        <f>COUNTIF(Funcionales!$C$2:$C$2000,$A19)/3</f>
        <v/>
      </c>
    </row>
    <row r="20" ht="15" customHeight="1" s="12">
      <c r="A20" s="17" t="inlineStr">
        <is>
          <t>Contratacion en la E.S.E. y transparencia</t>
        </is>
      </c>
      <c r="B20" s="17">
        <f>COUNTIF(Funcionales!$C$2:$C$2000,$A20)</f>
        <v/>
      </c>
      <c r="C20" s="17">
        <f>COUNTIF(Funcionales!$C$2:$C$2000,$A20)/3</f>
        <v/>
      </c>
    </row>
    <row r="21" ht="15" customHeight="1" s="12">
      <c r="A21" s="17" t="inlineStr">
        <is>
          <t>Regimen disciplinario y CPACA</t>
        </is>
      </c>
      <c r="B21" s="17">
        <f>COUNTIF(Funcionales!$C$2:$C$2000,$A21)</f>
        <v/>
      </c>
      <c r="C21" s="17">
        <f>COUNTIF(Funcionales!$C$2:$C$2000,$A21)/3</f>
        <v/>
      </c>
    </row>
    <row r="22" ht="15" customHeight="1" s="12">
      <c r="A22" s="17" t="inlineStr">
        <is>
          <t>Precision juridica del verbo</t>
        </is>
      </c>
      <c r="B22" s="17">
        <f>COUNTIF(Funcionales!$C$2:$C$2000,$A22)</f>
        <v/>
      </c>
      <c r="C22" s="17">
        <f>COUNTIF(Funcionales!$C$2:$C$2000,$A22)/3</f>
        <v/>
      </c>
    </row>
    <row r="23" ht="15" customHeight="1" s="12">
      <c r="A23" s="20" t="inlineStr">
        <is>
          <t>TOTAL</t>
        </is>
      </c>
      <c r="B23" s="20">
        <f>SUM(B11:B22)</f>
        <v/>
      </c>
      <c r="C23" s="20">
        <f>SUM(C11:C22)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4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1" min="1" max="1"/>
  </cols>
  <sheetData>
    <row r="1" ht="15" customHeight="1" s="12">
      <c r="A1" s="21" t="inlineStr">
        <is>
          <t>Solaris Merit Neiva - Banco de preguntas de práctica</t>
        </is>
      </c>
    </row>
    <row r="2" ht="15" customHeight="1" s="12">
      <c r="A2" s="22" t="n"/>
    </row>
    <row r="3" ht="15" customHeight="1" s="12">
      <c r="A3" s="22" t="inlineStr">
        <is>
          <t>Concurso: Proceso de Selección No. 2782 de 2026 - Empresas Sociales del Estado 2</t>
        </is>
      </c>
    </row>
    <row r="4" ht="15" customHeight="1" s="12">
      <c r="A4" s="22" t="inlineStr">
        <is>
          <t>Entidad: E.S.E. Hospital Universitario Hernando Moncaleano Perdomo (Neiva, Huila)</t>
        </is>
      </c>
    </row>
    <row r="5" ht="15" customHeight="1" s="12">
      <c r="A5" s="22" t="inlineStr">
        <is>
          <t>Acuerdo de convocatoria: Acuerdo CNSC N° 36 del 9 de abril de 2026 - Anexo Técnico E.S.E. 2 Orden Territorial</t>
        </is>
      </c>
    </row>
    <row r="6" ht="15" customHeight="1" s="12">
      <c r="A6" s="22" t="inlineStr">
        <is>
          <t>Niveles cubiertos: Profesional y Técnico</t>
        </is>
      </c>
    </row>
    <row r="7" ht="15" customHeight="1" s="12">
      <c r="A7" s="22" t="n"/>
    </row>
    <row r="8" ht="15" customHeight="1" s="12">
      <c r="A8" s="21" t="inlineStr">
        <is>
          <t>AVISO IMPORTANTE</t>
        </is>
      </c>
    </row>
    <row r="9" ht="15" customHeight="1" s="12">
      <c r="A9" s="22" t="inlineStr">
        <is>
          <t>Estas preguntas son de PRÁCTICA y fueron elaboradas a partir de la normativa pública citada en cada fila.</t>
        </is>
      </c>
    </row>
    <row r="10" ht="15" customHeight="1" s="12">
      <c r="A10" s="22" t="inlineStr">
        <is>
          <t>NO son preguntas reales de una prueba de la CNSC: las pruebas tienen carácter reservado (Ley 909 de 2004, art. 31 num. 3).</t>
        </is>
      </c>
    </row>
    <row r="11" ht="15" customHeight="1" s="12">
      <c r="A11" s="22" t="inlineStr">
        <is>
          <t>Este material no está afiliado, avalado ni patrocinado por la CNSC ni por la E.S.E. Hospital Universitario Hernando Moncaleano Perdomo.</t>
        </is>
      </c>
    </row>
    <row r="12" ht="15" customHeight="1" s="12">
      <c r="A12" s="22" t="n"/>
    </row>
    <row r="13" ht="15" customHeight="1" s="12">
      <c r="A13" s="21" t="inlineStr">
        <is>
          <t>CÓMO EDITAR ESTE ARCHIVO</t>
        </is>
      </c>
    </row>
    <row r="14" ht="15" customHeight="1" s="12">
      <c r="A14" s="22" t="inlineStr">
        <is>
          <t>1. Hoja Funcionales: una fila por pregunta. Tres filas con el mismo caso_id comparten el mismo texto_caso (formato de caso con tres enunciados).</t>
        </is>
      </c>
    </row>
    <row r="15" ht="15" customHeight="1" s="12">
      <c r="A15" s="22" t="inlineStr">
        <is>
          <t>2. Columna respuesta: escriba únicamente a, b o c en minúscula.</t>
        </is>
      </c>
    </row>
    <row r="16" ht="15" customHeight="1" s="12">
      <c r="A16" s="22" t="inlineStr">
        <is>
          <t>3. Columna porque_no: explique por qué las otras dos opciones no sirven.</t>
        </is>
      </c>
    </row>
    <row r="17" ht="15" customHeight="1" s="12">
      <c r="A17" s="22" t="inlineStr">
        <is>
          <t>4. Columna fuente: cite siempre la norma y el artículo. Verifique vigencia antes de publicar.</t>
        </is>
      </c>
    </row>
    <row r="18" ht="15" customHeight="1" s="12">
      <c r="A18" s="22" t="inlineStr">
        <is>
          <t>5. Columna activa: SI la pregunta entra al simulador, NO la deja fuera sin borrarla.</t>
        </is>
      </c>
    </row>
    <row r="19" ht="15" customHeight="1" s="12">
      <c r="A19" s="22" t="inlineStr">
        <is>
          <t>6. Para agregar preguntas, continúe la numeración (F0121, F0122, ...) sin dejar filas vacías.</t>
        </is>
      </c>
    </row>
    <row r="20" ht="15" customHeight="1" s="12">
      <c r="A20" s="22" t="inlineStr">
        <is>
          <t>7. La hoja Resumen se recalcula sola al abrir el archivo en Excel.</t>
        </is>
      </c>
    </row>
    <row r="21" ht="15" customHeight="1" s="12">
      <c r="A21" s="22" t="n"/>
    </row>
    <row r="22" ht="15" customHeight="1" s="12">
      <c r="A22" s="21" t="inlineStr">
        <is>
          <t>PESOS DEL CONCURSO (Acuerdo 36, art. 16)</t>
        </is>
      </c>
    </row>
    <row r="23" ht="15" customHeight="1" s="12">
      <c r="A23" s="22" t="inlineStr">
        <is>
          <t>Competencias funcionales: eliminatoria, 60%, puntaje mínimo aprobatorio 65.00</t>
        </is>
      </c>
    </row>
    <row r="24" ht="15" customHeight="1" s="12">
      <c r="A24" s="22" t="inlineStr">
        <is>
          <t>Competencias comportamentales: clasificatoria, 20%</t>
        </is>
      </c>
    </row>
    <row r="25" ht="15" customHeight="1" s="12">
      <c r="A25" s="22" t="inlineStr">
        <is>
          <t>Valoración de antecedentes: clasificatoria, 20%</t>
        </is>
      </c>
    </row>
    <row r="26" ht="15" customHeight="1" s="12">
      <c r="A26" s="22" t="inlineStr">
        <is>
          <t>Vacantes reservadas para personas con discapacidad: 60% / 30% / 10% (VA solo factor educación)</t>
        </is>
      </c>
    </row>
    <row r="27" ht="15" customHeight="1" s="12">
      <c r="A27" s="22" t="n"/>
    </row>
    <row r="28" ht="15" customHeight="1" s="12">
      <c r="A28" s="21" t="inlineStr">
        <is>
          <t>NOTA DE VIGENCIA NORMATIVA (verificada a septiembre de 2026)</t>
        </is>
      </c>
    </row>
    <row r="29" ht="15" customHeight="1" s="12">
      <c r="A29" s="22" t="inlineStr">
        <is>
          <t>La Resolución 1732 de 2026 derogaba la Resolución 3100 de 2019, pero fue revocada íntegramente por la Resolución 2080 de 2026;</t>
        </is>
      </c>
    </row>
    <row r="30" ht="15" customHeight="1" s="12">
      <c r="A30" s="22" t="inlineStr">
        <is>
          <t>por tanto, la Resolución 3100 de 2019 y sus modificaciones siguen vigentes y son la base de las preguntas de habilitación.</t>
        </is>
      </c>
    </row>
    <row r="32" ht="15" customHeight="1" s="12">
      <c r="A32" s="21" t="inlineStr">
        <is>
          <t>EJE DE PRECISIÓN DEL VERBO</t>
        </is>
      </c>
    </row>
    <row r="33" ht="15" customHeight="1" s="12">
      <c r="A33" s="22" t="inlineStr">
        <is>
          <t>En este eje las tres opciones son plausibles en su contenido: lo que decide la respuesta es el verbo.</t>
        </is>
      </c>
    </row>
    <row r="34" ht="15" customHeight="1" s="12">
      <c r="A34" s="22" t="inlineStr">
        <is>
          <t>Pares trabajados: notificar/comunicar/publicar, confirmar/modificar/revocar, revocar/anular/suspender,</t>
        </is>
      </c>
    </row>
    <row r="35" ht="15" customHeight="1" s="12">
      <c r="A35" s="22" t="inlineStr">
        <is>
          <t>inadmitir/excluir/declarar desierto, habilitar/acreditar/certificar/reportar novedad, referir/contrarreferir/trasladar,</t>
        </is>
      </c>
    </row>
    <row r="36" ht="15" customHeight="1" s="12">
      <c r="A36" s="22" t="inlineStr">
        <is>
          <t>notificar/reportar/informar, caducar/prescribir, sancionar/expedir/promulgar/proferir, derogar/subrogar/modificar/decaimiento,</t>
        </is>
      </c>
    </row>
    <row r="37" ht="15" customHeight="1" s="12">
      <c r="A37" s="22" t="inlineStr">
        <is>
          <t>convocar/citar/emplazar/requerir, adoptar/viabilizar, delegar/desconcentrar/encargar y suspender/cancelar/sancionar.</t>
        </is>
      </c>
    </row>
    <row r="39" ht="15" customHeight="1" s="12">
      <c r="A39" s="21" t="inlineStr">
        <is>
          <t>HOJA COMPORTAMENTALES</t>
        </is>
      </c>
    </row>
    <row r="40" ht="15" customHeight="1" s="12">
      <c r="A40" s="22" t="inlineStr">
        <is>
          <t>Columnas: id, competencia, situacion, a, b, c, puntos_a, puntos_b, puntos_c, activa.</t>
        </is>
      </c>
    </row>
    <row r="41" ht="15" customHeight="1" s="12">
      <c r="A41" s="22" t="inlineStr">
        <is>
          <t>Cada opción se puntúa de 1 a 3 según el Decreto 815 de 2018: 3 la conducta esperada, 2 la aceptable, 1 la inadecuada.</t>
        </is>
      </c>
    </row>
    <row r="42" ht="15" customHeight="1" s="12">
      <c r="A42" s="22" t="inlineStr">
        <is>
          <t>El simulador calcula el porcentaje sobre el máximo posible de la sesión.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2026-09-17T23:04:59Z</dcterms:created>
  <dcterms:modified xmlns:dcterms="http://purl.org/dc/terms/" xmlns:xsi="http://www.w3.org/2001/XMLSchema-instance" xsi:type="dcterms:W3CDTF">2026-09-20T02:18:52Z</dcterms:modified>
  <cp:revision>0</cp:revision>
</cp:coreProperties>
</file>