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uncionales" sheetId="1" state="visible" r:id="rId3"/>
    <sheet name="Comportamentales" sheetId="2" state="visible" r:id="rId4"/>
    <sheet name="Resumen" sheetId="3" state="visible" r:id="rId5"/>
    <sheet name="Instruccion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<sst xmlns="http://schemas.openxmlformats.org/spreadsheetml/2006/main" count="6055" uniqueCount="3355">
  <si>
    <t xml:space="preserve">id</t>
  </si>
  <si>
    <t xml:space="preserve">concurso</t>
  </si>
  <si>
    <t xml:space="preserve">eje</t>
  </si>
  <si>
    <t xml:space="preserve">nivel</t>
  </si>
  <si>
    <t xml:space="preserve">caso_id</t>
  </si>
  <si>
    <t xml:space="preserve">caso</t>
  </si>
  <si>
    <t xml:space="preserve">texto_caso</t>
  </si>
  <si>
    <t xml:space="preserve">enunciado</t>
  </si>
  <si>
    <t xml:space="preserve">a</t>
  </si>
  <si>
    <t xml:space="preserve">b</t>
  </si>
  <si>
    <t xml:space="preserve">c</t>
  </si>
  <si>
    <t xml:space="preserve">respuesta</t>
  </si>
  <si>
    <t xml:space="preserve">explicacion</t>
  </si>
  <si>
    <t xml:space="preserve">porque_no</t>
  </si>
  <si>
    <t xml:space="preserve">fuente</t>
  </si>
  <si>
    <t xml:space="preserve">activa</t>
  </si>
  <si>
    <t xml:space="preserve">F0001</t>
  </si>
  <si>
    <t xml:space="preserve">PS 2782 de 2026 - ESE 2 - HUHMP Neiva</t>
  </si>
  <si>
    <t xml:space="preserve">Sistema de salud y Ley 100 de 1993</t>
  </si>
  <si>
    <t xml:space="preserve">Profesional</t>
  </si>
  <si>
    <t xml:space="preserve">C001</t>
  </si>
  <si>
    <t xml:space="preserve">Caso 001</t>
  </si>
  <si>
    <t xml:space="preserve">La E.S.E. recibe un derecho de petición de un ciudadano que afirma que, por ser el hospital una entidad pública, toda su contratación debe adelantarse por licitación pública de la Ley 80 de 1993. El jefe de la oficina jurídica pide concepto.</t>
  </si>
  <si>
    <t xml:space="preserve">¿Cuál es el régimen contractual aplicable a la E.S.E.?</t>
  </si>
  <si>
    <t xml:space="preserve">El Estatuto General de Contratación de la Administración Pública, sin excepciones</t>
  </si>
  <si>
    <t xml:space="preserve">El derecho privado, pudiendo incluir discrecionalmente las cláusulas excepcionales</t>
  </si>
  <si>
    <t xml:space="preserve">El régimen de las empresas industriales y comerciales del Estado del orden nacional</t>
  </si>
  <si>
    <t xml:space="preserve">El numeral 6 del artículo 195 de la Ley 100 de 1993 dispone que en materia contractual las E.S.E. se rigen por el derecho privado, con la posibilidad de pactar discrecionalmente las cláusulas excepcionales.</t>
  </si>
  <si>
    <t xml:space="preserve">La opción a) desconoce el régimen exceptuado del artículo 195.6; la opción c) traslada un régimen que la ley no previó para las E.S.E., que son una categoría especial de entidad pública descentralizada.</t>
  </si>
  <si>
    <t xml:space="preserve">Ley 100 de 1993, art. 195 num. 6</t>
  </si>
  <si>
    <t xml:space="preserve">SI</t>
  </si>
  <si>
    <t xml:space="preserve">F0002</t>
  </si>
  <si>
    <t xml:space="preserve">El ciudadano insiste en que, al aplicar derecho privado, la E.S.E. queda libre de los principios de la función administrativa. La respuesta correcta es:</t>
  </si>
  <si>
    <t xml:space="preserve">Es cierto: el régimen privado excluye los principios del artículo 209 de la Constitución</t>
  </si>
  <si>
    <t xml:space="preserve">Solo aplican los principios cuando el contrato supere la menor cuantía</t>
  </si>
  <si>
    <t xml:space="preserve">Los principios de la función administrativa y de la gestión fiscal siguen aplicando a la actividad contractual</t>
  </si>
  <si>
    <t xml:space="preserve">El artículo 13 de la Ley 1150 de 2007 obliga a las entidades con régimen contractual excepcional a aplicar los principios de la función administrativa y de la gestión fiscal de los artículos 209 y 267 de la Constitución.</t>
  </si>
  <si>
    <t xml:space="preserve">Las opciones a) y b) confunden el régimen sustantivo aplicable con la naturaleza pública de los recursos y de la función, que no admite excepción por cuantía.</t>
  </si>
  <si>
    <t xml:space="preserve">Ley 1150 de 2007, art. 13; C.P. arts. 209 y 267</t>
  </si>
  <si>
    <t xml:space="preserve">F0003</t>
  </si>
  <si>
    <t xml:space="preserve">Sobre la naturaleza jurídica de la E.S.E., lo correcto es afirmar que:</t>
  </si>
  <si>
    <t xml:space="preserve">Es una categoría especial de entidad pública descentralizada, con personería jurídica, patrimonio propio y autonomía administrativa</t>
  </si>
  <si>
    <t xml:space="preserve">Es un establecimiento público del orden nacional adscrito al Ministerio de Salud</t>
  </si>
  <si>
    <t xml:space="preserve">Es una sociedad de economía mixta sujeta al control de la Superintendencia de Sociedades</t>
  </si>
  <si>
    <t xml:space="preserve">El artículo 194 de la Ley 100 de 1993 define a las E.S.E. como categoría especial de entidad pública descentralizada, con personería jurídica, patrimonio propio y autonomía administrativa.</t>
  </si>
  <si>
    <t xml:space="preserve">Las opciones b) y c) asignan naturalezas y controles que no corresponden: la E.S.E. departamental se crea por ordenanza y es vigilada por la Superintendencia Nacional de Salud.</t>
  </si>
  <si>
    <t xml:space="preserve">Ley 100 de 1993, art. 194; Decreto 1876 de 1994</t>
  </si>
  <si>
    <t xml:space="preserve">F0004</t>
  </si>
  <si>
    <t xml:space="preserve">C002</t>
  </si>
  <si>
    <t xml:space="preserve">Caso 002</t>
  </si>
  <si>
    <t xml:space="preserve">En una mesa de trabajo sobre facturación, un contratista sostiene que el hospital puede cobrar copagos a un usuario del régimen subsidiado clasificado en el nivel I del Sisbén por una hospitalización.</t>
  </si>
  <si>
    <t xml:space="preserve">Frente a los pagos moderadores, lo correcto es:</t>
  </si>
  <si>
    <t xml:space="preserve">Toda la población afiliada paga cuotas moderadoras y copagos en igual proporción</t>
  </si>
  <si>
    <t xml:space="preserve">Los pagos moderadores se aplican según la capacidad socioeconómica del afiliado y existen servicios exceptuados</t>
  </si>
  <si>
    <t xml:space="preserve">Los copagos son de libre fijación por cada prestador</t>
  </si>
  <si>
    <t xml:space="preserve">El artículo 187 de la Ley 100 de 1993 y sus normas reglamentarias establecen que los pagos moderadores se fijan según el ingreso o clasificación socioeconómica del afiliado, con servicios exceptuados de cobro.</t>
  </si>
  <si>
    <t xml:space="preserve">La opción a) desconoce la progresividad legal; la opción c) confunde el cobro al usuario con la negociación tarifaria entre prestador y pagador.</t>
  </si>
  <si>
    <t xml:space="preserve">Ley 100 de 1993, art. 187</t>
  </si>
  <si>
    <t xml:space="preserve">F0005</t>
  </si>
  <si>
    <t xml:space="preserve">El usuario llega remitido y sin autorización de la EPS a urgencias. El hospital debe:</t>
  </si>
  <si>
    <t xml:space="preserve">Exigir la autorización antes de valorar al paciente</t>
  </si>
  <si>
    <t xml:space="preserve">Prestar la atención inicial de urgencias sin exigir autorización previa ni pago</t>
  </si>
  <si>
    <t xml:space="preserve">Aplazar la atención hasta verificar la afiliación en el ADRES</t>
  </si>
  <si>
    <t xml:space="preserve">La atención inicial de urgencias es obligatoria y no puede condicionarse a autorización previa ni a pago, conforme a la Ley 100 y al artículo 14 de la Ley 1751 de 2015.</t>
  </si>
  <si>
    <t xml:space="preserve">Las opciones a) y c) condicionan una atención que la ley define como incondicionada; la verificación de derechos es un trámite posterior y administrativo.</t>
  </si>
  <si>
    <t xml:space="preserve">Ley 1751 de 2015, art. 14; Ley 100 de 1993, art. 168</t>
  </si>
  <si>
    <t xml:space="preserve">F0006</t>
  </si>
  <si>
    <t xml:space="preserve">Los recursos de la seguridad social en salud:</t>
  </si>
  <si>
    <t xml:space="preserve">Pueden destinarse a gastos generales del departamento si hay superávit</t>
  </si>
  <si>
    <t xml:space="preserve">Tienen destinación específica y no pueden destinarse ni utilizarse para fines distintos</t>
  </si>
  <si>
    <t xml:space="preserve">Pierden su destinación al ingresar al presupuesto de la E.S.E.</t>
  </si>
  <si>
    <t xml:space="preserve">El artículo 48 de la Constitución prohíbe destinar o utilizar los recursos de las instituciones de la seguridad social para fines diferentes a ella.</t>
  </si>
  <si>
    <t xml:space="preserve">Las opciones a) y c) suponen una pérdida de destinación que la Constitución no permite, cualquiera sea el momento presupuestal.</t>
  </si>
  <si>
    <t xml:space="preserve">C.P. art. 48; Ley 100 de 1993</t>
  </si>
  <si>
    <t xml:space="preserve">F0007</t>
  </si>
  <si>
    <t xml:space="preserve">Técnico</t>
  </si>
  <si>
    <t xml:space="preserve">C003</t>
  </si>
  <si>
    <t xml:space="preserve">Caso 003</t>
  </si>
  <si>
    <t xml:space="preserve">Un técnico de facturación debe explicar a un usuario nuevo la diferencia entre los regímenes del SGSSS y las rutas de afiliación.</t>
  </si>
  <si>
    <t xml:space="preserve">La afiliación al régimen subsidiado corresponde a:</t>
  </si>
  <si>
    <t xml:space="preserve">Trabajadores dependientes con contrato laboral vigente</t>
  </si>
  <si>
    <t xml:space="preserve">Población sin capacidad de pago identificada mediante la encuesta del Sisbén o listados censales</t>
  </si>
  <si>
    <t xml:space="preserve">Pensionados con mesada superior a dos salarios mínimos</t>
  </si>
  <si>
    <t xml:space="preserve">El régimen subsidiado cubre a la población sin capacidad de pago, identificada mediante los instrumentos de focalización vigentes.</t>
  </si>
  <si>
    <t xml:space="preserve">Las opciones a) y c) describen afiliados cotizantes del régimen contributivo.</t>
  </si>
  <si>
    <t xml:space="preserve">Ley 100 de 1993, arts. 157 y 211</t>
  </si>
  <si>
    <t xml:space="preserve">F0008</t>
  </si>
  <si>
    <t xml:space="preserve">El Sistema de Afiliación Transaccional (SAT) sirve para:</t>
  </si>
  <si>
    <t xml:space="preserve">Registrar y consultar en línea la afiliación y sus novedades</t>
  </si>
  <si>
    <t xml:space="preserve">Liquidar la nómina del personal asistencial</t>
  </si>
  <si>
    <t xml:space="preserve">Autorizar los medicamentos no financiados con la UPC</t>
  </si>
  <si>
    <t xml:space="preserve">El SAT es el sistema dispuesto para el registro de la afiliación y el reporte de novedades de los afiliados al SGSSS.</t>
  </si>
  <si>
    <t xml:space="preserve">Las opciones b) y c) corresponden a procesos de talento humano y a trámites de prestaciones, ajenos al SAT.</t>
  </si>
  <si>
    <t xml:space="preserve">Decreto 780 de 2016, Libro 2, Parte 1</t>
  </si>
  <si>
    <t xml:space="preserve">F0009</t>
  </si>
  <si>
    <t xml:space="preserve">Si el usuario aparece como no afiliado y requiere atención no urgente, el trámite correcto es:</t>
  </si>
  <si>
    <t xml:space="preserve">Negar la atención y retirar al usuario</t>
  </si>
  <si>
    <t xml:space="preserve">Orientarlo sobre la afiliación de oficio y la ruta con la entidad territorial, sin perjuicio de la atención que la ley ordena</t>
  </si>
  <si>
    <t xml:space="preserve">Afiliarlo directamente el hospital a la EPS que elija el funcionario</t>
  </si>
  <si>
    <t xml:space="preserve">El prestador orienta al usuario sobre la afiliación de oficio y la competencia de la entidad territorial, sin que ello afecte las atenciones obligatorias por ley.</t>
  </si>
  <si>
    <t xml:space="preserve">La opción a) vulnera el deber de información y atención; la opción c) atribuye al prestador una facultad de afiliación que no tiene y desconoce la libre elección.</t>
  </si>
  <si>
    <t xml:space="preserve">Decreto 780 de 2016; Ley 1751 de 2015, art. 8</t>
  </si>
  <si>
    <t xml:space="preserve">F0010</t>
  </si>
  <si>
    <t xml:space="preserve">C004</t>
  </si>
  <si>
    <t xml:space="preserve">Caso 004</t>
  </si>
  <si>
    <t xml:space="preserve">La gerencia solicita un informe sobre el flujo de recursos y la contratación con las EPS para la vigencia.</t>
  </si>
  <si>
    <t xml:space="preserve">El giro directo a las IPS tiene como finalidad:</t>
  </si>
  <si>
    <t xml:space="preserve">Reemplazar la facturación del prestador</t>
  </si>
  <si>
    <t xml:space="preserve">Asegurar el flujo oportuno de recursos desde el pagador hacia el prestador</t>
  </si>
  <si>
    <t xml:space="preserve">Eliminar la auditoría de cuentas médicas</t>
  </si>
  <si>
    <t xml:space="preserve">El giro directo busca garantizar el flujo y protección de los recursos hacia los prestadores, sin sustituir los procesos de facturación ni de auditoría.</t>
  </si>
  <si>
    <t xml:space="preserve">Las opciones a) y c) suprimen procesos que se mantienen: facturar y auditar siguen siendo obligaciones de las partes.</t>
  </si>
  <si>
    <t xml:space="preserve">Ley 1438 de 2011; Decreto 780 de 2016</t>
  </si>
  <si>
    <t xml:space="preserve">F0011</t>
  </si>
  <si>
    <t xml:space="preserve">Ante glosas de la EPS, el término y el trámite correctos son:</t>
  </si>
  <si>
    <t xml:space="preserve">El prestador debe aceptarlas todas para no afectar el flujo de caja</t>
  </si>
  <si>
    <t xml:space="preserve">Existe un procedimiento reglado de respuesta a glosas con términos definidos y conciliación posterior</t>
  </si>
  <si>
    <t xml:space="preserve">Las glosas solo se discuten ante el juez administrativo</t>
  </si>
  <si>
    <t xml:space="preserve">El manual único de glosas fija el trámite y los términos para formularlas, responderlas y conciliarlas entre pagador y prestador.</t>
  </si>
  <si>
    <t xml:space="preserve">La opción a) renuncia a derechos económicos del hospital; la opción c) omite la etapa administrativa previa de respuesta y conciliación.</t>
  </si>
  <si>
    <t xml:space="preserve">Decreto 780 de 2016; Resolución 3047 de 2008 y sus modificaciones</t>
  </si>
  <si>
    <t xml:space="preserve">F0012</t>
  </si>
  <si>
    <t xml:space="preserve">La E.S.E. clasificada en riesgo financiero alto debe:</t>
  </si>
  <si>
    <t xml:space="preserve">Suspender la prestación de servicios hasta sanear sus cuentas</t>
  </si>
  <si>
    <t xml:space="preserve">Adoptar y ejecutar un programa de saneamiento fiscal y financiero viabilizado por el Ministerio de Hacienda</t>
  </si>
  <si>
    <t xml:space="preserve">Solicitar su liquidación inmediata ante la Superintendencia Nacional de Salud</t>
  </si>
  <si>
    <t xml:space="preserve">La categorización del riesgo obliga a la E.S.E. a adoptar un programa de saneamiento fiscal y financiero, sujeto a viabilización y seguimiento.</t>
  </si>
  <si>
    <t xml:space="preserve">Las opciones a) y c) confunden una medida de saneamiento con la interrupción del servicio o con la liquidación, que no son la consecuencia prevista.</t>
  </si>
  <si>
    <t xml:space="preserve">Ley 1438 de 2011, art. 80; Ley 1608 de 2013</t>
  </si>
  <si>
    <t xml:space="preserve">F0013</t>
  </si>
  <si>
    <t xml:space="preserve">Ley 1751 de 2015 - derecho fundamental a la salud</t>
  </si>
  <si>
    <t xml:space="preserve">C005</t>
  </si>
  <si>
    <t xml:space="preserve">Caso 005</t>
  </si>
  <si>
    <t xml:space="preserve">Una paciente del área rural del Huila reclama que se le negó una consulta especializada porque el servicio no está disponible en su municipio y el hospital le exigió tramitar primero una autorización.</t>
  </si>
  <si>
    <t xml:space="preserve">Los elementos esenciales del derecho a la salud según la Ley Estatutaria son:</t>
  </si>
  <si>
    <t xml:space="preserve">Disponibilidad, aceptabilidad, accesibilidad y calidad e idoneidad profesional</t>
  </si>
  <si>
    <t xml:space="preserve">Eficiencia, eficacia, economía y celeridad</t>
  </si>
  <si>
    <t xml:space="preserve">Universalidad, solidaridad y unidad</t>
  </si>
  <si>
    <t xml:space="preserve">El artículo 6 de la Ley 1751 de 2015 define como elementos esenciales e interrelacionados la disponibilidad, la aceptabilidad, la accesibilidad y la calidad e idoneidad profesional.</t>
  </si>
  <si>
    <t xml:space="preserve">La opción b) enuncia principios de la función administrativa y la c) principios del sistema de seguridad social, no los elementos del derecho fundamental.</t>
  </si>
  <si>
    <t xml:space="preserve">Ley 1751 de 2015, art. 6</t>
  </si>
  <si>
    <t xml:space="preserve">F0014</t>
  </si>
  <si>
    <t xml:space="preserve">Frente a las barreras administrativas para acceder al servicio, la ley dispone que:</t>
  </si>
  <si>
    <t xml:space="preserve">Son admisibles si están previstas en el contrato con la EPS</t>
  </si>
  <si>
    <t xml:space="preserve">El acceso a los servicios debe ser oportuno, eficaz y de calidad, sin que los trámites administrativos lo obstaculicen</t>
  </si>
  <si>
    <t xml:space="preserve">Solo se eliminan para pacientes con enfermedades huérfanas</t>
  </si>
  <si>
    <t xml:space="preserve">La Ley Estatutaria ordena garantizar el acceso oportuno y de calidad y proscribe que trámites administrativos se conviertan en barreras para la prestación.</t>
  </si>
  <si>
    <t xml:space="preserve">Las opciones a) y c) subordinan un derecho fundamental a un acuerdo contractual o lo restringen a un grupo, contra el alcance general de la ley.</t>
  </si>
  <si>
    <t xml:space="preserve">Ley 1751 de 2015, arts. 6 y 10</t>
  </si>
  <si>
    <t xml:space="preserve">F0015</t>
  </si>
  <si>
    <t xml:space="preserve">La paciente es adulta mayor y presenta discapacidad. Esto implica que:</t>
  </si>
  <si>
    <t xml:space="preserve">Recibe atención en el mismo orden general de solicitud</t>
  </si>
  <si>
    <t xml:space="preserve">Es sujeto de especial protección y su atención no puede ser limitada por ningún tipo de restricción administrativa o económica</t>
  </si>
  <si>
    <t xml:space="preserve">Debe acreditar su condición ante la EPS antes de cualquier atención</t>
  </si>
  <si>
    <t xml:space="preserve">El artículo 11 de la Ley 1751 de 2015 reconoce como sujetos de especial protección, entre otros, a los adultos mayores y a las personas con discapacidad, cuya atención no puede limitarse por restricciones administrativas o económicas.</t>
  </si>
  <si>
    <t xml:space="preserve">Las opciones a) y c) niegan la protección reforzada o la condicionan a un trámite previo que la ley no exige.</t>
  </si>
  <si>
    <t xml:space="preserve">Ley 1751 de 2015, art. 11</t>
  </si>
  <si>
    <t xml:space="preserve">F0016</t>
  </si>
  <si>
    <t xml:space="preserve">C006</t>
  </si>
  <si>
    <t xml:space="preserve">Caso 006</t>
  </si>
  <si>
    <t xml:space="preserve">El comité técnico discute qué servicios pueden excluirse de la financiación con recursos públicos y quién decide esa exclusión.</t>
  </si>
  <si>
    <t xml:space="preserve">Conforme a la Ley Estatutaria, las exclusiones:</t>
  </si>
  <si>
    <t xml:space="preserve">Las define cada EPS en su manual interno</t>
  </si>
  <si>
    <t xml:space="preserve">Resultan de un procedimiento técnico-científico, público, colectivo, participativo y transparente</t>
  </si>
  <si>
    <t xml:space="preserve">Las define el prestador en el momento de la atención</t>
  </si>
  <si>
    <t xml:space="preserve">El artículo 15 de la Ley 1751 de 2015 exige que los criterios de exclusión se apliquen mediante un procedimiento técnico-científico, público, colectivo, participativo y transparente.</t>
  </si>
  <si>
    <t xml:space="preserve">Las opciones a) y c) entregan a un actor particular una decisión que la ley reservó a un procedimiento reglado y participativo.</t>
  </si>
  <si>
    <t xml:space="preserve">Ley 1751 de 2015, art. 15</t>
  </si>
  <si>
    <t xml:space="preserve">F0017</t>
  </si>
  <si>
    <t xml:space="preserve">La autonomía profesional implica que el médico tratante:</t>
  </si>
  <si>
    <t xml:space="preserve">Puede prescribir sin sujeción a la autorregulación ni a la ética profesional</t>
  </si>
  <si>
    <t xml:space="preserve">Adopta decisiones sobre diagnóstico y tratamiento con autonomía, en el marco de la autorregulación, la ética y la evidencia científica</t>
  </si>
  <si>
    <t xml:space="preserve">Debe seguir estrictamente la instrucción administrativa del pagador</t>
  </si>
  <si>
    <t xml:space="preserve">El artículo 17 de la Ley 1751 de 2015 garantiza la autonomía de los profesionales de la salud, enmarcada en la autorregulación, la ética, la racionalidad y la evidencia científica.</t>
  </si>
  <si>
    <t xml:space="preserve">La opción a) elimina límites que la propia ley fija; la opción c) subordina el juicio clínico a la decisión administrativa, prohibido por la norma.</t>
  </si>
  <si>
    <t xml:space="preserve">Ley 1751 de 2015, art. 17</t>
  </si>
  <si>
    <t xml:space="preserve">F0018</t>
  </si>
  <si>
    <t xml:space="preserve">La prohibición de negar la prestación de servicios se concreta en que:</t>
  </si>
  <si>
    <t xml:space="preserve">Puede negarse mientras se surte la autorización</t>
  </si>
  <si>
    <t xml:space="preserve">No se puede negar la prestación de servicios e insumos necesarios, y la atención de urgencias no requiere autorización previa</t>
  </si>
  <si>
    <t xml:space="preserve">Solo aplica a servicios incluidos en el plan de beneficios</t>
  </si>
  <si>
    <t xml:space="preserve">El artículo 14 de la Ley 1751 de 2015 prohíbe negar la prestación de servicios e insumos necesarios y excluye la exigencia de autorización previa para la atención de urgencias.</t>
  </si>
  <si>
    <t xml:space="preserve">Las opciones a) y c) reintroducen la autorización o restringen el mandato a un listado, cuando la norma lo formula como prohibición general.</t>
  </si>
  <si>
    <t xml:space="preserve">Ley 1751 de 2015, art. 14</t>
  </si>
  <si>
    <t xml:space="preserve">F0019</t>
  </si>
  <si>
    <t xml:space="preserve">C007</t>
  </si>
  <si>
    <t xml:space="preserve">Caso 007</t>
  </si>
  <si>
    <t xml:space="preserve">Un usuario solicita por escrito copia de la información sobre su tratamiento y los costos que el hospital facturó a su EPS.</t>
  </si>
  <si>
    <t xml:space="preserve">El derecho a la información en salud comprende:</t>
  </si>
  <si>
    <t xml:space="preserve">Solo los datos clínicos, nunca los costos</t>
  </si>
  <si>
    <t xml:space="preserve">Información clara, apropiada, suficiente y oportuna sobre la atención, incluidos los costos</t>
  </si>
  <si>
    <t xml:space="preserve">Únicamente lo que autorice la EPS</t>
  </si>
  <si>
    <t xml:space="preserve">La Ley Estatutaria reconoce el derecho a recibir información clara, apropiada, suficiente y oportuna sobre la atención y sus costos.</t>
  </si>
  <si>
    <t xml:space="preserve">Las opciones a) y c) recortan un derecho que la ley define de manera amplia y no supeditan a autorización del pagador.</t>
  </si>
  <si>
    <t xml:space="preserve">Ley 1751 de 2015, art. 10</t>
  </si>
  <si>
    <t xml:space="preserve">F0020</t>
  </si>
  <si>
    <t xml:space="preserve">El plazo general para responder ese derecho de petición es de:</t>
  </si>
  <si>
    <t xml:space="preserve">Quince (15) días hábiles</t>
  </si>
  <si>
    <t xml:space="preserve">Diez (10) días hábiles en todos los casos</t>
  </si>
  <si>
    <t xml:space="preserve">Treinta (30) días hábiles en todos los casos</t>
  </si>
  <si>
    <t xml:space="preserve">El artículo 14 de la Ley 1755 de 2015 fija quince días hábiles como término general, con términos especiales de diez días para documentos e información y treinta para consultas.</t>
  </si>
  <si>
    <t xml:space="preserve">La opción b) generaliza el término especial de documentos e información y la c) el de consultas.</t>
  </si>
  <si>
    <t xml:space="preserve">Ley 1755 de 2015, art. 14</t>
  </si>
  <si>
    <t xml:space="preserve">F0021</t>
  </si>
  <si>
    <t xml:space="preserve">Si no es posible responder dentro del término, la entidad debe:</t>
  </si>
  <si>
    <t xml:space="preserve">Guardar silencio hasta tener la respuesta completa</t>
  </si>
  <si>
    <t xml:space="preserve">Informar antes del vencimiento la razón de la demora y señalar el plazo en que responderá</t>
  </si>
  <si>
    <t xml:space="preserve">Remitir la petición al usuario para que la reformule</t>
  </si>
  <si>
    <t xml:space="preserve">El parágrafo del artículo 14 de la Ley 1755 de 2015 obliga a informar antes del vencimiento los motivos de la demora y el plazo razonable de respuesta.</t>
  </si>
  <si>
    <t xml:space="preserve">La opción a) configura una vulneración del derecho de petición y la c) traslada al peticionario una carga que la ley no prevé.</t>
  </si>
  <si>
    <t xml:space="preserve">Ley 1755 de 2015, art. 14, parágrafo</t>
  </si>
  <si>
    <t xml:space="preserve">F0022</t>
  </si>
  <si>
    <t xml:space="preserve">C008</t>
  </si>
  <si>
    <t xml:space="preserve">Caso 008</t>
  </si>
  <si>
    <t xml:space="preserve">Ante una tutela por acceso a un servicio, el área jurídica prepara la defensa institucional del hospital.</t>
  </si>
  <si>
    <t xml:space="preserve">La Ley 1751 de 2015 es una ley estatutaria, lo que significa que:</t>
  </si>
  <si>
    <t xml:space="preserve">Puede ser modificada por decreto reglamentario</t>
  </si>
  <si>
    <t xml:space="preserve">Regula un derecho fundamental y su trámite y control son cualificados</t>
  </si>
  <si>
    <t xml:space="preserve">Tiene la misma jerarquía de una resolución ministerial</t>
  </si>
  <si>
    <t xml:space="preserve">Las leyes estatutarias regulan derechos fundamentales y están sujetas a trámite especial y control previo de constitucionalidad.</t>
  </si>
  <si>
    <t xml:space="preserve">Las opciones a) y c) desconocen la jerarquía normativa: ni un decreto ni una resolución pueden modificar una ley estatutaria.</t>
  </si>
  <si>
    <t xml:space="preserve">C.P. art. 152; Ley 1751 de 2015</t>
  </si>
  <si>
    <t xml:space="preserve">F0023</t>
  </si>
  <si>
    <t xml:space="preserve">El deber del usuario de propender por su autocuidado:</t>
  </si>
  <si>
    <t xml:space="preserve">No existe en la ley</t>
  </si>
  <si>
    <t xml:space="preserve">Está previsto como deber, sin que su incumplimiento justifique negar la atención</t>
  </si>
  <si>
    <t xml:space="preserve">Permite negar la atención a quien no lo cumpla</t>
  </si>
  <si>
    <t xml:space="preserve">La ley enuncia deberes de las personas frente al sistema, entre ellos el autocuidado, sin autorizar que su inobservancia se convierta en causal de negación del servicio.</t>
  </si>
  <si>
    <t xml:space="preserve">La opción a) ignora el texto legal y la opción c) convierte un deber en una sanción que la ley no contempla.</t>
  </si>
  <si>
    <t xml:space="preserve">F0024</t>
  </si>
  <si>
    <t xml:space="preserve">La sostenibilidad financiera del sistema, según la ley, es:</t>
  </si>
  <si>
    <t xml:space="preserve">Una razón válida para negar servicios requeridos por el paciente</t>
  </si>
  <si>
    <t xml:space="preserve">Un deber del Estado que no puede oponerse como argumento para negar la prestación</t>
  </si>
  <si>
    <t xml:space="preserve">Un criterio que prevalece sobre el derecho fundamental</t>
  </si>
  <si>
    <t xml:space="preserve">La jurisprudencia constitucional y la Ley Estatutaria precisan que la sostenibilidad es un deber estatal y no un argumento para negar servicios necesarios.</t>
  </si>
  <si>
    <t xml:space="preserve">Las opciones a) y c) invierten la relación entre el derecho fundamental y su financiación.</t>
  </si>
  <si>
    <t xml:space="preserve">Ley 1751 de 2015, arts. 5 y 6</t>
  </si>
  <si>
    <t xml:space="preserve">F0025</t>
  </si>
  <si>
    <t xml:space="preserve">Habilitacion y calidad (Resolucion 3100 de 2019)</t>
  </si>
  <si>
    <t xml:space="preserve">C009</t>
  </si>
  <si>
    <t xml:space="preserve">Caso 009</t>
  </si>
  <si>
    <t xml:space="preserve">El hospital habilitará un nuevo servicio en la Torre Materno Infantil. El equipo pregunta cuál es la norma vigente de habilitación en 2026, tras las noticias sobre su actualización.</t>
  </si>
  <si>
    <t xml:space="preserve">La norma de habilitación vigente es:</t>
  </si>
  <si>
    <t xml:space="preserve">La Resolución 1732 de 2026, que reemplazó a la 3100 de 2019</t>
  </si>
  <si>
    <t xml:space="preserve">La Resolución 3100 de 2019 con sus modificaciones, pues la 1732 de 2026 fue revocada por la Resolución 2080 de 2026</t>
  </si>
  <si>
    <t xml:space="preserve">La Resolución 1441 de 2013</t>
  </si>
  <si>
    <t xml:space="preserve">La Resolución 1732 de 2026 derogaba la 3100 de 2019, pero fue revocada íntegramente por la Resolución 2080 de 2026, de modo que continúa vigente el marco de la 3100 y sus modificaciones.</t>
  </si>
  <si>
    <t xml:space="preserve">La opción a) aplica una norma revocada antes de producir efectos y la c) invoca una resolución ya derogada por la 3100.</t>
  </si>
  <si>
    <t xml:space="preserve">Resolución 3100 de 2019; Resolución 2080 de 2026 (Minsalud)</t>
  </si>
  <si>
    <t xml:space="preserve">F0026</t>
  </si>
  <si>
    <t xml:space="preserve">La inscripción del prestador y la declaración de servicios se realiza en:</t>
  </si>
  <si>
    <t xml:space="preserve">El REPS, mediante autoevaluación de las condiciones de habilitación</t>
  </si>
  <si>
    <t xml:space="preserve">El SECOP II</t>
  </si>
  <si>
    <t xml:space="preserve">El RUAF</t>
  </si>
  <si>
    <t xml:space="preserve">El prestador se inscribe y declara sus servicios en el Registro Especial de Prestadores de Servicios de Salud, previa autoevaluación del cumplimiento de las condiciones de habilitación.</t>
  </si>
  <si>
    <t xml:space="preserve">El SECOP II es la plataforma de contratación pública y el RUAF registra afiliados: ninguno soporta la habilitación.</t>
  </si>
  <si>
    <t xml:space="preserve">Resolución 3100 de 2019</t>
  </si>
  <si>
    <t xml:space="preserve">F0027</t>
  </si>
  <si>
    <t xml:space="preserve">Las condiciones que debe cumplir el prestador para habilitar un servicio son:</t>
  </si>
  <si>
    <t xml:space="preserve">Únicamente de infraestructura física</t>
  </si>
  <si>
    <t xml:space="preserve">De capacidad técnico-administrativa, suficiencia patrimonial y financiera y capacidad tecnológica y científica</t>
  </si>
  <si>
    <t xml:space="preserve">Únicamente de talento humano</t>
  </si>
  <si>
    <t xml:space="preserve">La habilitación exige el cumplimiento simultáneo de las condiciones de capacidad técnico-administrativa, de suficiencia patrimonial y financiera y de capacidad tecnológica y científica.</t>
  </si>
  <si>
    <t xml:space="preserve">Las opciones a) y c) toman un estándar aislado por el conjunto de condiciones exigidas.</t>
  </si>
  <si>
    <t xml:space="preserve">Resolución 3100 de 2019; Decreto 780 de 2016</t>
  </si>
  <si>
    <t xml:space="preserve">F0028</t>
  </si>
  <si>
    <t xml:space="preserve">C010</t>
  </si>
  <si>
    <t xml:space="preserve">Caso 010</t>
  </si>
  <si>
    <t xml:space="preserve">Durante una visita de verificación, la Secretaría de Salud departamental encuentra que un servicio declarado no cuenta con el talento humano declarado en el REPS.</t>
  </si>
  <si>
    <t xml:space="preserve">La autoevaluación previa a la declaración implica que:</t>
  </si>
  <si>
    <t xml:space="preserve">El prestador declara bajo su responsabilidad el cumplimiento de los estándares y debe mantenerlo durante toda la vigencia</t>
  </si>
  <si>
    <t xml:space="preserve">Basta cumplir el día de la visita</t>
  </si>
  <si>
    <t xml:space="preserve">La responsabilidad recae en la entidad territorial que verifica</t>
  </si>
  <si>
    <t xml:space="preserve">La habilitación se basa en la autoevaluación y declaración del prestador, quien debe mantener el cumplimiento durante toda la vigencia de la habilitación.</t>
  </si>
  <si>
    <t xml:space="preserve">Las opciones b) y c) trasladan la responsabilidad del cumplimiento continuo al momento de la visita o al verificador.</t>
  </si>
  <si>
    <t xml:space="preserve">F0029</t>
  </si>
  <si>
    <t xml:space="preserve">Un cambio en la capacidad instalada o en los servicios declarados debe:</t>
  </si>
  <si>
    <t xml:space="preserve">Esperar a la siguiente renovación</t>
  </si>
  <si>
    <t xml:space="preserve">Reportarse como novedad en el REPS dentro de los términos previstos</t>
  </si>
  <si>
    <t xml:space="preserve">Comunicarse solo a la EPS contratante</t>
  </si>
  <si>
    <t xml:space="preserve">Las modificaciones de la información declarada deben reportarse como novedad en el REPS en los términos de la norma de habilitación.</t>
  </si>
  <si>
    <t xml:space="preserve">Las opciones a) y c) mantienen desactualizado el registro público que soporta la vigilancia y la contratación.</t>
  </si>
  <si>
    <t xml:space="preserve">F0030</t>
  </si>
  <si>
    <t xml:space="preserve">La habilitación se distingue de la acreditación en que:</t>
  </si>
  <si>
    <t xml:space="preserve">La habilitación es voluntaria y la acreditación obligatoria</t>
  </si>
  <si>
    <t xml:space="preserve">La habilitación fija condiciones mínimas obligatorias y la acreditación es voluntaria y de superioridad en calidad</t>
  </si>
  <si>
    <t xml:space="preserve">Ambas son voluntarias</t>
  </si>
  <si>
    <t xml:space="preserve">En el SOGCS la habilitación establece las condiciones mínimas obligatorias de entrada y permanencia, mientras la acreditación es un proceso voluntario de altos estándares de calidad.</t>
  </si>
  <si>
    <t xml:space="preserve">Las opciones a) y c) invierten o igualan la naturaleza de dos componentes distintos del sistema de calidad.</t>
  </si>
  <si>
    <t xml:space="preserve">Decreto 780 de 2016, SOGCS</t>
  </si>
  <si>
    <t xml:space="preserve">F0031</t>
  </si>
  <si>
    <t xml:space="preserve">C011</t>
  </si>
  <si>
    <t xml:space="preserve">Caso 011</t>
  </si>
  <si>
    <t xml:space="preserve">El técnico del área de calidad debe explicar los componentes del Sistema Obligatorio de Garantía de Calidad y los indicadores que reporta el hospital.</t>
  </si>
  <si>
    <t xml:space="preserve">Los componentes del SOGCS son:</t>
  </si>
  <si>
    <t xml:space="preserve">Habilitación, PAMEC, acreditación y sistema de información para la calidad</t>
  </si>
  <si>
    <t xml:space="preserve">Habilitación, licencia de construcción, acreditación y auditoría de cuentas</t>
  </si>
  <si>
    <t xml:space="preserve">Solo habilitación y acreditación</t>
  </si>
  <si>
    <t xml:space="preserve">El SOGCS se integra por el Sistema Único de Habilitación, la auditoría para el mejoramiento de la calidad (PAMEC), el Sistema Único de Acreditación y el Sistema de Información para la Calidad.</t>
  </si>
  <si>
    <t xml:space="preserve">Las opciones b) y c) incluyen elementos ajenos o dejan por fuera dos de los cuatro componentes.</t>
  </si>
  <si>
    <t xml:space="preserve">F0032</t>
  </si>
  <si>
    <t xml:space="preserve">El PAMEC consiste en:</t>
  </si>
  <si>
    <t xml:space="preserve">Un plan de compras de tecnología biomédica</t>
  </si>
  <si>
    <t xml:space="preserve">La auditoría para el mejoramiento de la calidad, con autoevaluación, priorización y planes de mejora</t>
  </si>
  <si>
    <t xml:space="preserve">Un informe financiero trimestral</t>
  </si>
  <si>
    <t xml:space="preserve">El PAMEC es el mecanismo sistemático de evaluación y mejoramiento de la calidad observada frente a la calidad esperada.</t>
  </si>
  <si>
    <t xml:space="preserve">Las opciones a) y c) describen instrumentos administrativos sin relación con la auditoría de calidad.</t>
  </si>
  <si>
    <t xml:space="preserve">Decreto 780 de 2016</t>
  </si>
  <si>
    <t xml:space="preserve">F0033</t>
  </si>
  <si>
    <t xml:space="preserve">El reporte de indicadores de calidad al Ministerio tiene por objeto:</t>
  </si>
  <si>
    <t xml:space="preserve">Facilitar el monitoreo, la referenciación comparativa y la información al usuario</t>
  </si>
  <si>
    <t xml:space="preserve">Sustituir la historia clínica</t>
  </si>
  <si>
    <t xml:space="preserve">Reemplazar la visita de verificación</t>
  </si>
  <si>
    <t xml:space="preserve">El Sistema de Información para la Calidad busca monitorear, orientar la elección del usuario y permitir la referenciación comparativa entre prestadores.</t>
  </si>
  <si>
    <t xml:space="preserve">Las opciones b) y c) atribuyen al reporte de indicadores funciones de registro clínico o de inspección que no cumple.</t>
  </si>
  <si>
    <t xml:space="preserve">Resolución 256 de 2016</t>
  </si>
  <si>
    <t xml:space="preserve">F0034</t>
  </si>
  <si>
    <t xml:space="preserve">C012</t>
  </si>
  <si>
    <t xml:space="preserve">Caso 012</t>
  </si>
  <si>
    <t xml:space="preserve">La oficina de calidad revisa el cumplimiento del estándar de historia clínica y registros dentro de la habilitación de un servicio ambulatorio.</t>
  </si>
  <si>
    <t xml:space="preserve">Frente al estándar de historia clínica en habilitación, lo exigible es:</t>
  </si>
  <si>
    <t xml:space="preserve">Contar con historia clínica única por paciente, con registros completos y disponibles</t>
  </si>
  <si>
    <t xml:space="preserve">Contar con una historia por episodio de atención, sin necesidad de unificarla</t>
  </si>
  <si>
    <t xml:space="preserve">Archivar solo los resúmenes de egreso</t>
  </si>
  <si>
    <t xml:space="preserve">La normativa exige historia clínica única por usuario, con registros completos, legibles y disponibles para la atención.</t>
  </si>
  <si>
    <t xml:space="preserve">Las opciones b) y c) fragmentan el registro y comprometen la integralidad y la secuencialidad exigidas.</t>
  </si>
  <si>
    <t xml:space="preserve">Resolución 1995 de 1999; Resolución 3100 de 2019</t>
  </si>
  <si>
    <t xml:space="preserve">F0035</t>
  </si>
  <si>
    <t xml:space="preserve">Si el servicio no cumple un estándar, la consecuencia inmediata es:</t>
  </si>
  <si>
    <t xml:space="preserve">Se debe abstener de prestar el servicio hasta cumplirlo</t>
  </si>
  <si>
    <t xml:space="preserve">Puede prestarlo mientras subsana en un plazo de un año</t>
  </si>
  <si>
    <t xml:space="preserve">Puede prestarlo si la EPS lo autoriza</t>
  </si>
  <si>
    <t xml:space="preserve">La habilitación es condición de entrada y permanencia: sin el cumplimiento del estándar el servicio no puede ofertarse ni prestarse.</t>
  </si>
  <si>
    <t xml:space="preserve">Las opciones b) y c) permiten prestar un servicio no habilitado, lo que da lugar a medidas sanitarias y sanciones.</t>
  </si>
  <si>
    <t xml:space="preserve">F0036</t>
  </si>
  <si>
    <t xml:space="preserve">La vigilancia del cumplimiento de la habilitación corresponde principalmente a:</t>
  </si>
  <si>
    <t xml:space="preserve">La entidad departamental o distrital de salud, sin perjuicio de las competencias de la Superintendencia Nacional de Salud</t>
  </si>
  <si>
    <t xml:space="preserve">Al Invima de manera exclusiva</t>
  </si>
  <si>
    <t xml:space="preserve">A la EPS contratante</t>
  </si>
  <si>
    <t xml:space="preserve">Las direcciones departamentales y distritales de salud verifican el cumplimiento de las condiciones de habilitación, sin perjuicio de la inspección, vigilancia y control de la Superintendencia Nacional de Salud.</t>
  </si>
  <si>
    <t xml:space="preserve">El Invima vigila productos y establecimientos de su competencia y la EPS ejerce auditoría contractual, no la función de habilitación.</t>
  </si>
  <si>
    <t xml:space="preserve">Resolución 3100 de 2019; Ley 715 de 2001</t>
  </si>
  <si>
    <t xml:space="preserve">F0037</t>
  </si>
  <si>
    <t xml:space="preserve">Seguridad del paciente</t>
  </si>
  <si>
    <t xml:space="preserve">C013</t>
  </si>
  <si>
    <t xml:space="preserve">Caso 013</t>
  </si>
  <si>
    <t xml:space="preserve">En hospitalización se detecta la administración de un medicamento a un paciente equivocado. El paciente no presenta daño. El jefe de servicio propone abrir de inmediato una investigación disciplinaria contra la auxiliar.</t>
  </si>
  <si>
    <t xml:space="preserve">Técnicamente, el hecho descrito corresponde a:</t>
  </si>
  <si>
    <t xml:space="preserve">Un evento adverso</t>
  </si>
  <si>
    <t xml:space="preserve">Un incidente, porque no alcanzó a generar daño al paciente</t>
  </si>
  <si>
    <t xml:space="preserve">Una complicación inherente a la enfermedad</t>
  </si>
  <si>
    <t xml:space="preserve">El incidente es el evento que no alcanza a generar daño al paciente; el evento adverso sí produce daño no intencional derivado de la atención.</t>
  </si>
  <si>
    <t xml:space="preserve">La opción a) exige daño que no se produjo y la c) atribuye a la enfermedad un hecho originado en el proceso de atención.</t>
  </si>
  <si>
    <t xml:space="preserve">Lineamientos para la implementación de la Política de Seguridad del Paciente, Minsalud</t>
  </si>
  <si>
    <t xml:space="preserve">F0038</t>
  </si>
  <si>
    <t xml:space="preserve">El enfoque correcto del reporte institucional es:</t>
  </si>
  <si>
    <t xml:space="preserve">Punitivo, para desincentivar errores</t>
  </si>
  <si>
    <t xml:space="preserve">No punitivo, orientado al aprendizaje organizacional y al análisis de causas</t>
  </si>
  <si>
    <t xml:space="preserve">Reservado solo para eventos con muerte del paciente</t>
  </si>
  <si>
    <t xml:space="preserve">La política de seguridad del paciente promueve una cultura no punitiva de reporte, orientada al análisis de causas y al mejoramiento del sistema.</t>
  </si>
  <si>
    <t xml:space="preserve">Las opciones a) y c) inhiben el reporte y dejan sin analizar la mayoría de los eventos, que son los de menor severidad.</t>
  </si>
  <si>
    <t xml:space="preserve">Política de Seguridad del Paciente, Minsalud</t>
  </si>
  <si>
    <t xml:space="preserve">F0039</t>
  </si>
  <si>
    <t xml:space="preserve">El análisis del caso debe centrarse en:</t>
  </si>
  <si>
    <t xml:space="preserve">La falla individual de quien administró el medicamento</t>
  </si>
  <si>
    <t xml:space="preserve">Las fallas activas y latentes del proceso, mediante análisis causal (protocolo de Londres o similar)</t>
  </si>
  <si>
    <t xml:space="preserve">La reposición económica del medicamento</t>
  </si>
  <si>
    <t xml:space="preserve">El análisis de causa raíz identifica fallas activas y latentes del sistema y define barreras de seguridad, más allá de la conducta individual.</t>
  </si>
  <si>
    <t xml:space="preserve">Las opciones a) y c) cierran el caso sin corregir el proceso, de modo que el error puede repetirse.</t>
  </si>
  <si>
    <t xml:space="preserve">F0040</t>
  </si>
  <si>
    <t xml:space="preserve">C014</t>
  </si>
  <si>
    <t xml:space="preserve">Caso 014</t>
  </si>
  <si>
    <t xml:space="preserve">El comité de seguridad del paciente revisa las barreras para prevenir errores en cirugía y en la identificación de los usuarios.</t>
  </si>
  <si>
    <t xml:space="preserve">La lista de chequeo de cirugía segura busca:</t>
  </si>
  <si>
    <t xml:space="preserve">Documentar el consumo de insumos</t>
  </si>
  <si>
    <t xml:space="preserve">Verificar sitio, procedimiento y paciente correctos, y prevenir eventos en momentos críticos</t>
  </si>
  <si>
    <t xml:space="preserve">Sustituir el consentimiento informado</t>
  </si>
  <si>
    <t xml:space="preserve">La lista de chequeo verifica los aspectos críticos antes de la inducción, antes de la incisión y antes de la salida del quirófano.</t>
  </si>
  <si>
    <t xml:space="preserve">Las opciones a) y c) confunden la barrera de seguridad con un registro de inventario o con el consentimiento, que es un requisito distinto y adicional.</t>
  </si>
  <si>
    <t xml:space="preserve">Paquetes instruccionales de seguridad del paciente, Minsalud</t>
  </si>
  <si>
    <t xml:space="preserve">F0041</t>
  </si>
  <si>
    <t xml:space="preserve">La identificación correcta del paciente exige:</t>
  </si>
  <si>
    <t xml:space="preserve">Usar al menos dos identificadores, ninguno de los cuales sea el número de cama</t>
  </si>
  <si>
    <t xml:space="preserve">Usar el número de cama como identificador principal</t>
  </si>
  <si>
    <t xml:space="preserve">Confiar en el reconocimiento visual del personal</t>
  </si>
  <si>
    <t xml:space="preserve">La práctica segura exige verificar al menos dos identificadores del paciente, y el número de habitación o cama no es un identificador válido.</t>
  </si>
  <si>
    <t xml:space="preserve">Las opciones b) y c) usan referencias que cambian o que dependen de la memoria del personal.</t>
  </si>
  <si>
    <t xml:space="preserve">F0042</t>
  </si>
  <si>
    <t xml:space="preserve">El consentimiento informado debe entenderse como:</t>
  </si>
  <si>
    <t xml:space="preserve">Un formato firmado para proteger jurídicamente a la institución</t>
  </si>
  <si>
    <t xml:space="preserve">Un proceso de información y decisión del paciente, del que el documento es soporte</t>
  </si>
  <si>
    <t xml:space="preserve">Un trámite que puede firmar cualquier acompañante</t>
  </si>
  <si>
    <t xml:space="preserve">El consentimiento informado es un proceso de comunicación y decisión autónoma del paciente; el documento solo lo evidencia.</t>
  </si>
  <si>
    <t xml:space="preserve">Las opciones a) y c) reducen el consentimiento a un trámite formal y desconocen la titularidad de la decisión.</t>
  </si>
  <si>
    <t xml:space="preserve">Ley 23 de 1981; Resolución 1995 de 1999</t>
  </si>
  <si>
    <t xml:space="preserve">F0043</t>
  </si>
  <si>
    <t xml:space="preserve">C015</t>
  </si>
  <si>
    <t xml:space="preserve">Caso 015</t>
  </si>
  <si>
    <t xml:space="preserve">En el servicio de hospitalización aumentan las infecciones asociadas a dispositivos y el comité solicita reforzar prácticas básicas.</t>
  </si>
  <si>
    <t xml:space="preserve">La medida individual más costo-efectiva para prevenir infecciones asociadas a la atención es:</t>
  </si>
  <si>
    <t xml:space="preserve">La higiene de manos en los momentos definidos</t>
  </si>
  <si>
    <t xml:space="preserve">El uso permanente de guantes estériles</t>
  </si>
  <si>
    <t xml:space="preserve">La profilaxis antibiótica prolongada</t>
  </si>
  <si>
    <t xml:space="preserve">La higiene de manos en los momentos establecidos es la medida más costo-efectiva para prevenir infecciones asociadas a la atención en salud.</t>
  </si>
  <si>
    <t xml:space="preserve">El uso de guantes no reemplaza la higiene de manos y la profilaxis prolongada favorece la resistencia antimicrobiana.</t>
  </si>
  <si>
    <t xml:space="preserve">Programa de prevención y control de IAAS, Minsalud - OMS</t>
  </si>
  <si>
    <t xml:space="preserve">F0044</t>
  </si>
  <si>
    <t xml:space="preserve">El reporte de infecciones asociadas a la atención se realiza:</t>
  </si>
  <si>
    <t xml:space="preserve">Solo al comité interno, por confidencialidad</t>
  </si>
  <si>
    <t xml:space="preserve">Al sistema de vigilancia en salud pública, conforme a los protocolos vigentes</t>
  </si>
  <si>
    <t xml:space="preserve">Únicamente a la EPS</t>
  </si>
  <si>
    <t xml:space="preserve">Los eventos de interés en salud pública, incluidas las IAAS sujetas a vigilancia, se notifican al sistema de vigilancia conforme a los protocolos del Instituto Nacional de Salud.</t>
  </si>
  <si>
    <t xml:space="preserve">Las opciones a) y c) mantienen la información fuera del sistema de vigilancia obligatoria.</t>
  </si>
  <si>
    <t xml:space="preserve">Decreto 780 de 2016; protocolos INS</t>
  </si>
  <si>
    <t xml:space="preserve">F0045</t>
  </si>
  <si>
    <t xml:space="preserve">La tecnovigilancia se ocupa de:</t>
  </si>
  <si>
    <t xml:space="preserve">Los eventos e incidentes adversos asociados a dispositivos médicos</t>
  </si>
  <si>
    <t xml:space="preserve">Las reacciones adversas a medicamentos</t>
  </si>
  <si>
    <t xml:space="preserve">Los accidentes de trabajo del personal</t>
  </si>
  <si>
    <t xml:space="preserve">La tecnovigilancia identifica, evalúa y gestiona los eventos e incidentes adversos relacionados con dispositivos médicos; la farmacovigilancia se ocupa de los medicamentos.</t>
  </si>
  <si>
    <t xml:space="preserve">La opción b) corresponde a farmacovigilancia y la c) al sistema de gestión de seguridad y salud en el trabajo.</t>
  </si>
  <si>
    <t xml:space="preserve">Resolución 4816 de 2008</t>
  </si>
  <si>
    <t xml:space="preserve">F0046</t>
  </si>
  <si>
    <t xml:space="preserve">C016</t>
  </si>
  <si>
    <t xml:space="preserve">Caso 016</t>
  </si>
  <si>
    <t xml:space="preserve">Tras un evento adverso con daño, la familia solicita explicaciones y el hospital debe definir su conducta institucional.</t>
  </si>
  <si>
    <t xml:space="preserve">La conducta correcta frente al paciente y su familia es:</t>
  </si>
  <si>
    <t xml:space="preserve">Evitar cualquier información hasta que termine la investigación</t>
  </si>
  <si>
    <t xml:space="preserve">Informar de manera oportuna, veraz y comprensible lo ocurrido, sin perjuicio del análisis institucional</t>
  </si>
  <si>
    <t xml:space="preserve">Ofrecer una compensación económica inmediata para cerrar el caso</t>
  </si>
  <si>
    <t xml:space="preserve">El deber de información y la política de seguridad del paciente imponen comunicar lo ocurrido de forma oportuna y comprensible.</t>
  </si>
  <si>
    <t xml:space="preserve">La opción a) desconoce el derecho a la información y la c) sustituye el análisis y las instancias competentes por una transacción apresurada.</t>
  </si>
  <si>
    <t xml:space="preserve">Ley 1751 de 2015, art. 10; Política de Seguridad del Paciente</t>
  </si>
  <si>
    <t xml:space="preserve">F0047</t>
  </si>
  <si>
    <t xml:space="preserve">La historia clínica del caso debe:</t>
  </si>
  <si>
    <t xml:space="preserve">Corregirse para eliminar la anotación del error</t>
  </si>
  <si>
    <t xml:space="preserve">Conservarse íntegra; las correcciones se hacen mediante nota aclaratoria sin borrar el registro original</t>
  </si>
  <si>
    <t xml:space="preserve">Reescribirse completa por el jefe de servicio</t>
  </si>
  <si>
    <t xml:space="preserve">La historia clínica no admite enmendaduras ni supresiones: las precisiones se incorporan como notas aclaratorias que preservan el registro original.</t>
  </si>
  <si>
    <t xml:space="preserve">Las opciones a) y c) constituyen alteración de un documento y comprometen responsabilidad penal y disciplinaria.</t>
  </si>
  <si>
    <t xml:space="preserve">Resolución 1995 de 1999</t>
  </si>
  <si>
    <t xml:space="preserve">F0048</t>
  </si>
  <si>
    <t xml:space="preserve">El seguimiento del plan de mejora derivado del evento corresponde a:</t>
  </si>
  <si>
    <t xml:space="preserve">Cerrarlo con la sola socialización al personal</t>
  </si>
  <si>
    <t xml:space="preserve">Verificar la implementación de las barreras y medir su efectividad en el tiempo</t>
  </si>
  <si>
    <t xml:space="preserve">Trasladarlo íntegramente a la EPS</t>
  </si>
  <si>
    <t xml:space="preserve">El ciclo de mejoramiento exige verificar la implementación de las acciones y medir su efectividad, no solo divulgarlas.</t>
  </si>
  <si>
    <t xml:space="preserve">Las opciones a) y c) cierran el ciclo antes de comprobar que la barrera funciona.</t>
  </si>
  <si>
    <t xml:space="preserve">PAMEC, Decreto 780 de 2016</t>
  </si>
  <si>
    <t xml:space="preserve">F0049</t>
  </si>
  <si>
    <t xml:space="preserve">Historia clinica y proteccion de datos (Ley 1581 de 2012)</t>
  </si>
  <si>
    <t xml:space="preserve">C017</t>
  </si>
  <si>
    <t xml:space="preserve">Caso 017</t>
  </si>
  <si>
    <t xml:space="preserve">Un abogado solicita por escrito copia de la historia clínica de un paciente adulto, alegando que representa a la familia. No aporta autorización del paciente ni orden judicial.</t>
  </si>
  <si>
    <t xml:space="preserve">La regla general sobre la historia clínica es que:</t>
  </si>
  <si>
    <t xml:space="preserve">Es un documento público de libre consulta</t>
  </si>
  <si>
    <t xml:space="preserve">Es un documento privado, sometido a reserva, que solo puede conocerse por el usuario, el equipo de salud y las autoridades en los casos previstos</t>
  </si>
  <si>
    <t xml:space="preserve">Puede entregarse a cualquier familiar en primer grado</t>
  </si>
  <si>
    <t xml:space="preserve">La historia clínica es un documento privado, obligatorio y sometido a reserva, y solo puede ser conocida por terceros previa autorización del usuario o en los casos previstos en la ley.</t>
  </si>
  <si>
    <t xml:space="preserve">La opción a) desconoce la reserva y la c) crea una excepción por parentesco que la norma no contempla para el paciente adulto capaz.</t>
  </si>
  <si>
    <t xml:space="preserve">Resolución 1995 de 1999, art. 14; Ley 23 de 1981, art. 34</t>
  </si>
  <si>
    <t xml:space="preserve">F0050</t>
  </si>
  <si>
    <t xml:space="preserve">Los datos de salud, en la Ley 1581 de 2012, se clasifican como:</t>
  </si>
  <si>
    <t xml:space="preserve">Datos públicos</t>
  </si>
  <si>
    <t xml:space="preserve">Datos sensibles, cuyo tratamiento está prohibido salvo las excepciones legales</t>
  </si>
  <si>
    <t xml:space="preserve">Datos semiprivados</t>
  </si>
  <si>
    <t xml:space="preserve">Los datos relativos a la salud son datos sensibles y su tratamiento está prohibido, salvo las excepciones del artículo 6 de la Ley 1581 de 2012.</t>
  </si>
  <si>
    <t xml:space="preserve">Las opciones a) y c) rebajan el nivel de protección que la ley asigna a la información de salud.</t>
  </si>
  <si>
    <t xml:space="preserve">Ley 1581 de 2012, arts. 5 y 6</t>
  </si>
  <si>
    <t xml:space="preserve">F0051</t>
  </si>
  <si>
    <t xml:space="preserve">La respuesta institucional adecuada al abogado es:</t>
  </si>
  <si>
    <t xml:space="preserve">Entregar la copia porque actúa como apoderado de la familia</t>
  </si>
  <si>
    <t xml:space="preserve">Negar la entrega e informar los requisitos: autorización expresa del titular, poder específico u orden de autoridad competente</t>
  </si>
  <si>
    <t xml:space="preserve">Entregar un resumen sin diagnósticos</t>
  </si>
  <si>
    <t xml:space="preserve">Sin autorización del titular o requerimiento de autoridad competente no procede la entrega; la respuesta debe indicar el requisito faltante.</t>
  </si>
  <si>
    <t xml:space="preserve">La opción a) traslada al abogado una legitimación que no acreditó y la c) entrega información reservada de forma parcial, que sigue siendo reserva.</t>
  </si>
  <si>
    <t xml:space="preserve">Resolución 1995 de 1999; Ley 1581 de 2012</t>
  </si>
  <si>
    <t xml:space="preserve">F0052</t>
  </si>
  <si>
    <t xml:space="preserve">C018</t>
  </si>
  <si>
    <t xml:space="preserve">Caso 018</t>
  </si>
  <si>
    <t xml:space="preserve">El auxiliar del archivo clínico organiza la conservación de historias clínicas y recibe la instrucción de depurar carpetas antiguas para liberar espacio.</t>
  </si>
  <si>
    <t xml:space="preserve">El tiempo mínimo de retención de la historia clínica es de:</t>
  </si>
  <si>
    <t xml:space="preserve">Cinco (5) años desde la última atención</t>
  </si>
  <si>
    <t xml:space="preserve">Quince (15) años contados desde la fecha de la última atención</t>
  </si>
  <si>
    <t xml:space="preserve">Diez (10) años desde la apertura</t>
  </si>
  <si>
    <t xml:space="preserve">La normativa vigente fija en quince años el término mínimo de retención de la historia clínica, contados desde la última atención.</t>
  </si>
  <si>
    <t xml:space="preserve">Las opciones a) y c) toman parte del término o cambian el hecho desde el cual se cuenta.</t>
  </si>
  <si>
    <t xml:space="preserve">Resolución 1995 de 1999, modificada por la Resolución 839 de 2017</t>
  </si>
  <si>
    <t xml:space="preserve">F0053</t>
  </si>
  <si>
    <t xml:space="preserve">Las características de la historia clínica son:</t>
  </si>
  <si>
    <t xml:space="preserve">Integralidad, secuencialidad, racionalidad científica, disponibilidad y oportunidad</t>
  </si>
  <si>
    <t xml:space="preserve">Publicidad, gratuidad y celeridad</t>
  </si>
  <si>
    <t xml:space="preserve">Economía, eficacia y eficiencia</t>
  </si>
  <si>
    <t xml:space="preserve">El artículo 3 de la Resolución 1995 de 1999 enuncia integralidad, secuencialidad, racionalidad científica, disponibilidad y oportunidad.</t>
  </si>
  <si>
    <t xml:space="preserve">Las opciones b) y c) enuncian principios de la actuación administrativa, no características del registro clínico.</t>
  </si>
  <si>
    <t xml:space="preserve">Resolución 1995 de 1999, art. 3</t>
  </si>
  <si>
    <t xml:space="preserve">F0054</t>
  </si>
  <si>
    <t xml:space="preserve">Antes de eliminar cualquier documento del archivo clínico se requiere:</t>
  </si>
  <si>
    <t xml:space="preserve">Autorización verbal del jefe inmediato</t>
  </si>
  <si>
    <t xml:space="preserve">Aplicar las tablas de retención documental y el procedimiento del comité de archivo, respetando los términos legales</t>
  </si>
  <si>
    <t xml:space="preserve">Solicitud escrita del paciente</t>
  </si>
  <si>
    <t xml:space="preserve">La eliminación documental procede únicamente con sujeción a las tablas de retención y al procedimiento del comité institucional de archivo.</t>
  </si>
  <si>
    <t xml:space="preserve">Las opciones a) y c) omiten el instrumento archivístico y pueden dar lugar a pérdida irreparable de información clínica.</t>
  </si>
  <si>
    <t xml:space="preserve">Ley 594 de 2000; Resolución 839 de 2017</t>
  </si>
  <si>
    <t xml:space="preserve">F0055</t>
  </si>
  <si>
    <t xml:space="preserve">C019</t>
  </si>
  <si>
    <t xml:space="preserve">Caso 019</t>
  </si>
  <si>
    <t xml:space="preserve">El hospital implementará un tablero con datos de pacientes para un proyecto de investigación con una universidad.</t>
  </si>
  <si>
    <t xml:space="preserve">El tratamiento de datos de salud con fines de investigación exige:</t>
  </si>
  <si>
    <t xml:space="preserve">Autorización previa, expresa e informada del titular, salvo excepción legal, y medidas de anonimización o seudonimización</t>
  </si>
  <si>
    <t xml:space="preserve">Solo el visto bueno del comité de compras</t>
  </si>
  <si>
    <t xml:space="preserve">Nada, si los datos quedan dentro del hospital</t>
  </si>
  <si>
    <t xml:space="preserve">El tratamiento de datos sensibles exige autorización previa, expresa e informada del titular y medidas técnicas que reduzcan el riesgo de identificación.</t>
  </si>
  <si>
    <t xml:space="preserve">Las opciones b) y c) omiten el consentimiento del titular y las garantías exigidas por la ley de protección de datos.</t>
  </si>
  <si>
    <t xml:space="preserve">Ley 1581 de 2012; Decreto 1377 de 2013</t>
  </si>
  <si>
    <t xml:space="preserve">F0056</t>
  </si>
  <si>
    <t xml:space="preserve">El responsable del tratamiento debe garantizar al titular los derechos de:</t>
  </si>
  <si>
    <t xml:space="preserve">Conocer, actualizar, rectificar y solicitar prueba de la autorización</t>
  </si>
  <si>
    <t xml:space="preserve">Vender y ceder libremente sus datos</t>
  </si>
  <si>
    <t xml:space="preserve">Publicar sus datos en el sitio web institucional</t>
  </si>
  <si>
    <t xml:space="preserve">El artículo 8 de la Ley 1581 de 2012 reconoce al titular los derechos de conocer, actualizar, rectificar, revocar la autorización y solicitar prueba de esta.</t>
  </si>
  <si>
    <t xml:space="preserve">Las opciones b) y c) describen actuaciones que vulneran la finalidad y la seguridad del tratamiento.</t>
  </si>
  <si>
    <t xml:space="preserve">Ley 1581 de 2012, art. 8</t>
  </si>
  <si>
    <t xml:space="preserve">F0057</t>
  </si>
  <si>
    <t xml:space="preserve">Ante un incidente de seguridad que afecte datos personales, corresponde:</t>
  </si>
  <si>
    <t xml:space="preserve">Informar a la Superintendencia de Industria y Comercio y adoptar medidas correctivas</t>
  </si>
  <si>
    <t xml:space="preserve">Esperar a que el titular reclame</t>
  </si>
  <si>
    <t xml:space="preserve">Reportarlo únicamente al proveedor del software</t>
  </si>
  <si>
    <t xml:space="preserve">El responsable debe informar a la autoridad de protección de datos las violaciones a los códigos de seguridad y los riesgos en la administración de la información, además de corregir la causa.</t>
  </si>
  <si>
    <t xml:space="preserve">Las opciones b) y c) omiten el deber legal de reporte a la autoridad competente.</t>
  </si>
  <si>
    <t xml:space="preserve">Ley 1581 de 2012, art. 17</t>
  </si>
  <si>
    <t xml:space="preserve">F0058</t>
  </si>
  <si>
    <t xml:space="preserve">C020</t>
  </si>
  <si>
    <t xml:space="preserve">Caso 020</t>
  </si>
  <si>
    <t xml:space="preserve">Un funcionario consulta en el sistema la historia clínica de una persona conocida que no está bajo su cuidado, por curiosidad.</t>
  </si>
  <si>
    <t xml:space="preserve">Esa conducta constituye:</t>
  </si>
  <si>
    <t xml:space="preserve">Un uso indebido de información reservada, con consecuencias disciplinarias y eventualmente penales</t>
  </si>
  <si>
    <t xml:space="preserve">Una práctica admisible si no divulga la información</t>
  </si>
  <si>
    <t xml:space="preserve">Una falta solo si el paciente se entera</t>
  </si>
  <si>
    <t xml:space="preserve">El acceso a la historia clínica está limitado a quienes intervienen en la atención; consultarla sin esa finalidad vulnera la reserva y compromete responsabilidad.</t>
  </si>
  <si>
    <t xml:space="preserve">Las opciones b) y c) condicionan la falta a la divulgación o al conocimiento del afectado, cuando la vulneración se consuma con el acceso indebido.</t>
  </si>
  <si>
    <t xml:space="preserve">Resolución 1995 de 1999; Ley 1952 de 2019</t>
  </si>
  <si>
    <t xml:space="preserve">F0059</t>
  </si>
  <si>
    <t xml:space="preserve">La trazabilidad de los accesos en la historia clínica electrónica sirve para:</t>
  </si>
  <si>
    <t xml:space="preserve">Auditar quién consultó y modificó la información y cuándo</t>
  </si>
  <si>
    <t xml:space="preserve">Acelerar la facturación</t>
  </si>
  <si>
    <t xml:space="preserve">Reemplazar las copias de seguridad</t>
  </si>
  <si>
    <t xml:space="preserve">Los registros de auditoría permiten establecer la trazabilidad de consultas y modificaciones, garantía esencial de confidencialidad e integridad.</t>
  </si>
  <si>
    <t xml:space="preserve">Las opciones b) y c) atribuyen a la trazabilidad funciones administrativas o de respaldo que no cumple.</t>
  </si>
  <si>
    <t xml:space="preserve">Ley 2015 de 2020; Ley 1581 de 2012</t>
  </si>
  <si>
    <t xml:space="preserve">F0060</t>
  </si>
  <si>
    <t xml:space="preserve">La custodia de la historia clínica corresponde a:</t>
  </si>
  <si>
    <t xml:space="preserve">El paciente</t>
  </si>
  <si>
    <t xml:space="preserve">El prestador de servicios de salud que la generó</t>
  </si>
  <si>
    <t xml:space="preserve">La EPS del usuario</t>
  </si>
  <si>
    <t xml:space="preserve">La custodia de la historia clínica está a cargo del prestador que la generó, sin perjuicio del derecho del usuario a obtener copia.</t>
  </si>
  <si>
    <t xml:space="preserve">Las opciones a) y c) confunden la titularidad de la información con la custodia del documento.</t>
  </si>
  <si>
    <t xml:space="preserve">Resolución 1995 de 1999, art. 13</t>
  </si>
  <si>
    <t xml:space="preserve">F0061</t>
  </si>
  <si>
    <t xml:space="preserve">Humanizacion y derechos del paciente</t>
  </si>
  <si>
    <t xml:space="preserve">C021</t>
  </si>
  <si>
    <t xml:space="preserve">Caso 021</t>
  </si>
  <si>
    <t xml:space="preserve">Una usuaria presenta queja por trato indigno durante su atención y por no haber recibido información sobre su procedimiento.</t>
  </si>
  <si>
    <t xml:space="preserve">El trámite institucional apropiado es:</t>
  </si>
  <si>
    <t xml:space="preserve">Archivar la queja por no aportar pruebas</t>
  </si>
  <si>
    <t xml:space="preserve">Tramitarla por el SIAU, dar respuesta de fondo dentro del término legal y generar acciones de mejora</t>
  </si>
  <si>
    <t xml:space="preserve">Remitirla a la EPS por competencia</t>
  </si>
  <si>
    <t xml:space="preserve">La queja se atiende por el sistema de información y atención al usuario, con respuesta de fondo dentro del término del derecho de petición y acciones de mejora derivadas.</t>
  </si>
  <si>
    <t xml:space="preserve">La opción a) exige una carga probatoria improcedente y la c) traslada una competencia que es del prestador.</t>
  </si>
  <si>
    <t xml:space="preserve">Ley 1122 de 2007; Ley 1755 de 2015</t>
  </si>
  <si>
    <t xml:space="preserve">F0062</t>
  </si>
  <si>
    <t xml:space="preserve">La humanización de la atención implica, entre otros:</t>
  </si>
  <si>
    <t xml:space="preserve">Reducir los tiempos de espera sin considerar la información al paciente</t>
  </si>
  <si>
    <t xml:space="preserve">Trato digno, información comprensible, respeto por la intimidad y participación del usuario en las decisiones</t>
  </si>
  <si>
    <t xml:space="preserve">Limitar el acompañamiento familiar en todos los servicios</t>
  </si>
  <si>
    <t xml:space="preserve">La humanización se expresa en el trato digno, la información comprensible, el respeto por la intimidad y la participación del usuario en las decisiones sobre su salud.</t>
  </si>
  <si>
    <t xml:space="preserve">Las opciones a) y c) sacrifican dimensiones del trato digno y del acompañamiento que forman parte del estándar.</t>
  </si>
  <si>
    <t xml:space="preserve">Resolución 13437 de 1991; Ley 1751 de 2015, art. 10</t>
  </si>
  <si>
    <t xml:space="preserve">F0063</t>
  </si>
  <si>
    <t xml:space="preserve">Las asociaciones de usuarios en la E.S.E. tienen como función:</t>
  </si>
  <si>
    <t xml:space="preserve">Administrar los recursos del hospital</t>
  </si>
  <si>
    <t xml:space="preserve">Participar en las instancias de deliberación y velar por la calidad del servicio</t>
  </si>
  <si>
    <t xml:space="preserve">Autorizar los servicios de los afiliados</t>
  </si>
  <si>
    <t xml:space="preserve">Las asociaciones o alianzas de usuarios participan en las juntas directivas y en los espacios de deliberación, y ejercen veeduría sobre la calidad del servicio.</t>
  </si>
  <si>
    <t xml:space="preserve">Las opciones a) y c) atribuyen funciones de gestión o de aseguramiento que no les corresponden.</t>
  </si>
  <si>
    <t xml:space="preserve">Decreto 1757 de 1994; Decreto 780 de 2016</t>
  </si>
  <si>
    <t xml:space="preserve">F0064</t>
  </si>
  <si>
    <t xml:space="preserve">C022</t>
  </si>
  <si>
    <t xml:space="preserve">Caso 022</t>
  </si>
  <si>
    <t xml:space="preserve">En la ventanilla de atención al usuario llega una persona mayor con discapacidad auditiva y su acompañante.</t>
  </si>
  <si>
    <t xml:space="preserve">La atención preferente y los ajustes razonables implican:</t>
  </si>
  <si>
    <t xml:space="preserve">Atenderla en el mismo turno general para no afectar la fila</t>
  </si>
  <si>
    <t xml:space="preserve">Garantizar atención preferente y los apoyos necesarios para que comprenda la información</t>
  </si>
  <si>
    <t xml:space="preserve">Entregar la información solo por escrito sin verificar comprensión</t>
  </si>
  <si>
    <t xml:space="preserve">La atención preferente y los ajustes razonables buscan que la persona acceda a la información y al servicio en igualdad de condiciones.</t>
  </si>
  <si>
    <t xml:space="preserve">Las opciones a) y c) formalizan la atención sin remover la barrera de comunicación.</t>
  </si>
  <si>
    <t xml:space="preserve">Ley 1618 de 2013; Ley 1751 de 2015, art. 11</t>
  </si>
  <si>
    <t xml:space="preserve">F0065</t>
  </si>
  <si>
    <t xml:space="preserve">El decálogo de derechos de los pacientes incluye:</t>
  </si>
  <si>
    <t xml:space="preserve">El derecho a recibir información clara sobre diagnóstico, tratamiento y pronóstico</t>
  </si>
  <si>
    <t xml:space="preserve">El derecho a elegir el medicamento sin prescripción</t>
  </si>
  <si>
    <t xml:space="preserve">El derecho a exigir la historia clínica de otro paciente</t>
  </si>
  <si>
    <t xml:space="preserve">El decálogo reconoce, entre otros, el derecho a recibir información clara y completa sobre su diagnóstico, tratamiento y pronóstico.</t>
  </si>
  <si>
    <t xml:space="preserve">Las opciones b) y c) enuncian pretensiones que no constituyen derechos del usuario y desconocen la prescripción y la reserva.</t>
  </si>
  <si>
    <t xml:space="preserve">Resolución 13437 de 1991</t>
  </si>
  <si>
    <t xml:space="preserve">F0066</t>
  </si>
  <si>
    <t xml:space="preserve">Si el usuario manifiesta no entender el consentimiento, corresponde:</t>
  </si>
  <si>
    <t xml:space="preserve">Solicitar su firma igualmente para no retrasar el procedimiento</t>
  </si>
  <si>
    <t xml:space="preserve">Explicar nuevamente en lenguaje comprensible y verificar la comprensión antes de la firma</t>
  </si>
  <si>
    <t xml:space="preserve">Pedir que firme el acompañante</t>
  </si>
  <si>
    <t xml:space="preserve">La validez del consentimiento depende de la comprensión efectiva de la información por el titular de la decisión.</t>
  </si>
  <si>
    <t xml:space="preserve">Las opciones a) y c) obtienen una firma sin decisión informada y desplazan indebidamente al titular.</t>
  </si>
  <si>
    <t xml:space="preserve">F0067</t>
  </si>
  <si>
    <t xml:space="preserve">C023</t>
  </si>
  <si>
    <t xml:space="preserve">Caso 023</t>
  </si>
  <si>
    <t xml:space="preserve">El comité de ética hospitalaria estudia un caso de un paciente que rechaza un tratamiento indicado por el equipo tratante.</t>
  </si>
  <si>
    <t xml:space="preserve">Frente a un paciente adulto, consciente e informado que rechaza el tratamiento:</t>
  </si>
  <si>
    <t xml:space="preserve">Debe respetarse su decisión autónoma, dejando constancia en la historia clínica</t>
  </si>
  <si>
    <t xml:space="preserve">Debe aplicarse el tratamiento por el principio de beneficencia</t>
  </si>
  <si>
    <t xml:space="preserve">Debe decidir la familia</t>
  </si>
  <si>
    <t xml:space="preserve">La autonomía del paciente capaz e informado prevalece; su decisión y la información suministrada deben quedar registradas en la historia clínica.</t>
  </si>
  <si>
    <t xml:space="preserve">Las opciones b) y c) sustituyen la voluntad del titular por el criterio del equipo o de terceros.</t>
  </si>
  <si>
    <t xml:space="preserve">Ley 23 de 1981; Ley 1751 de 2015, art. 10</t>
  </si>
  <si>
    <t xml:space="preserve">F0068</t>
  </si>
  <si>
    <t xml:space="preserve">La objeción de conciencia del profesional:</t>
  </si>
  <si>
    <t xml:space="preserve">Es institucional y puede alegarla la E.S.E. como persona jurídica</t>
  </si>
  <si>
    <t xml:space="preserve">Es individual y no puede traducirse en la negación del servicio al usuario</t>
  </si>
  <si>
    <t xml:space="preserve">Permite suspender la atención de urgencias</t>
  </si>
  <si>
    <t xml:space="preserve">La objeción de conciencia es de carácter individual y obliga a garantizar la remisión oportuna para que el usuario reciba el servicio.</t>
  </si>
  <si>
    <t xml:space="preserve">Las opciones a) y c) extienden la objeción a la institución o a las urgencias, lo que la jurisprudencia ha proscrito.</t>
  </si>
  <si>
    <t xml:space="preserve">Jurisprudencia constitucional; Ley 1751 de 2015</t>
  </si>
  <si>
    <t xml:space="preserve">F0069</t>
  </si>
  <si>
    <t xml:space="preserve">El comité de ética hospitalaria tiene naturaleza:</t>
  </si>
  <si>
    <t xml:space="preserve">Sancionatoria frente al personal</t>
  </si>
  <si>
    <t xml:space="preserve">Deliberativa y consultiva, orientada a apoyar decisiones en casos complejos</t>
  </si>
  <si>
    <t xml:space="preserve">Judicial</t>
  </si>
  <si>
    <t xml:space="preserve">El comité de ética hospitalaria delibera y asesora en casos complejos; no ejerce función sancionatoria ni judicial.</t>
  </si>
  <si>
    <t xml:space="preserve">Las opciones a) y c) atribuyen competencias propias del control disciplinario o de los jueces.</t>
  </si>
  <si>
    <t xml:space="preserve">Decreto 1757 de 1994</t>
  </si>
  <si>
    <t xml:space="preserve">F0070</t>
  </si>
  <si>
    <t xml:space="preserve">Referencia y contrarreferencia</t>
  </si>
  <si>
    <t xml:space="preserve">C024</t>
  </si>
  <si>
    <t xml:space="preserve">Caso 024</t>
  </si>
  <si>
    <t xml:space="preserve">Un hospital de primer nivel del Huila solicita remisión de un paciente crítico al hospital universitario. La EPS no responde la autorización y el paciente se deteriora.</t>
  </si>
  <si>
    <t xml:space="preserve">La referencia se define como:</t>
  </si>
  <si>
    <t xml:space="preserve">El envío de usuarios o elementos de ayuda diagnóstica a otra institución de mayor complejidad o capacidad resolutiva</t>
  </si>
  <si>
    <t xml:space="preserve">La respuesta que da la institución receptora a la remitente</t>
  </si>
  <si>
    <t xml:space="preserve">El traslado interno entre servicios del mismo hospital</t>
  </si>
  <si>
    <t xml:space="preserve">La referencia es el envío del usuario o de elementos de ayuda diagnóstica a otro prestador con mayor capacidad resolutiva; la respuesta del receptor es la contrarreferencia.</t>
  </si>
  <si>
    <t xml:space="preserve">La opción b) define la contrarreferencia y la c) describe un traslado intrainstitucional.</t>
  </si>
  <si>
    <t xml:space="preserve">Decreto 780 de 2016; Resolución 3047 de 2008</t>
  </si>
  <si>
    <t xml:space="preserve">F0071</t>
  </si>
  <si>
    <t xml:space="preserve">Ante la falta de respuesta del asegurador en un paciente crítico:</t>
  </si>
  <si>
    <t xml:space="preserve">Se espera la autorización antes de gestionar el traslado</t>
  </si>
  <si>
    <t xml:space="preserve">Prevalece la garantía de la atención: se gestiona el traslado y se activa el CRUE, sin condicionar la atención a la autorización</t>
  </si>
  <si>
    <t xml:space="preserve">Se devuelve el paciente a su domicilio</t>
  </si>
  <si>
    <t xml:space="preserve">En urgencias la atención no puede condicionarse a la autorización previa y el centro regulador apoya la asignación de la institución receptora.</t>
  </si>
  <si>
    <t xml:space="preserve">Las opciones a) y c) supeditan la vida del paciente a un trámite administrativo o lo desatienden.</t>
  </si>
  <si>
    <t xml:space="preserve">Ley 1751 de 2015, art. 14; Resolución 1220 de 2010</t>
  </si>
  <si>
    <t xml:space="preserve">F0072</t>
  </si>
  <si>
    <t xml:space="preserve">La contrarreferencia bien hecha implica que el receptor:</t>
  </si>
  <si>
    <t xml:space="preserve">Solo informa el egreso a la EPS</t>
  </si>
  <si>
    <t xml:space="preserve">Remite al prestador de origen la respuesta con los hallazgos, el manejo y las recomendaciones de seguimiento</t>
  </si>
  <si>
    <t xml:space="preserve">No tiene obligación de informar</t>
  </si>
  <si>
    <t xml:space="preserve">La contrarreferencia es la respuesta del prestador receptor al remitente, con la información clínica necesaria para la continuidad del cuidado.</t>
  </si>
  <si>
    <t xml:space="preserve">Las opciones a) y c) rompen la continuidad de la atención y dejan al prestador de origen sin información para el seguimiento.</t>
  </si>
  <si>
    <t xml:space="preserve">Resolución 3047 de 2008</t>
  </si>
  <si>
    <t xml:space="preserve">F0073</t>
  </si>
  <si>
    <t xml:space="preserve">C025</t>
  </si>
  <si>
    <t xml:space="preserve">Caso 025</t>
  </si>
  <si>
    <t xml:space="preserve">El técnico de la oficina de referencia debe documentar una remisión y decidir qué información enviar.</t>
  </si>
  <si>
    <t xml:space="preserve">La solicitud de remisión debe contener como mínimo:</t>
  </si>
  <si>
    <t xml:space="preserve">El nombre del paciente y el servicio solicitado</t>
  </si>
  <si>
    <t xml:space="preserve">La identificación del usuario, el resumen clínico, los soportes diagnósticos y el servicio requerido</t>
  </si>
  <si>
    <t xml:space="preserve">Únicamente los signos vitales</t>
  </si>
  <si>
    <t xml:space="preserve">La remisión requiere identificación del usuario, resumen de historia clínica, soportes diagnósticos y la especificación del servicio requerido.</t>
  </si>
  <si>
    <t xml:space="preserve">Las opciones a) y c) omiten el resumen clínico y los soportes que permiten al receptor decidir la aceptación.</t>
  </si>
  <si>
    <t xml:space="preserve">Resolución 3047 de 2008; Decreto 780 de 2016</t>
  </si>
  <si>
    <t xml:space="preserve">F0074</t>
  </si>
  <si>
    <t xml:space="preserve">El transporte asistencial del paciente remitido corresponde a:</t>
  </si>
  <si>
    <t xml:space="preserve">Siempre a la familia del paciente</t>
  </si>
  <si>
    <t xml:space="preserve">Al responsable definido en la normativa y en el contrato, garantizando la modalidad adecuada según el estado del paciente</t>
  </si>
  <si>
    <t xml:space="preserve">Al hospital receptor en todos los casos</t>
  </si>
  <si>
    <t xml:space="preserve">La responsabilidad del traslado se determina según la normativa y los acuerdos de voluntades, y la modalidad debe corresponder al estado clínico del usuario.</t>
  </si>
  <si>
    <t xml:space="preserve">Las opciones a) y c) trasladan una obligación a quien no la tiene y desconocen la modalidad requerida.</t>
  </si>
  <si>
    <t xml:space="preserve">F0075</t>
  </si>
  <si>
    <t xml:space="preserve">Si el prestador receptor no acepta la remisión debidamente sustentada de un paciente en urgencias:</t>
  </si>
  <si>
    <t xml:space="preserve">El caso se cierra con la negativa</t>
  </si>
  <si>
    <t xml:space="preserve">Se documenta la negativa y se reporta a la entidad competente, sin interrumpir la gestión de un destino asistencial</t>
  </si>
  <si>
    <t xml:space="preserve">Se remite al paciente sin aviso</t>
  </si>
  <si>
    <t xml:space="preserve">La negativa debe documentarse y reportarse a la autoridad competente, mientras se continúa la gestión para garantizar la atención.</t>
  </si>
  <si>
    <t xml:space="preserve">La opción a) abandona al paciente y la c) traslada sin coordinación, con riesgo clínico y jurídico.</t>
  </si>
  <si>
    <t xml:space="preserve">Resolución 1220 de 2010; Ley 1751 de 2015</t>
  </si>
  <si>
    <t xml:space="preserve">F0076</t>
  </si>
  <si>
    <t xml:space="preserve">C026</t>
  </si>
  <si>
    <t xml:space="preserve">Caso 026</t>
  </si>
  <si>
    <t xml:space="preserve">La dirección analiza indicadores de oportunidad en la red y la pertinencia de las remisiones recibidas.</t>
  </si>
  <si>
    <t xml:space="preserve">La red integral de prestadores busca:</t>
  </si>
  <si>
    <t xml:space="preserve">Concentrar toda la atención en el mayor nivel de complejidad</t>
  </si>
  <si>
    <t xml:space="preserve">Garantizar la integralidad y continuidad de la atención en los distintos niveles de complejidad</t>
  </si>
  <si>
    <t xml:space="preserve">Sustituir la libre elección del usuario</t>
  </si>
  <si>
    <t xml:space="preserve">La organización en red persigue la integralidad, la continuidad y la resolutividad en los niveles que corresponda.</t>
  </si>
  <si>
    <t xml:space="preserve">Las opciones a) y c) saturan la alta complejidad o niegan un derecho del usuario.</t>
  </si>
  <si>
    <t xml:space="preserve">F0077</t>
  </si>
  <si>
    <t xml:space="preserve">Una remisión no pertinente se caracteriza porque:</t>
  </si>
  <si>
    <t xml:space="preserve">El caso podía resolverse en el nivel remitente según su capacidad habilitada</t>
  </si>
  <si>
    <t xml:space="preserve">El paciente pertenece a otro municipio</t>
  </si>
  <si>
    <t xml:space="preserve">El paciente no tiene afiliación vigente</t>
  </si>
  <si>
    <t xml:space="preserve">La pertinencia se evalúa frente a la capacidad resolutiva habilitada del prestador remitente y la condición clínica del usuario.</t>
  </si>
  <si>
    <t xml:space="preserve">Las opciones b) y c) usan criterios administrativos o territoriales, no clínicos, para calificar la pertinencia.</t>
  </si>
  <si>
    <t xml:space="preserve">F0078</t>
  </si>
  <si>
    <t xml:space="preserve">El indicador de oportunidad en la referencia mide:</t>
  </si>
  <si>
    <t xml:space="preserve">El tiempo transcurrido entre la solicitud y la aceptación o el traslado efectivo</t>
  </si>
  <si>
    <t xml:space="preserve">El número de camas disponibles</t>
  </si>
  <si>
    <t xml:space="preserve">El costo del traslado</t>
  </si>
  <si>
    <t xml:space="preserve">La oportunidad se mide por el tiempo entre la solicitud de remisión y la aceptación o traslado efectivo del usuario.</t>
  </si>
  <si>
    <t xml:space="preserve">Las opciones b) y c) miden capacidad instalada o costo, no oportunidad.</t>
  </si>
  <si>
    <t xml:space="preserve">F0079</t>
  </si>
  <si>
    <t xml:space="preserve">Urgencias</t>
  </si>
  <si>
    <t xml:space="preserve">C027</t>
  </si>
  <si>
    <t xml:space="preserve">Caso 027</t>
  </si>
  <si>
    <t xml:space="preserve">En el servicio de urgencias llega un paciente sin documentos, sin afiliación verificable y con dolor torácico. El facturador propone no admitirlo hasta verificar su aseguramiento.</t>
  </si>
  <si>
    <t xml:space="preserve">La conducta institucional correcta es:</t>
  </si>
  <si>
    <t xml:space="preserve">Atender de inmediato: la atención inicial de urgencias es obligatoria y no admite condicionamientos</t>
  </si>
  <si>
    <t xml:space="preserve">Verificar primero la afiliación y luego atender</t>
  </si>
  <si>
    <t xml:space="preserve">Remitirlo a su EPS</t>
  </si>
  <si>
    <t xml:space="preserve">La atención inicial de urgencias es obligatoria para todo prestador y no puede condicionarse a la verificación de aseguramiento, autorización o pago.</t>
  </si>
  <si>
    <t xml:space="preserve">Las opciones b) y c) anteponen trámites administrativos a una atención que la ley define como incondicionada.</t>
  </si>
  <si>
    <t xml:space="preserve">Ley 1751 de 2015, art. 14; Decreto 780 de 2016</t>
  </si>
  <si>
    <t xml:space="preserve">F0080</t>
  </si>
  <si>
    <t xml:space="preserve">El triage tiene como finalidad:</t>
  </si>
  <si>
    <t xml:space="preserve">Clasificar al paciente según su riesgo para definir la prioridad de atención</t>
  </si>
  <si>
    <t xml:space="preserve">Ordenar la atención por orden de llegada</t>
  </si>
  <si>
    <t xml:space="preserve">Decidir la facturación del servicio</t>
  </si>
  <si>
    <t xml:space="preserve">El triage clasifica al usuario según su riesgo clínico y define la prioridad y el tiempo de atención, no el orden de llegada.</t>
  </si>
  <si>
    <t xml:space="preserve">Las opciones b) y c) sustituyen el criterio clínico por criterios administrativos.</t>
  </si>
  <si>
    <t xml:space="preserve">Resolución 5596 de 2015</t>
  </si>
  <si>
    <t xml:space="preserve">F0081</t>
  </si>
  <si>
    <t xml:space="preserve">El paciente clasificado como triage I requiere:</t>
  </si>
  <si>
    <t xml:space="preserve">Atención inmediata por riesgo vital</t>
  </si>
  <si>
    <t xml:space="preserve">Atención dentro de las dos horas siguientes</t>
  </si>
  <si>
    <t xml:space="preserve">Remisión a consulta prioritaria</t>
  </si>
  <si>
    <t xml:space="preserve">El triage I corresponde a la condición que amenaza la vida y exige atención inmediata.</t>
  </si>
  <si>
    <t xml:space="preserve">Las opciones b) y c) aplican tiempos y rutas de categorías de menor riesgo.</t>
  </si>
  <si>
    <t xml:space="preserve">F0082</t>
  </si>
  <si>
    <t xml:space="preserve">C028</t>
  </si>
  <si>
    <t xml:space="preserve">Caso 028</t>
  </si>
  <si>
    <t xml:space="preserve">En la admisión de urgencias se congestiona la sala de espera y el equipo debe aplicar correctamente la clasificación.</t>
  </si>
  <si>
    <t xml:space="preserve">El triage debe realizarlo:</t>
  </si>
  <si>
    <t xml:space="preserve">Personal de salud entrenado, conforme al protocolo institucional</t>
  </si>
  <si>
    <t xml:space="preserve">El personal de vigilancia</t>
  </si>
  <si>
    <t xml:space="preserve">El facturador</t>
  </si>
  <si>
    <t xml:space="preserve">La clasificación en urgencias corresponde a personal de salud entrenado, según el protocolo adoptado por la institución.</t>
  </si>
  <si>
    <t xml:space="preserve">Las opciones b) y c) asignan una valoración clínica a personal sin competencia para ello.</t>
  </si>
  <si>
    <t xml:space="preserve">F0083</t>
  </si>
  <si>
    <t xml:space="preserve">La reclasificación del paciente en sala de espera procede cuando:</t>
  </si>
  <si>
    <t xml:space="preserve">Nunca, una vez asignada la categoría</t>
  </si>
  <si>
    <t xml:space="preserve">Cambia su condición clínica o se supera el tiempo de espera previsto para su categoría</t>
  </si>
  <si>
    <t xml:space="preserve">Lo solicita un acompañante</t>
  </si>
  <si>
    <t xml:space="preserve">El paciente debe ser reevaluado si su condición cambia o si se excede el tiempo de espera definido para su categoría.</t>
  </si>
  <si>
    <t xml:space="preserve">La opción a) congela una clasificación dinámica y la c) sustituye el criterio clínico por la solicitud de un tercero.</t>
  </si>
  <si>
    <t xml:space="preserve">F0084</t>
  </si>
  <si>
    <t xml:space="preserve">El registro de la clasificación en la historia clínica:</t>
  </si>
  <si>
    <t xml:space="preserve">Es obligatorio, con hora y responsable</t>
  </si>
  <si>
    <t xml:space="preserve">Es opcional si el paciente egresa pronto</t>
  </si>
  <si>
    <t xml:space="preserve">Se hace solo en triage I y II</t>
  </si>
  <si>
    <t xml:space="preserve">La clasificación, su hora y el responsable deben quedar registrados en la historia clínica de todo paciente que consulta a urgencias.</t>
  </si>
  <si>
    <t xml:space="preserve">Las opciones b) y c) dejan sin trazabilidad la atención y afectan la defensa institucional.</t>
  </si>
  <si>
    <t xml:space="preserve">Resolución 5596 de 2015; Resolución 1995 de 1999</t>
  </si>
  <si>
    <t xml:space="preserve">F0085</t>
  </si>
  <si>
    <t xml:space="preserve">C029</t>
  </si>
  <si>
    <t xml:space="preserve">Caso 029</t>
  </si>
  <si>
    <t xml:space="preserve">Un paciente estabilizado en urgencias requiere hospitalización, pero la EPS no autoriza y solicita el traslado a otra institución de su red.</t>
  </si>
  <si>
    <t xml:space="preserve">Mientras no exista un destino asistencial seguro, el hospital debe:</t>
  </si>
  <si>
    <t xml:space="preserve">Dar de alta al paciente para liberar la cama</t>
  </si>
  <si>
    <t xml:space="preserve">Continuar la atención hasta que se garantice el traslado en condiciones seguras</t>
  </si>
  <si>
    <t xml:space="preserve">Entregar el paciente a la familia</t>
  </si>
  <si>
    <t xml:space="preserve">La continuidad de la atención obliga a mantener el cuidado hasta que exista un destino asistencial seguro y coordinado.</t>
  </si>
  <si>
    <t xml:space="preserve">Las opciones a) y c) interrumpen la atención y trasladan el riesgo al paciente y a su familia.</t>
  </si>
  <si>
    <t xml:space="preserve">Ley 1751 de 2015; Decreto 780 de 2016</t>
  </si>
  <si>
    <t xml:space="preserve">F0086</t>
  </si>
  <si>
    <t xml:space="preserve">La atención inicial de urgencias comprende:</t>
  </si>
  <si>
    <t xml:space="preserve">Todas las acciones para estabilizar los signos vitales, diagnosticar y definir el destino inmediato del paciente</t>
  </si>
  <si>
    <t xml:space="preserve">Solo la valoración por el médico</t>
  </si>
  <si>
    <t xml:space="preserve">Solo la administración de analgésicos</t>
  </si>
  <si>
    <t xml:space="preserve">La atención inicial de urgencias incluye las acciones necesarias para estabilizar signos vitales, realizar el diagnóstico de impresión y definir el destino inmediato.</t>
  </si>
  <si>
    <t xml:space="preserve">Las opciones b) y c) recortan un concepto que la norma define de manera integral.</t>
  </si>
  <si>
    <t xml:space="preserve">F0087</t>
  </si>
  <si>
    <t xml:space="preserve">El cobro al usuario por la atención inicial de urgencias:</t>
  </si>
  <si>
    <t xml:space="preserve">Procede siempre que no esté afiliado</t>
  </si>
  <si>
    <t xml:space="preserve">No puede exigirse como condición para la atención; el recobro se surte entre las entidades responsables de pago</t>
  </si>
  <si>
    <t xml:space="preserve">Lo define el prestador libremente</t>
  </si>
  <si>
    <t xml:space="preserve">La atención no puede condicionarse al pago; el reconocimiento económico se tramita entre las entidades responsables de pago conforme a la normativa.</t>
  </si>
  <si>
    <t xml:space="preserve">Las opciones a) y c) convierten un trámite económico en barrera de acceso.</t>
  </si>
  <si>
    <t xml:space="preserve">F0088</t>
  </si>
  <si>
    <t xml:space="preserve">Gestion hospitalaria y organizacion de la E.S.E.</t>
  </si>
  <si>
    <t xml:space="preserve">C030</t>
  </si>
  <si>
    <t xml:space="preserve">Caso 030</t>
  </si>
  <si>
    <t xml:space="preserve">La junta directiva evalúa el plan de gestión del gerente y la estructura interna de la E.S.E.</t>
  </si>
  <si>
    <t xml:space="preserve">La estructura básica de una E.S.E. comprende las áreas de:</t>
  </si>
  <si>
    <t xml:space="preserve">Dirección, atención al usuario y logística (administrativa)</t>
  </si>
  <si>
    <t xml:space="preserve">Jurídica, financiera y de sistemas</t>
  </si>
  <si>
    <t xml:space="preserve">Planeación, control interno y comunicaciones</t>
  </si>
  <si>
    <t xml:space="preserve">El Decreto 1876 de 1994 define la estructura básica de las E.S.E. en tres áreas: dirección, atención al usuario y logística o administrativa.</t>
  </si>
  <si>
    <t xml:space="preserve">Las opciones b) y c) enumeran dependencias posibles, no las áreas estructurales definidas por la norma.</t>
  </si>
  <si>
    <t xml:space="preserve">Decreto 1876 de 1994, art. 7</t>
  </si>
  <si>
    <t xml:space="preserve">F0089</t>
  </si>
  <si>
    <t xml:space="preserve">El plan de gestión del gerente de una E.S.E.:</t>
  </si>
  <si>
    <t xml:space="preserve">Es potestativo</t>
  </si>
  <si>
    <t xml:space="preserve">Se presenta, aprueba y evalúa conforme a la metodología e indicadores definidos por el Ministerio</t>
  </si>
  <si>
    <t xml:space="preserve">Lo evalúa exclusivamente la Contraloría</t>
  </si>
  <si>
    <t xml:space="preserve">El gerente presenta el plan de gestión y la junta directiva lo evalúa conforme a la metodología e indicadores fijados por el Ministerio de Salud.</t>
  </si>
  <si>
    <t xml:space="preserve">Las opciones a) y c) suprimen la obligación legal o desplazan la competencia de la junta directiva.</t>
  </si>
  <si>
    <t xml:space="preserve">Ley 1438 de 2011, art. 74; Resolución 710 de 2012 y 743 de 2013</t>
  </si>
  <si>
    <t xml:space="preserve">F0090</t>
  </si>
  <si>
    <t xml:space="preserve">La junta directiva de una E.S.E. departamental está integrada por representantes:</t>
  </si>
  <si>
    <t xml:space="preserve">Del sector político-administrativo, del sector científico de la salud y de la comunidad</t>
  </si>
  <si>
    <t xml:space="preserve">Solo del gobierno departamental</t>
  </si>
  <si>
    <t xml:space="preserve">Solo de los trabajadores</t>
  </si>
  <si>
    <t xml:space="preserve">La junta directiva se integra por representantes del estamento político-administrativo, del científico de la salud y de la comunidad.</t>
  </si>
  <si>
    <t xml:space="preserve">Las opciones b) y c) desconocen la composición tripartita prevista en la norma.</t>
  </si>
  <si>
    <t xml:space="preserve">Decreto 1876 de 1994, art. 8</t>
  </si>
  <si>
    <t xml:space="preserve">F0091</t>
  </si>
  <si>
    <t xml:space="preserve">C031</t>
  </si>
  <si>
    <t xml:space="preserve">Caso 031</t>
  </si>
  <si>
    <t xml:space="preserve">La oficina de planeación prepara la rendición de cuentas y el plan anticorrupción del hospital.</t>
  </si>
  <si>
    <t xml:space="preserve">El Plan Anticorrupción y de Atención al Ciudadano debe publicarse:</t>
  </si>
  <si>
    <t xml:space="preserve">A más tardar el 31 de enero de cada vigencia, en el sitio web de la entidad</t>
  </si>
  <si>
    <t xml:space="preserve">Cuando lo solicite la Contraloría</t>
  </si>
  <si>
    <t xml:space="preserve">Cada dos años</t>
  </si>
  <si>
    <t xml:space="preserve">La ley y sus reglamentos fijan el 31 de enero como plazo máximo de elaboración y publicación anual del plan.</t>
  </si>
  <si>
    <t xml:space="preserve">Las opciones b) y c) desconocen la periodicidad anual y la obligación de publicación proactiva.</t>
  </si>
  <si>
    <t xml:space="preserve">Ley 1474 de 2011, art. 73</t>
  </si>
  <si>
    <t xml:space="preserve">F0092</t>
  </si>
  <si>
    <t xml:space="preserve">La rendición de cuentas a la ciudadanía es:</t>
  </si>
  <si>
    <t xml:space="preserve">Un evento protocolario opcional</t>
  </si>
  <si>
    <t xml:space="preserve">Un proceso permanente de información, diálogo y responsabilidad frente a la ciudadanía</t>
  </si>
  <si>
    <t xml:space="preserve">Una competencia exclusiva del control interno</t>
  </si>
  <si>
    <t xml:space="preserve">La rendición de cuentas es un proceso permanente que comprende información, diálogo e incentivos o responsabilidad, no un evento aislado.</t>
  </si>
  <si>
    <t xml:space="preserve">Las opciones a) y c) reducen el proceso a un acto formal o lo confunden con el control interno.</t>
  </si>
  <si>
    <t xml:space="preserve">Ley 1757 de 2015, arts. 48 y ss.</t>
  </si>
  <si>
    <t xml:space="preserve">F0093</t>
  </si>
  <si>
    <t xml:space="preserve">Las líneas de defensa del MIPG ubican a la oficina de control interno como:</t>
  </si>
  <si>
    <t xml:space="preserve">Primera línea de defensa</t>
  </si>
  <si>
    <t xml:space="preserve">Tercera línea de defensa, con rol de evaluación independiente</t>
  </si>
  <si>
    <t xml:space="preserve">Línea estratégica</t>
  </si>
  <si>
    <t xml:space="preserve">En el esquema de líneas de defensa, la oficina de control interno constituye la tercera línea y ejerce evaluación independiente.</t>
  </si>
  <si>
    <t xml:space="preserve">La primera línea son los responsables de los procesos y la línea estratégica corresponde a la alta dirección.</t>
  </si>
  <si>
    <t xml:space="preserve">Decreto 1499 de 2017; MIPG</t>
  </si>
  <si>
    <t xml:space="preserve">F0094</t>
  </si>
  <si>
    <t xml:space="preserve">C032</t>
  </si>
  <si>
    <t xml:space="preserve">Caso 032</t>
  </si>
  <si>
    <t xml:space="preserve">El área de almacén debe manejar los inventarios de medicamentos y dispositivos médicos del hospital.</t>
  </si>
  <si>
    <t xml:space="preserve">La recepción técnica de medicamentos exige verificar:</t>
  </si>
  <si>
    <t xml:space="preserve">Registro sanitario vigente, lote, fecha de vencimiento y condiciones de conservación</t>
  </si>
  <si>
    <t xml:space="preserve">Solo el precio facturado</t>
  </si>
  <si>
    <t xml:space="preserve">Solo la cantidad recibida</t>
  </si>
  <si>
    <t xml:space="preserve">La recepción técnica comprueba registro sanitario, lote, fecha de vencimiento, cadena de frío cuando aplique y condiciones de embalaje.</t>
  </si>
  <si>
    <t xml:space="preserve">Las opciones b) y c) reducen un control sanitario a una verificación contable.</t>
  </si>
  <si>
    <t xml:space="preserve">Resolución 1403 de 2007</t>
  </si>
  <si>
    <t xml:space="preserve">F0095</t>
  </si>
  <si>
    <t xml:space="preserve">Un medicamento próximo a vencer debe:</t>
  </si>
  <si>
    <t xml:space="preserve">Gestionarse conforme al procedimiento institucional de rotación o devolución, con registro documentado</t>
  </si>
  <si>
    <t xml:space="preserve">Usarse primero sin registro</t>
  </si>
  <si>
    <t xml:space="preserve">Desecharse sin acta</t>
  </si>
  <si>
    <t xml:space="preserve">El manejo de medicamentos próximos a vencer sigue el procedimiento institucional documentado de rotación, devolución o baja.</t>
  </si>
  <si>
    <t xml:space="preserve">La opción b) omite trazabilidad y la c) incumple el procedimiento de baja y disposición final.</t>
  </si>
  <si>
    <t xml:space="preserve">F0096</t>
  </si>
  <si>
    <t xml:space="preserve">La disposición final de residuos peligrosos hospitalarios se rige por:</t>
  </si>
  <si>
    <t xml:space="preserve">El plan de gestión integral de residuos generados en la atención en salud</t>
  </si>
  <si>
    <t xml:space="preserve">El manual de facturación</t>
  </si>
  <si>
    <t xml:space="preserve">El reglamento interno de trabajo</t>
  </si>
  <si>
    <t xml:space="preserve">La gestión de residuos generados en la atención en salud se realiza conforme al plan de gestión integral adoptado por la institución y la normativa ambiental sanitaria.</t>
  </si>
  <si>
    <t xml:space="preserve">Las opciones b) y c) invocan documentos sin relación con la gestión de residuos.</t>
  </si>
  <si>
    <t xml:space="preserve">Decreto 780 de 2016; Resolución 1164 de 2002</t>
  </si>
  <si>
    <t xml:space="preserve">F0097</t>
  </si>
  <si>
    <t xml:space="preserve">Contratacion en la E.S.E. y transparencia</t>
  </si>
  <si>
    <t xml:space="preserve">C033</t>
  </si>
  <si>
    <t xml:space="preserve">Caso 033</t>
  </si>
  <si>
    <t xml:space="preserve">El hospital adelantará la compra de equipos biomédicos por una cuantía significativa y el comité discute el procedimiento a seguir.</t>
  </si>
  <si>
    <t xml:space="preserve">El procedimiento aplicable es:</t>
  </si>
  <si>
    <t xml:space="preserve">El previsto en el estatuto de contratación adoptado por la junta directiva conforme a los lineamientos del Ministerio</t>
  </si>
  <si>
    <t xml:space="preserve">La licitación pública de la Ley 80 de 1993</t>
  </si>
  <si>
    <t xml:space="preserve">La selección abreviada del Decreto 1082 de 2015</t>
  </si>
  <si>
    <t xml:space="preserve">El artículo 76 de la Ley 1438 de 2011 ordena a las juntas directivas de las E.S.E. adoptar un estatuto de contratación conforme a los lineamientos del Ministerio, desarrollados en la Resolución 5185 de 2013.</t>
  </si>
  <si>
    <t xml:space="preserve">Las opciones b) y c) aplican modalidades del Estatuto General, del que las E.S.E. están exceptuadas.</t>
  </si>
  <si>
    <t xml:space="preserve">Ley 1438 de 2011, art. 76; Resolución 5185 de 2013</t>
  </si>
  <si>
    <t xml:space="preserve">F0098</t>
  </si>
  <si>
    <t xml:space="preserve">La publicidad de la actividad contractual de la E.S.E. implica que:</t>
  </si>
  <si>
    <t xml:space="preserve">No debe publicarse por regirse por derecho privado</t>
  </si>
  <si>
    <t xml:space="preserve">Debe publicarse en el SECOP, aun tratándose de un régimen especial de contratación</t>
  </si>
  <si>
    <t xml:space="preserve">Basta con publicarla en cartelera</t>
  </si>
  <si>
    <t xml:space="preserve">Las entidades estatales con régimen especial deben publicar su actividad contractual en el SECOP, conforme a las normas de transparencia.</t>
  </si>
  <si>
    <t xml:space="preserve">Las opciones a) y c) confunden el régimen sustantivo con el deber de publicidad y transparencia.</t>
  </si>
  <si>
    <t xml:space="preserve">Ley 1712 de 2014; Ley 2195 de 2022, art. 53</t>
  </si>
  <si>
    <t xml:space="preserve">F0099</t>
  </si>
  <si>
    <t xml:space="preserve">Las inhabilidades e incompatibilidades para contratar:</t>
  </si>
  <si>
    <t xml:space="preserve">No aplican por el régimen privado</t>
  </si>
  <si>
    <t xml:space="preserve">Aplican plenamente, pues tienen fuente constitucional y legal</t>
  </si>
  <si>
    <t xml:space="preserve">Aplican solo a contratos superiores a 100 SMLMV</t>
  </si>
  <si>
    <t xml:space="preserve">El régimen de inhabilidades e incompatibilidades es de orden público y aplica con independencia del régimen contractual de la entidad.</t>
  </si>
  <si>
    <t xml:space="preserve">Las opciones a) y c) crean excepciones que la ley no autoriza.</t>
  </si>
  <si>
    <t xml:space="preserve">Ley 80 de 1993, art. 8; Ley 1474 de 2011</t>
  </si>
  <si>
    <t xml:space="preserve">F0100</t>
  </si>
  <si>
    <t xml:space="preserve">C034</t>
  </si>
  <si>
    <t xml:space="preserve">Caso 034</t>
  </si>
  <si>
    <t xml:space="preserve">Un supervisor de contrato detecta que el contratista incumplió parcialmente las obligaciones pactadas.</t>
  </si>
  <si>
    <t xml:space="preserve">La función de supervisión implica:</t>
  </si>
  <si>
    <t xml:space="preserve">Seguimiento técnico, administrativo, financiero, contable y jurídico del contrato</t>
  </si>
  <si>
    <t xml:space="preserve">Solo firmar las actas de pago</t>
  </si>
  <si>
    <t xml:space="preserve">Reemplazar al ordenador del gasto</t>
  </si>
  <si>
    <t xml:space="preserve">La supervisión comprende el seguimiento técnico, administrativo, financiero, contable y jurídico de la ejecución del contrato.</t>
  </si>
  <si>
    <t xml:space="preserve">Las opciones b) y c) reducen la supervisión a un trámite o le asignan competencias que no tiene.</t>
  </si>
  <si>
    <t xml:space="preserve">Ley 1474 de 2011, art. 83</t>
  </si>
  <si>
    <t xml:space="preserve">F0101</t>
  </si>
  <si>
    <t xml:space="preserve">Ante el incumplimiento, el supervisor debe:</t>
  </si>
  <si>
    <t xml:space="preserve">Requerir por escrito al contratista e informar al ordenador del gasto para las actuaciones pertinentes</t>
  </si>
  <si>
    <t xml:space="preserve">Abstenerse de actuar hasta la liquidación</t>
  </si>
  <si>
    <t xml:space="preserve">Descontar directamente el valor de la factura</t>
  </si>
  <si>
    <t xml:space="preserve">El supervisor debe dejar constancia escrita del requerimiento y poner el hecho en conocimiento del ordenador del gasto para iniciar las actuaciones contractuales.</t>
  </si>
  <si>
    <t xml:space="preserve">Las opciones b) y c) omiten el deber de vigilancia o ejercen una potestad que no corresponde al supervisor.</t>
  </si>
  <si>
    <t xml:space="preserve">Ley 1474 de 2011, arts. 83 y 84</t>
  </si>
  <si>
    <t xml:space="preserve">F0102</t>
  </si>
  <si>
    <t xml:space="preserve">La responsabilidad del supervisor por omisión en el seguimiento:</t>
  </si>
  <si>
    <t xml:space="preserve">Es inexistente si el contratista fue el incumplido</t>
  </si>
  <si>
    <t xml:space="preserve">Puede ser disciplinaria, fiscal y penal</t>
  </si>
  <si>
    <t xml:space="preserve">Se limita a un llamado de atención verbal</t>
  </si>
  <si>
    <t xml:space="preserve">La ley prevé responsabilidad disciplinaria, fiscal y penal para quienes omitan el deber de vigilancia de los contratos estatales.</t>
  </si>
  <si>
    <t xml:space="preserve">Las opciones a) y c) desconocen el régimen de responsabilidad de los supervisores e interventores.</t>
  </si>
  <si>
    <t xml:space="preserve">Ley 1474 de 2011, art. 84</t>
  </si>
  <si>
    <t xml:space="preserve">F0103</t>
  </si>
  <si>
    <t xml:space="preserve">C035</t>
  </si>
  <si>
    <t xml:space="preserve">Caso 035</t>
  </si>
  <si>
    <t xml:space="preserve">El técnico administrativo apoya la publicación de documentos y la atención de solicitudes de información pública.</t>
  </si>
  <si>
    <t xml:space="preserve">La información pública clasificada o reservada:</t>
  </si>
  <si>
    <t xml:space="preserve">Puede negarse solo con fundamento en una excepción legal, motivando la respuesta</t>
  </si>
  <si>
    <t xml:space="preserve">Se niega a discreción del funcionario</t>
  </si>
  <si>
    <t xml:space="preserve">Se entrega siempre, por el principio de máxima publicidad</t>
  </si>
  <si>
    <t xml:space="preserve">El acceso solo puede negarse con fundamento en una excepción constitucional o legal, mediante respuesta motivada y por escrito.</t>
  </si>
  <si>
    <t xml:space="preserve">La opción b) elimina la motivación exigida y la c) desconoce las excepciones legítimas como la reserva de la historia clínica.</t>
  </si>
  <si>
    <t xml:space="preserve">Ley 1712 de 2014, arts. 18 y 19</t>
  </si>
  <si>
    <t xml:space="preserve">F0104</t>
  </si>
  <si>
    <t xml:space="preserve">El principio de máxima publicidad significa que:</t>
  </si>
  <si>
    <t xml:space="preserve">Toda información en poder del Estado se presume pública, salvo excepción legal</t>
  </si>
  <si>
    <t xml:space="preserve">Solo es pública la información que la entidad decida publicar</t>
  </si>
  <si>
    <t xml:space="preserve">La publicidad depende de la solicitud del ciudadano</t>
  </si>
  <si>
    <t xml:space="preserve">La Ley de Transparencia presume pública toda la información en posesión o bajo control de los sujetos obligados, salvo excepciones.</t>
  </si>
  <si>
    <t xml:space="preserve">Las opciones b) y c) sujetan la publicidad a la voluntad de la entidad o a la solicitud, contra el deber de divulgación proactiva.</t>
  </si>
  <si>
    <t xml:space="preserve">Ley 1712 de 2014, art. 2</t>
  </si>
  <si>
    <t xml:space="preserve">F0105</t>
  </si>
  <si>
    <t xml:space="preserve">La respuesta a una solicitud de información pública debe darse en:</t>
  </si>
  <si>
    <t xml:space="preserve">Diez (10) días hábiles, prorrogables conforme a la ley</t>
  </si>
  <si>
    <t xml:space="preserve">Treinta (30) días calendario</t>
  </si>
  <si>
    <t xml:space="preserve">Cuando el área técnica lo permita</t>
  </si>
  <si>
    <t xml:space="preserve">La solicitud de acceso a información pública se responde en diez días hábiles, con la posibilidad de prórroga en los términos legales.</t>
  </si>
  <si>
    <t xml:space="preserve">Las opciones b) y c) amplían indebidamente el término o lo dejan indeterminado.</t>
  </si>
  <si>
    <t xml:space="preserve">Ley 1712 de 2014, art. 26</t>
  </si>
  <si>
    <t xml:space="preserve">F0106</t>
  </si>
  <si>
    <t xml:space="preserve">Regimen disciplinario y CPACA</t>
  </si>
  <si>
    <t xml:space="preserve">C036</t>
  </si>
  <si>
    <t xml:space="preserve">Caso 036</t>
  </si>
  <si>
    <t xml:space="preserve">El hospital expide un acto administrativo que niega una solicitud a un usuario. El área jurídica debe definir cómo se comunica y qué recursos proceden.</t>
  </si>
  <si>
    <t xml:space="preserve">El acto administrativo de carácter particular y concreto se da a conocer mediante:</t>
  </si>
  <si>
    <t xml:space="preserve">Notificación personal, y en subsidio por aviso</t>
  </si>
  <si>
    <t xml:space="preserve">Publicación en el diario oficial</t>
  </si>
  <si>
    <t xml:space="preserve">Comunicación verbal en ventanilla</t>
  </si>
  <si>
    <t xml:space="preserve">Los actos de carácter particular se notifican personalmente y, cuando ello no es posible, mediante aviso.</t>
  </si>
  <si>
    <t xml:space="preserve">La publicación se reserva a los actos de carácter general y la comunicación verbal no produce efectos de notificación.</t>
  </si>
  <si>
    <t xml:space="preserve">Ley 1437 de 2011, arts. 67 a 69</t>
  </si>
  <si>
    <t xml:space="preserve">F0107</t>
  </si>
  <si>
    <t xml:space="preserve">Los recursos que proceden por regla general en vía administrativa son:</t>
  </si>
  <si>
    <t xml:space="preserve">Reposición, apelación y queja, dentro de los diez (10) días siguientes a la notificación</t>
  </si>
  <si>
    <t xml:space="preserve">Solo reposición, dentro de los cinco (5) días</t>
  </si>
  <si>
    <t xml:space="preserve">Revisión y súplica, dentro de los treinta (30) días</t>
  </si>
  <si>
    <t xml:space="preserve">El artículo 74 del CPACA prevé los recursos de reposición, apelación y queja, que se interponen dentro de los diez días siguientes a la notificación.</t>
  </si>
  <si>
    <t xml:space="preserve">Las opciones b) y c) omiten recursos o invocan medios propios del proceso judicial con términos distintos.</t>
  </si>
  <si>
    <t xml:space="preserve">Ley 1437 de 2011, arts. 74 y 76</t>
  </si>
  <si>
    <t xml:space="preserve">F0108</t>
  </si>
  <si>
    <t xml:space="preserve">El acto queda en firme, entre otros casos:</t>
  </si>
  <si>
    <t xml:space="preserve">Cuando se notifica, sin más</t>
  </si>
  <si>
    <t xml:space="preserve">Cuando vencen los términos para interponer recursos sin que se hayan interpuesto, o cuando los interpuestos se resuelven</t>
  </si>
  <si>
    <t xml:space="preserve">Cuando la entidad lo publica</t>
  </si>
  <si>
    <t xml:space="preserve">El artículo 87 del CPACA define la firmeza, entre otros supuestos, por el vencimiento del término sin recursos o por su resolución.</t>
  </si>
  <si>
    <t xml:space="preserve">Las opciones a) y c) confunden la notificación o la publicación con la firmeza del acto.</t>
  </si>
  <si>
    <t xml:space="preserve">Ley 1437 de 2011, art. 87</t>
  </si>
  <si>
    <t xml:space="preserve">F0109</t>
  </si>
  <si>
    <t xml:space="preserve">C037</t>
  </si>
  <si>
    <t xml:space="preserve">Caso 037</t>
  </si>
  <si>
    <t xml:space="preserve">Se recibe una queja contra un servidor público del hospital por presunta omisión en el cumplimiento de sus funciones.</t>
  </si>
  <si>
    <t xml:space="preserve">El régimen disciplinario aplicable a los servidores públicos es:</t>
  </si>
  <si>
    <t xml:space="preserve">La Ley 1952 de 2019, modificada por la Ley 2094 de 2021</t>
  </si>
  <si>
    <t xml:space="preserve">La Ley 734 de 2002, aún vigente en su integridad</t>
  </si>
  <si>
    <t xml:space="preserve">El Código Penal</t>
  </si>
  <si>
    <t xml:space="preserve">El Código General Disciplinario, Ley 1952 de 2019, modificado por la Ley 2094 de 2021, rige la materia disciplinaria.</t>
  </si>
  <si>
    <t xml:space="preserve">La opción b) invoca un código sustituido y la c) confunde responsabilidad disciplinaria con la penal.</t>
  </si>
  <si>
    <t xml:space="preserve">Ley 1952 de 2019; Ley 2094 de 2021</t>
  </si>
  <si>
    <t xml:space="preserve">F0110</t>
  </si>
  <si>
    <t xml:space="preserve">Las faltas disciplinarias se clasifican en:</t>
  </si>
  <si>
    <t xml:space="preserve">Gravísimas, graves y leves</t>
  </si>
  <si>
    <t xml:space="preserve">Dolosas y culposas únicamente</t>
  </si>
  <si>
    <t xml:space="preserve">Principales y accesorias</t>
  </si>
  <si>
    <t xml:space="preserve">El Código General Disciplinario clasifica las faltas en gravísimas, graves y leves, con criterios legales para determinar su gravedad.</t>
  </si>
  <si>
    <t xml:space="preserve">La opción b) alude a la modalidad de la conducta y la c) a una clasificación de sanciones penales.</t>
  </si>
  <si>
    <t xml:space="preserve">Ley 1952 de 2019, arts. 51 y 52</t>
  </si>
  <si>
    <t xml:space="preserve">F0111</t>
  </si>
  <si>
    <t xml:space="preserve">La ilicitud sustancial disciplinaria supone que:</t>
  </si>
  <si>
    <t xml:space="preserve">Basta la mera tipicidad de la conducta</t>
  </si>
  <si>
    <t xml:space="preserve">La conducta afecta sustancialmente el deber funcional sin justificación</t>
  </si>
  <si>
    <t xml:space="preserve">Se requiere daño patrimonial</t>
  </si>
  <si>
    <t xml:space="preserve">La ilicitud sustancial exige que la conducta afecte sustancialmente el deber funcional, sin justificación alguna.</t>
  </si>
  <si>
    <t xml:space="preserve">La opción a) prescinde del juicio de sustancialidad y la c) introduce un elemento propio de la responsabilidad fiscal.</t>
  </si>
  <si>
    <t xml:space="preserve">Ley 1952 de 2019, art. 9</t>
  </si>
  <si>
    <t xml:space="preserve">F0112</t>
  </si>
  <si>
    <t xml:space="preserve">C038</t>
  </si>
  <si>
    <t xml:space="preserve">Caso 038</t>
  </si>
  <si>
    <t xml:space="preserve">Un ciudadano radica una petición y la dependencia competente no responde dentro del término legal.</t>
  </si>
  <si>
    <t xml:space="preserve">El silencio administrativo negativo se configura, por regla general, transcurridos:</t>
  </si>
  <si>
    <t xml:space="preserve">Tres (3) meses desde la presentación de la petición</t>
  </si>
  <si>
    <t xml:space="preserve">Un (1) año</t>
  </si>
  <si>
    <t xml:space="preserve">El artículo 83 del CPACA establece que, salvo norma especial, transcurridos tres meses sin respuesta se entiende negada la petición.</t>
  </si>
  <si>
    <t xml:space="preserve">La opción b) corresponde al término de respuesta y la c) a un plazo que la norma no prevé.</t>
  </si>
  <si>
    <t xml:space="preserve">Ley 1437 de 2011, art. 83</t>
  </si>
  <si>
    <t xml:space="preserve">F0113</t>
  </si>
  <si>
    <t xml:space="preserve">El silencio negativo:</t>
  </si>
  <si>
    <t xml:space="preserve">Exime a la administración del deber de resolver</t>
  </si>
  <si>
    <t xml:space="preserve">No exime a la administración del deber de decidir sobre la petición inicial</t>
  </si>
  <si>
    <t xml:space="preserve">Equivale a una decisión favorable</t>
  </si>
  <si>
    <t xml:space="preserve">La ocurrencia del silencio negativo no releva a la autoridad de su obligación de decidir, salvo que el interesado haya acudido ante la jurisdicción.</t>
  </si>
  <si>
    <t xml:space="preserve">Las opciones a) y c) desconocen el deber de resolver y confunden el silencio negativo con el positivo.</t>
  </si>
  <si>
    <t xml:space="preserve">Ley 1437 de 2011, arts. 83 y 84</t>
  </si>
  <si>
    <t xml:space="preserve">F0114</t>
  </si>
  <si>
    <t xml:space="preserve">La petición incompleta debe:</t>
  </si>
  <si>
    <t xml:space="preserve">Rechazarse de plano</t>
  </si>
  <si>
    <t xml:space="preserve">Requerirse al peticionario para que la complete, con las consecuencias legales si no lo hace</t>
  </si>
  <si>
    <t xml:space="preserve">Archivarse sin aviso</t>
  </si>
  <si>
    <t xml:space="preserve">El artículo 17 del CPACA ordena requerir al peticionario para completar la petición, con desistimiento tácito si no atiende el requerimiento.</t>
  </si>
  <si>
    <t xml:space="preserve">Las opciones a) y c) niegan el derecho de petición sin agotar el requerimiento previo.</t>
  </si>
  <si>
    <t xml:space="preserve">Ley 1437 de 2011, art. 17</t>
  </si>
  <si>
    <t xml:space="preserve">F0115</t>
  </si>
  <si>
    <t xml:space="preserve">Precision juridica del verbo</t>
  </si>
  <si>
    <t xml:space="preserve">C039</t>
  </si>
  <si>
    <t xml:space="preserve">Caso 039</t>
  </si>
  <si>
    <t xml:space="preserve">En la revisión de un proyecto de acto administrativo, la asesora observa que el documento usa indistintamente los verbos notificar, comunicar y publicar, y en otro aparte confunde revocar con anular.</t>
  </si>
  <si>
    <t xml:space="preserve">La diferencia correcta entre notificar, comunicar y publicar es:</t>
  </si>
  <si>
    <t xml:space="preserve">Se notifican los actos de carácter particular, se comunican los actos de trámite o a terceros, y se publican los actos de carácter general</t>
  </si>
  <si>
    <t xml:space="preserve">Los tres verbos son equivalentes en derecho administrativo</t>
  </si>
  <si>
    <t xml:space="preserve">Se publican los actos particulares y se notifican los generales</t>
  </si>
  <si>
    <t xml:space="preserve">La notificación se reserva a los actos particulares y concretos, la comunicación a actos de trámite o a terceros interesados y la publicación a los actos de carácter general.</t>
  </si>
  <si>
    <t xml:space="preserve">La opción b) borra distinciones con efectos jurídicos y la c) invierte las reglas del CPACA.</t>
  </si>
  <si>
    <t xml:space="preserve">Ley 1437 de 2011, arts. 65, 67 y 68</t>
  </si>
  <si>
    <t xml:space="preserve">F0116</t>
  </si>
  <si>
    <t xml:space="preserve">Revocar, anular y suspender se distinguen porque:</t>
  </si>
  <si>
    <t xml:space="preserve">Revoca la propia administración; anula el juez; suspende quien tenga competencia mediante una medida temporal</t>
  </si>
  <si>
    <t xml:space="preserve">Los tres actos corresponden al juez</t>
  </si>
  <si>
    <t xml:space="preserve">Los tres corresponden a la administración</t>
  </si>
  <si>
    <t xml:space="preserve">La revocatoria directa es una potestad de la administración, la nulidad la declara el juez y la suspensión es una medida temporal que adopta quien tiene competencia para ello.</t>
  </si>
  <si>
    <t xml:space="preserve">Las opciones b) y c) concentran en un solo órgano competencias que el ordenamiento distribuye.</t>
  </si>
  <si>
    <t xml:space="preserve">Ley 1437 de 2011, arts. 93 y ss.; art. 137</t>
  </si>
  <si>
    <t xml:space="preserve">F0117</t>
  </si>
  <si>
    <t xml:space="preserve">Citar y convocar se diferencian en que:</t>
  </si>
  <si>
    <t xml:space="preserve">Se cita a una persona determinada a una diligencia y se convoca a un cuerpo colegiado o a un grupo a una sesión o proceso</t>
  </si>
  <si>
    <t xml:space="preserve">Son sinónimos absolutos</t>
  </si>
  <si>
    <t xml:space="preserve">Citar aplica solo a servidores públicos</t>
  </si>
  <si>
    <t xml:space="preserve">La citación se dirige a una persona determinada para una actuación concreta, mientras la convocatoria llama a un colegiado o a un conjunto de destinatarios.</t>
  </si>
  <si>
    <t xml:space="preserve">Las opciones b) y c) igualan los términos o restringen la citación a un sujeto que la norma no delimita así.</t>
  </si>
  <si>
    <t xml:space="preserve">Ley 1437 de 2011; Ley 909 de 2004, art. 31</t>
  </si>
  <si>
    <t xml:space="preserve">F0118</t>
  </si>
  <si>
    <t xml:space="preserve">C040</t>
  </si>
  <si>
    <t xml:space="preserve">Caso 040</t>
  </si>
  <si>
    <t xml:space="preserve">En una minuta institucional aparecen las expresiones derogar, modificar y subrogar, y el equipo necesita usarlas correctamente al actualizar un manual.</t>
  </si>
  <si>
    <t xml:space="preserve">Derogar una norma significa:</t>
  </si>
  <si>
    <t xml:space="preserve">Dejarla sin efectos hacia el futuro por otra norma de igual o superior jerarquía</t>
  </si>
  <si>
    <t xml:space="preserve">Anularla por un juez</t>
  </si>
  <si>
    <t xml:space="preserve">Suspender temporalmente su aplicación</t>
  </si>
  <si>
    <t xml:space="preserve">La derogación priva de efectos a la norma hacia el futuro y proviene de otra norma de igual o superior jerarquía.</t>
  </si>
  <si>
    <t xml:space="preserve">La opción b) corresponde al control judicial y la c) a una medida temporal que no extingue la norma.</t>
  </si>
  <si>
    <t xml:space="preserve">Ley 153 de 1887; C.P. art. 150</t>
  </si>
  <si>
    <t xml:space="preserve">F0119</t>
  </si>
  <si>
    <t xml:space="preserve">Modificar y subrogar se diferencian en que:</t>
  </si>
  <si>
    <t xml:space="preserve">Modificar altera parte del contenido y subrogar sustituye íntegramente la disposición</t>
  </si>
  <si>
    <t xml:space="preserve">Son idénticos</t>
  </si>
  <si>
    <t xml:space="preserve">Subrogar es derogar tácitamente</t>
  </si>
  <si>
    <t xml:space="preserve">La modificación cambia una parte del texto y la subrogación sustituye integralmente la disposición por una nueva.</t>
  </si>
  <si>
    <t xml:space="preserve">Las opciones b) y c) confunden figuras con efectos distintos sobre la vigencia del texto.</t>
  </si>
  <si>
    <t xml:space="preserve">Ley 153 de 1887</t>
  </si>
  <si>
    <t xml:space="preserve">F0120</t>
  </si>
  <si>
    <t xml:space="preserve">Una norma revocada antes de entrar a producir efectos, como ocurrió con la Resolución 1732 de 2026:</t>
  </si>
  <si>
    <t xml:space="preserve">Revive la norma anterior, que continúa vigente sin interrupción</t>
  </si>
  <si>
    <t xml:space="preserve">Deja un vacío normativo absoluto</t>
  </si>
  <si>
    <t xml:space="preserve">Produce efectos retroactivos</t>
  </si>
  <si>
    <t xml:space="preserve">Al revocarse íntegramente la resolución que derogaba la norma anterior, esta continúa vigente sin interrupción, como ocurrió con la Resolución 3100 de 2019.</t>
  </si>
  <si>
    <t xml:space="preserve">Las opciones b) y c) suponen efectos que la revocatoria no produce.</t>
  </si>
  <si>
    <t xml:space="preserve">Resolución 2080 de 2026 (Minsalud); Ley 1437 de 2011, art. 93</t>
  </si>
  <si>
    <t xml:space="preserve">F0121</t>
  </si>
  <si>
    <t xml:space="preserve">C041</t>
  </si>
  <si>
    <t xml:space="preserve">Caso 041</t>
  </si>
  <si>
    <t xml:space="preserve">Un usuario interpone recurso de reposición contra una decisión del hospital. El jefe jurídico pregunta con qué verbo debe redactarse la parte resolutiva del acto que resuelve el recurso.</t>
  </si>
  <si>
    <t xml:space="preserve">Al resolver el recurso, la autoridad puede:</t>
  </si>
  <si>
    <t xml:space="preserve">Confirmar, modificar o revocar la decisión recurrida</t>
  </si>
  <si>
    <t xml:space="preserve">Anular o suspender la decisión recurrida</t>
  </si>
  <si>
    <t xml:space="preserve">Derogar o subrogar la decisión recurrida</t>
  </si>
  <si>
    <t xml:space="preserve">El artículo 80 del CPACA dispone que al decidir los recursos se resuelve sobre las peticiones, confirmando, modificando o revocando la decisión.</t>
  </si>
  <si>
    <t xml:space="preserve">b) usa verbos del control judicial y de las medidas cautelares, que no corresponden a la autoridad que resuelve el recurso; c) usa verbos propios de la técnica normativa aplicable a normas, no a actos administrativos particulares.</t>
  </si>
  <si>
    <t xml:space="preserve">Ley 1437 de 2011, art. 80</t>
  </si>
  <si>
    <t xml:space="preserve">F0122</t>
  </si>
  <si>
    <t xml:space="preserve">Si la decisión recurrida creó una situación jurídica particular y la administración quiere dejarla sin efectos por fuera del recurso, debe:</t>
  </si>
  <si>
    <t xml:space="preserve">Anularla mediante acto motivado</t>
  </si>
  <si>
    <t xml:space="preserve">Revocarla, y si es un acto particular y concreto requiere el consentimiento expreso y escrito del titular</t>
  </si>
  <si>
    <t xml:space="preserve">Suspenderla mientras estudia el caso</t>
  </si>
  <si>
    <t xml:space="preserve">La revocatoria directa de actos de contenido particular y concreto exige el consentimiento previo, expreso y escrito del titular, salvo las excepciones legales.</t>
  </si>
  <si>
    <t xml:space="preserve">a) atribuye a la administración un verbo que corresponde al juez; c) usa una medida temporal que no extingue el acto ni sustituye la revocatoria.</t>
  </si>
  <si>
    <t xml:space="preserve">Ley 1437 de 2011, arts. 93 y 97</t>
  </si>
  <si>
    <t xml:space="preserve">F0123</t>
  </si>
  <si>
    <t xml:space="preserve">El ciudadano quiere que un juez deje sin efectos el acto. El verbo técnicamente correcto en su demanda es:</t>
  </si>
  <si>
    <t xml:space="preserve">Solicitar que se revoque el acto</t>
  </si>
  <si>
    <t xml:space="preserve">Solicitar que se declare la nulidad del acto y se restablezca el derecho</t>
  </si>
  <si>
    <t xml:space="preserve">Solicitar que se derogue el acto</t>
  </si>
  <si>
    <t xml:space="preserve">Ante la jurisdicción se pide la declaratoria de nulidad del acto y el restablecimiento del derecho; la revocatoria es potestad de la administración.</t>
  </si>
  <si>
    <t xml:space="preserve">a) pide a un juez una actuación administrativa; c) emplea un verbo reservado a las normas, no a los actos administrativos.</t>
  </si>
  <si>
    <t xml:space="preserve">Ley 1437 de 2011, art. 138</t>
  </si>
  <si>
    <t xml:space="preserve">F0124</t>
  </si>
  <si>
    <t xml:space="preserve">C042</t>
  </si>
  <si>
    <t xml:space="preserve">Caso 042</t>
  </si>
  <si>
    <t xml:space="preserve">En el proceso de selección, el equipo de talento humano redacta comunicaciones sobre los resultados y usa indistintamente los verbos inadmitir, excluir y declarar desierto.</t>
  </si>
  <si>
    <t xml:space="preserve">Al aspirante que no acredita los requisitos mínimos del empleo se le debe:</t>
  </si>
  <si>
    <t xml:space="preserve">Inadmitir, por no cumplir los requisitos verificados en la etapa de VRM</t>
  </si>
  <si>
    <t xml:space="preserve">Excluir, por incurrir en una causal del acuerdo</t>
  </si>
  <si>
    <t xml:space="preserve">Declarar desierto su empleo</t>
  </si>
  <si>
    <t xml:space="preserve">En la Verificación de Requisitos Mínimos el aspirante que no acredita los requisitos resulta inadmitido y no continúa en el proceso.</t>
  </si>
  <si>
    <t xml:space="preserve">b) corresponde a quien incurre en causales como el fraude o la suplantación; c) se predica del empleo sin inscritos, no del aspirante.</t>
  </si>
  <si>
    <t xml:space="preserve">Acuerdo CNSC N° 36 de 2026, art. 13; Anexo Técnico E.S.E. 2</t>
  </si>
  <si>
    <t xml:space="preserve">F0125</t>
  </si>
  <si>
    <t xml:space="preserve">Al aspirante que aporta un documento falso se le debe:</t>
  </si>
  <si>
    <t xml:space="preserve">Inadmitir en la etapa de VRM</t>
  </si>
  <si>
    <t xml:space="preserve">Excluir del proceso de selección, en cualquier momento en que se compruebe el hecho</t>
  </si>
  <si>
    <t xml:space="preserve">Retirar de la lista de elegibles únicamente</t>
  </si>
  <si>
    <t xml:space="preserve">Aportar documentos falsos o adulterados es causal de exclusión, aplicable en cualquier etapa del proceso en que se compruebe.</t>
  </si>
  <si>
    <t xml:space="preserve">a) usa el verbo de la VRM para una conducta sancionable; c) limita el efecto a una etapa final cuando la causal opera en cualquier momento.</t>
  </si>
  <si>
    <t xml:space="preserve">Acuerdo CNSC N° 36 de 2026, art. 7</t>
  </si>
  <si>
    <t xml:space="preserve">F0126</t>
  </si>
  <si>
    <t xml:space="preserve">Cuando un empleo ofertado en ascenso no registra inscritos, la CNSC debe:</t>
  </si>
  <si>
    <t xml:space="preserve">Excluirlo de la OPEC</t>
  </si>
  <si>
    <t xml:space="preserve">Declararlo desierto y trasladar la vacante al proceso en la modalidad abierto</t>
  </si>
  <si>
    <t xml:space="preserve">Inadmitirlo</t>
  </si>
  <si>
    <t xml:space="preserve">Las vacantes de ascenso sin inscritos se declaran desiertas y se proveen mediante el mismo proceso en la modalidad abierto.</t>
  </si>
  <si>
    <t xml:space="preserve">a) y c) aplican a aspirantes, no a vacantes: el verbo cambia según recaiga sobre la persona o sobre el empleo.</t>
  </si>
  <si>
    <t xml:space="preserve">Ley 1960 de 2019, art. 2; Acuerdo CNSC N° 36 de 2026, art. 3</t>
  </si>
  <si>
    <t xml:space="preserve">F0127</t>
  </si>
  <si>
    <t xml:space="preserve">C043</t>
  </si>
  <si>
    <t xml:space="preserve">Caso 043</t>
  </si>
  <si>
    <t xml:space="preserve">La oficina de calidad prepara un comunicado sobre el nuevo servicio y debe elegir entre habilitar, acreditar, certificar y autorizar.</t>
  </si>
  <si>
    <t xml:space="preserve">Frente al cumplimiento de las condiciones mínimas obligatorias para prestar el servicio, el hospital debe:</t>
  </si>
  <si>
    <t xml:space="preserve">Habilitar el servicio, previa autoevaluación y declaración en el REPS</t>
  </si>
  <si>
    <t xml:space="preserve">Acreditar el servicio ante la entidad acreditadora</t>
  </si>
  <si>
    <t xml:space="preserve">Certificar el servicio ante la Superintendencia Nacional de Salud</t>
  </si>
  <si>
    <t xml:space="preserve">Las condiciones mínimas obligatorias se cumplen mediante la habilitación, que se soporta en la autoevaluación y declaración del prestador en el REPS.</t>
  </si>
  <si>
    <t xml:space="preserve">b) corresponde al proceso voluntario de altos estándares; c) usa un verbo que no describe el trámite ante la autoridad de inspección y vigilancia.</t>
  </si>
  <si>
    <t xml:space="preserve">F0128</t>
  </si>
  <si>
    <t xml:space="preserve">Si el hospital quiere reconocimiento por superioridad en calidad, debe:</t>
  </si>
  <si>
    <t xml:space="preserve">Habilitarse nuevamente</t>
  </si>
  <si>
    <t xml:space="preserve">Acreditarse, mediante un proceso voluntario ante la entidad acreditadora</t>
  </si>
  <si>
    <t xml:space="preserve">Inscribirse en el REPS</t>
  </si>
  <si>
    <t xml:space="preserve">La acreditación es un proceso voluntario y periódico dirigido a demostrar el cumplimiento de estándares superiores de calidad.</t>
  </si>
  <si>
    <t xml:space="preserve">a) repite un trámite obligatorio ya cumplido; c) describe el registro del prestador, previo y distinto.</t>
  </si>
  <si>
    <t xml:space="preserve">F0129</t>
  </si>
  <si>
    <t xml:space="preserve">Cuando cambia la capacidad instalada declarada, el verbo que describe la obligación del prestador es:</t>
  </si>
  <si>
    <t xml:space="preserve">Solicitar autorización a la entidad territorial</t>
  </si>
  <si>
    <t xml:space="preserve">Reportar la novedad en el REPS dentro de los términos previstos</t>
  </si>
  <si>
    <t xml:space="preserve">Certificar el cambio ante la EPS contratante</t>
  </si>
  <si>
    <t xml:space="preserve">Las modificaciones de la información declarada se reportan como novedad en el REPS; no dependen de una autorización previa.</t>
  </si>
  <si>
    <t xml:space="preserve">a) supone un permiso que la norma no exige; c) dirige la actuación a un actor contractual y no al registro público.</t>
  </si>
  <si>
    <t xml:space="preserve">F0130</t>
  </si>
  <si>
    <t xml:space="preserve">C044</t>
  </si>
  <si>
    <t xml:space="preserve">Caso 044</t>
  </si>
  <si>
    <t xml:space="preserve">En la oficina de referencia, un profesional debe describir con precisión tres actuaciones distintas del mismo paciente.</t>
  </si>
  <si>
    <t xml:space="preserve">El envío del paciente a una institución de mayor capacidad resolutiva se denomina:</t>
  </si>
  <si>
    <t xml:space="preserve">Referir</t>
  </si>
  <si>
    <t xml:space="preserve">Contrarreferir</t>
  </si>
  <si>
    <t xml:space="preserve">Trasladar</t>
  </si>
  <si>
    <t xml:space="preserve">Referir es enviar al usuario o elementos de ayuda diagnóstica a otro prestador con mayor capacidad resolutiva.</t>
  </si>
  <si>
    <t xml:space="preserve">b) nombra la respuesta del receptor al remitente; c) describe el movimiento físico del paciente, que es un medio y no la actuación técnica.</t>
  </si>
  <si>
    <t xml:space="preserve">F0131</t>
  </si>
  <si>
    <t xml:space="preserve">La respuesta del hospital universitario al hospital de origen, con hallazgos y recomendaciones de seguimiento, se denomina:</t>
  </si>
  <si>
    <t xml:space="preserve">Dar de alta</t>
  </si>
  <si>
    <t xml:space="preserve">La contrarreferencia es la respuesta del prestador receptor al remitente, con la información necesaria para la continuidad del cuidado.</t>
  </si>
  <si>
    <t xml:space="preserve">a) invierte el sentido del flujo; c) describe el egreso del paciente, que no implica informar al prestador de origen.</t>
  </si>
  <si>
    <t xml:space="preserve">F0132</t>
  </si>
  <si>
    <t xml:space="preserve">El movimiento del paciente en ambulancia medicalizada entre las dos instituciones se denomina:</t>
  </si>
  <si>
    <t xml:space="preserve">Trasladar, en la modalidad de transporte asistencial que corresponda al estado clínico</t>
  </si>
  <si>
    <t xml:space="preserve">Remitir el resumen de historia clínica</t>
  </si>
  <si>
    <t xml:space="preserve">El traslado es el desplazamiento físico del paciente y debe realizarse en la modalidad de transporte asistencial acorde con su condición.</t>
  </si>
  <si>
    <t xml:space="preserve">a) nombra un flujo de información en sentido contrario; c) describe el envío de un documento, no del paciente.</t>
  </si>
  <si>
    <t xml:space="preserve">F0133</t>
  </si>
  <si>
    <t xml:space="preserve">C045</t>
  </si>
  <si>
    <t xml:space="preserve">Caso 045</t>
  </si>
  <si>
    <t xml:space="preserve">Un técnico del área asistencial debe usar el verbo correcto para tres obligaciones de información distintas.</t>
  </si>
  <si>
    <t xml:space="preserve">Un caso probable de evento de interés en salud pública se debe:</t>
  </si>
  <si>
    <t xml:space="preserve">Notificar al sistema de vigilancia en salud pública, conforme al protocolo</t>
  </si>
  <si>
    <t xml:space="preserve">Reportar a tecnovigilancia</t>
  </si>
  <si>
    <t xml:space="preserve">Comunicar a la EPS del usuario</t>
  </si>
  <si>
    <t xml:space="preserve">Los eventos de interés en salud pública se notifican al Sivigila dentro de los términos del protocolo correspondiente.</t>
  </si>
  <si>
    <t xml:space="preserve">b) corresponde a dispositivos médicos; c) describe una gestión administrativa que no sustituye la notificación obligatoria.</t>
  </si>
  <si>
    <t xml:space="preserve">Decreto 780 de 2016; protocolos del INS</t>
  </si>
  <si>
    <t xml:space="preserve">F0134</t>
  </si>
  <si>
    <t xml:space="preserve">Un incidente adverso asociado a un dispositivo médico se debe:</t>
  </si>
  <si>
    <t xml:space="preserve">Notificar al Sivigila</t>
  </si>
  <si>
    <t xml:space="preserve">Reportar al programa de tecnovigilancia y al Invima cuando corresponda</t>
  </si>
  <si>
    <t xml:space="preserve">Registrar solo en la historia clínica</t>
  </si>
  <si>
    <t xml:space="preserve">Los eventos e incidentes adversos asociados a dispositivos médicos se reportan al programa de tecnovigilancia.</t>
  </si>
  <si>
    <t xml:space="preserve">a) usa el canal de los eventos de salud pública; c) deja el hecho sin reporte al sistema de vigilancia sanitaria.</t>
  </si>
  <si>
    <t xml:space="preserve">F0135</t>
  </si>
  <si>
    <t xml:space="preserve">El hallazgo clínico relevante para la continuidad del cuidado del paciente se debe:</t>
  </si>
  <si>
    <t xml:space="preserve">Registrar en la historia clínica e informar al paciente y al equipo tratante</t>
  </si>
  <si>
    <t xml:space="preserve">Notificar a la Superintendencia Nacional de Salud</t>
  </si>
  <si>
    <t xml:space="preserve">Publicar en la cartelera del servicio</t>
  </si>
  <si>
    <t xml:space="preserve">La información clínica se registra en la historia clínica y se informa al paciente y al equipo tratante.</t>
  </si>
  <si>
    <t xml:space="preserve">b) activa un canal de inspección y vigilancia sin fundamento; c) vulnera la reserva de la información de salud.</t>
  </si>
  <si>
    <t xml:space="preserve">Resolución 1995 de 1999; Ley 1751 de 2015, art. 10</t>
  </si>
  <si>
    <t xml:space="preserve">F0136</t>
  </si>
  <si>
    <t xml:space="preserve">C046</t>
  </si>
  <si>
    <t xml:space="preserve">Caso 046</t>
  </si>
  <si>
    <t xml:space="preserve">Al preparar la defensa de un proceso, el abogado debe distinguir entre caducidad y prescripción.</t>
  </si>
  <si>
    <t xml:space="preserve">El término de cuatro (4) meses para demandar la nulidad y el restablecimiento del derecho corresponde a:</t>
  </si>
  <si>
    <t xml:space="preserve">La caducidad del medio de control</t>
  </si>
  <si>
    <t xml:space="preserve">La prescripción de la acción</t>
  </si>
  <si>
    <t xml:space="preserve">La preclusión de la etapa</t>
  </si>
  <si>
    <t xml:space="preserve">El artículo 164 del CPACA fija términos de caducidad de los medios de control; el de nulidad y restablecimiento del derecho es de cuatro meses.</t>
  </si>
  <si>
    <t xml:space="preserve">b) usa una figura del derecho sustancial ajena al plazo para acudir a la jurisdicción; c) nombra el agotamiento de una etapa procesal.</t>
  </si>
  <si>
    <t xml:space="preserve">Ley 1437 de 2011, art. 164</t>
  </si>
  <si>
    <t xml:space="preserve">F0137</t>
  </si>
  <si>
    <t xml:space="preserve">Que la autoridad disciplinaria pierda la posibilidad de iniciar la actuación por el paso del tiempo desde la ocurrencia de la falta corresponde a:</t>
  </si>
  <si>
    <t xml:space="preserve">La caducidad de la acción disciplinaria</t>
  </si>
  <si>
    <t xml:space="preserve">La prescripción de la sanción</t>
  </si>
  <si>
    <t xml:space="preserve">La revocatoria del auto de apertura</t>
  </si>
  <si>
    <t xml:space="preserve">La caducidad opera por el transcurso del término legal desde la ocurrencia de la falta sin que se haya iniciado la actuación.</t>
  </si>
  <si>
    <t xml:space="preserve">b) se refiere a la sanción ya impuesta y no ejecutada; c) describe una decisión de la autoridad, no un efecto del tiempo.</t>
  </si>
  <si>
    <t xml:space="preserve">Ley 1952 de 2019, art. 33</t>
  </si>
  <si>
    <t xml:space="preserve">F0138</t>
  </si>
  <si>
    <t xml:space="preserve">La extinción del poder sancionatorio respecto de una actuación ya iniciada, por el transcurso del término legal, corresponde a:</t>
  </si>
  <si>
    <t xml:space="preserve">La prescripción</t>
  </si>
  <si>
    <t xml:space="preserve">La caducidad</t>
  </si>
  <si>
    <t xml:space="preserve">El desistimiento</t>
  </si>
  <si>
    <t xml:space="preserve">La prescripción extingue la acción ya iniciada por el transcurso del término previsto en la ley.</t>
  </si>
  <si>
    <t xml:space="preserve">b) opera antes del inicio de la actuación; c) supone una manifestación de voluntad de la parte.</t>
  </si>
  <si>
    <t xml:space="preserve">F0139</t>
  </si>
  <si>
    <t xml:space="preserve">C047</t>
  </si>
  <si>
    <t xml:space="preserve">Caso 047</t>
  </si>
  <si>
    <t xml:space="preserve">Al citar normas en un concepto jurídico, la asesora debe usar correctamente los verbos de la técnica normativa.</t>
  </si>
  <si>
    <t xml:space="preserve">El Congreso aprueba una ley y el Presidente la firma. El verbo que describe la actuación presidencial es:</t>
  </si>
  <si>
    <t xml:space="preserve">Sancionar la ley</t>
  </si>
  <si>
    <t xml:space="preserve">Expedir la ley</t>
  </si>
  <si>
    <t xml:space="preserve">Promulgar la ley</t>
  </si>
  <si>
    <t xml:space="preserve">La sanción presidencial es el acto por el cual el Presidente aprueba y firma el proyecto de ley; la promulgación es su publicación oficial posterior.</t>
  </si>
  <si>
    <t xml:space="preserve">b) corresponde al Congreso, que expide las leyes; c) nombra la publicación, que es un momento distinto y posterior.</t>
  </si>
  <si>
    <t xml:space="preserve">C.P. arts. 157 y 165</t>
  </si>
  <si>
    <t xml:space="preserve">F0140</t>
  </si>
  <si>
    <t xml:space="preserve">La CNSC produce el acuerdo de convocatoria. El verbo correcto es:</t>
  </si>
  <si>
    <t xml:space="preserve">Expedir el acuerdo</t>
  </si>
  <si>
    <t xml:space="preserve">Promulgar el acuerdo</t>
  </si>
  <si>
    <t xml:space="preserve">Sancionar el acuerdo</t>
  </si>
  <si>
    <t xml:space="preserve">Las autoridades administrativas expiden los actos administrativos que son de su competencia.</t>
  </si>
  <si>
    <t xml:space="preserve">b) se reserva a la publicación oficial de las leyes; c) describe una actuación presidencial en el trámite legislativo.</t>
  </si>
  <si>
    <t xml:space="preserve">Ley 909 de 2004, art. 11; Ley 1437 de 2011</t>
  </si>
  <si>
    <t xml:space="preserve">F0141</t>
  </si>
  <si>
    <t xml:space="preserve">El juez produce la providencia que decide el caso. El verbo correcto es:</t>
  </si>
  <si>
    <t xml:space="preserve">Proferir la sentencia</t>
  </si>
  <si>
    <t xml:space="preserve">Expedir la sentencia</t>
  </si>
  <si>
    <t xml:space="preserve">Adoptar la sentencia</t>
  </si>
  <si>
    <t xml:space="preserve">Las decisiones judiciales se profieren; expedir se reserva a los actos administrativos y adoptar a instrumentos de gestión.</t>
  </si>
  <si>
    <t xml:space="preserve">b) y c) usan verbos correctos en el ámbito administrativo pero impropios de la función judicial.</t>
  </si>
  <si>
    <t xml:space="preserve">Ley 1437 de 2011; Código General del Proceso</t>
  </si>
  <si>
    <t xml:space="preserve">F0142</t>
  </si>
  <si>
    <t xml:space="preserve">C048</t>
  </si>
  <si>
    <t xml:space="preserve">Caso 048</t>
  </si>
  <si>
    <t xml:space="preserve">Una resolución que servía de fundamento a un acto administrativo del hospital fue declarada nula. El acto no ha sido ejecutado.</t>
  </si>
  <si>
    <t xml:space="preserve">El efecto sobre el acto administrativo del hospital se denomina:</t>
  </si>
  <si>
    <t xml:space="preserve">Pérdida de fuerza ejecutoria por decaimiento, al desaparecer su fundamento de derecho</t>
  </si>
  <si>
    <t xml:space="preserve">Revocatoria directa</t>
  </si>
  <si>
    <t xml:space="preserve">Nulidad automática</t>
  </si>
  <si>
    <t xml:space="preserve">El artículo 91 del CPACA prevé que el acto pierde fuerza ejecutoria, entre otras causales, cuando desaparecen sus fundamentos de hecho o de derecho.</t>
  </si>
  <si>
    <t xml:space="preserve">b) exige una decisión de la propia administración que aquí no se ha producido; c) supone una declaración judicial sobre ese acto, que no existe.</t>
  </si>
  <si>
    <t xml:space="preserve">Ley 1437 de 2011, art. 91</t>
  </si>
  <si>
    <t xml:space="preserve">F0143</t>
  </si>
  <si>
    <t xml:space="preserve">Si una resolución posterior de igual jerarquía deja sin efectos hacia el futuro a otra, el verbo correcto es:</t>
  </si>
  <si>
    <t xml:space="preserve">Derogar</t>
  </si>
  <si>
    <t xml:space="preserve">Anular</t>
  </si>
  <si>
    <t xml:space="preserve">Revocar</t>
  </si>
  <si>
    <t xml:space="preserve">La derogación es la pérdida de vigencia de una norma por otra de igual o superior jerarquía y opera hacia el futuro.</t>
  </si>
  <si>
    <t xml:space="preserve">b) corresponde al juez y recae sobre la validez; c) se predica de actos administrativos, no de normas generales.</t>
  </si>
  <si>
    <t xml:space="preserve">F0144</t>
  </si>
  <si>
    <t xml:space="preserve">Cuando una norma nueva reemplaza íntegramente el texto de la anterior, el verbo preciso es:</t>
  </si>
  <si>
    <t xml:space="preserve">Modificar</t>
  </si>
  <si>
    <t xml:space="preserve">Subrogar</t>
  </si>
  <si>
    <t xml:space="preserve">Adicionar</t>
  </si>
  <si>
    <t xml:space="preserve">La subrogación sustituye integralmente la disposición anterior por una nueva.</t>
  </si>
  <si>
    <t xml:space="preserve">a) implica cambiar solo una parte del texto; c) implica agregar contenido sin sustituir el existente.</t>
  </si>
  <si>
    <t xml:space="preserve">F0145</t>
  </si>
  <si>
    <t xml:space="preserve">C049</t>
  </si>
  <si>
    <t xml:space="preserve">Caso 049</t>
  </si>
  <si>
    <t xml:space="preserve">La secretaría de la junta directiva prepara documentos para una sesión y para una diligencia administrativa.</t>
  </si>
  <si>
    <t xml:space="preserve">Para reunir a los miembros de la junta directiva en sesión ordinaria, el verbo correcto es:</t>
  </si>
  <si>
    <t xml:space="preserve">Convocar a los miembros de la junta</t>
  </si>
  <si>
    <t xml:space="preserve">Citar a los miembros de la junta</t>
  </si>
  <si>
    <t xml:space="preserve">Emplazar a los miembros de la junta</t>
  </si>
  <si>
    <t xml:space="preserve">La convocatoria llama a un cuerpo colegiado o a un grupo de destinatarios a una sesión o a un proceso.</t>
  </si>
  <si>
    <t xml:space="preserve">b) se usa para llamar a una persona determinada a una diligencia concreta; c) es un llamado público a quien se desconoce o no comparece.</t>
  </si>
  <si>
    <t xml:space="preserve">Decreto 1876 de 1994; Ley 1437 de 2011</t>
  </si>
  <si>
    <t xml:space="preserve">F0146</t>
  </si>
  <si>
    <t xml:space="preserve">Para llamar a un servidor a rendir versión libre en una actuación disciplinaria, el verbo correcto es:</t>
  </si>
  <si>
    <t xml:space="preserve">Convocarlo</t>
  </si>
  <si>
    <t xml:space="preserve">Citarlo a la diligencia</t>
  </si>
  <si>
    <t xml:space="preserve">Emplazarlo</t>
  </si>
  <si>
    <t xml:space="preserve">La citación se dirige a persona determinada para que comparezca a una actuación concreta.</t>
  </si>
  <si>
    <t xml:space="preserve">a) se usa para colegiados o convocatorias generales; c) procede cuando no se logra la comparecencia o se desconoce el paradero.</t>
  </si>
  <si>
    <t xml:space="preserve">Ley 1952 de 2019; Ley 1437 de 2011, art. 68</t>
  </si>
  <si>
    <t xml:space="preserve">F0147</t>
  </si>
  <si>
    <t xml:space="preserve">Para exigir a un peticionario que complete la información faltante de su solicitud, el verbo correcto es:</t>
  </si>
  <si>
    <t xml:space="preserve">Requerirlo, con la consecuencia del desistimiento tácito si no responde</t>
  </si>
  <si>
    <t xml:space="preserve">Notificarlo</t>
  </si>
  <si>
    <t xml:space="preserve">El artículo 17 del CPACA ordena requerir al interesado para completar la petición, con desistimiento tácito si no atiende el requerimiento.</t>
  </si>
  <si>
    <t xml:space="preserve">b) es un llamado público impropio de este trámite; c) nombra el acto de dar a conocer una decisión, no de pedir información.</t>
  </si>
  <si>
    <t xml:space="preserve">F0148</t>
  </si>
  <si>
    <t xml:space="preserve">C050</t>
  </si>
  <si>
    <t xml:space="preserve">Caso 050</t>
  </si>
  <si>
    <t xml:space="preserve">La E.S.E. tramita su programa de saneamiento fiscal y financiero y el equipo discute qué hace cada actor.</t>
  </si>
  <si>
    <t xml:space="preserve">La junta directiva de la E.S.E. frente al programa debe:</t>
  </si>
  <si>
    <t xml:space="preserve">Adoptarlo mediante acuerdo</t>
  </si>
  <si>
    <t xml:space="preserve">Viabilizarlo</t>
  </si>
  <si>
    <t xml:space="preserve">Autorizarlo con efectos vinculantes para el Ministerio</t>
  </si>
  <si>
    <t xml:space="preserve">La junta directiva adopta el programa de saneamiento fiscal y financiero de la entidad.</t>
  </si>
  <si>
    <t xml:space="preserve">b) corresponde al Ministerio de Hacienda; c) atribuye a la junta un efecto sobre el nivel nacional que no tiene.</t>
  </si>
  <si>
    <t xml:space="preserve">F0149</t>
  </si>
  <si>
    <t xml:space="preserve">El Ministerio de Hacienda y Crédito Público frente al mismo programa debe:</t>
  </si>
  <si>
    <t xml:space="preserve">Adoptarlo</t>
  </si>
  <si>
    <t xml:space="preserve">Viabilizarlo y hacer seguimiento a su cumplimiento</t>
  </si>
  <si>
    <t xml:space="preserve">Sancionarlo</t>
  </si>
  <si>
    <t xml:space="preserve">La viabilización del programa y el seguimiento a su cumplimiento corresponden al Ministerio de Hacienda y Crédito Público.</t>
  </si>
  <si>
    <t xml:space="preserve">a) corresponde a la junta directiva de la E.S.E.; c) usa un verbo del trámite legislativo o del régimen sancionatorio.</t>
  </si>
  <si>
    <t xml:space="preserve">Ley 1608 de 2013</t>
  </si>
  <si>
    <t xml:space="preserve">F0150</t>
  </si>
  <si>
    <t xml:space="preserve">La Superintendencia Nacional de Salud, frente al incumplimiento del programa, puede:</t>
  </si>
  <si>
    <t xml:space="preserve">Derogar el acuerdo de junta directiva</t>
  </si>
  <si>
    <t xml:space="preserve">Adoptar las medidas especiales previstas en la ley</t>
  </si>
  <si>
    <t xml:space="preserve">Revocar la habilitación del servicio</t>
  </si>
  <si>
    <t xml:space="preserve">Ante el incumplimiento, la Superintendencia puede adoptar las medidas especiales previstas en la normativa de inspección, vigilancia y control.</t>
  </si>
  <si>
    <t xml:space="preserve">a) usa un verbo normativo sobre un acto de otra entidad; c) confunde la habilitación, que depende de la entidad territorial y del cumplimiento de estándares.</t>
  </si>
  <si>
    <t xml:space="preserve">F0151</t>
  </si>
  <si>
    <t xml:space="preserve">C051</t>
  </si>
  <si>
    <t xml:space="preserve">Caso 051</t>
  </si>
  <si>
    <t xml:space="preserve">El gerente quiere que un subgerente firme determinados actos y, además, que un funcionario asuma temporalmente un empleo vacante.</t>
  </si>
  <si>
    <t xml:space="preserve">Para que el subgerente ejerza en nombre propio funciones del gerente, corresponde:</t>
  </si>
  <si>
    <t xml:space="preserve">Delegar mediante acto administrativo, con indicación de las funciones y del delegatario</t>
  </si>
  <si>
    <t xml:space="preserve">Desconcentrar las funciones</t>
  </si>
  <si>
    <t xml:space="preserve">Encargar al subgerente</t>
  </si>
  <si>
    <t xml:space="preserve">La delegación transfiere el ejercicio de funciones a un servidor del nivel directivo mediante acto administrativo que precisa las funciones y el delegatario.</t>
  </si>
  <si>
    <t xml:space="preserve">b) es un traslado de competencias por norma y no por decisión particular; c) describe la provisión temporal de un empleo distinto.</t>
  </si>
  <si>
    <t xml:space="preserve">Ley 489 de 1998, art. 9</t>
  </si>
  <si>
    <t xml:space="preserve">F0152</t>
  </si>
  <si>
    <t xml:space="preserve">Para que un empleado de carrera asuma temporalmente las funciones de un empleo vacante de superior jerarquía, corresponde:</t>
  </si>
  <si>
    <t xml:space="preserve">Delegarle las funciones</t>
  </si>
  <si>
    <t xml:space="preserve">Encargarlo del empleo, conforme a las reglas de provisión transitoria</t>
  </si>
  <si>
    <t xml:space="preserve">Comisionarlo</t>
  </si>
  <si>
    <t xml:space="preserve">El encargo es una forma de provisión transitoria por la cual el empleado asume total o parcialmente las funciones de otro empleo vacante.</t>
  </si>
  <si>
    <t xml:space="preserve">a) recae sobre funciones del delegante sin cambiar la situación administrativa; c) nombra otra situación administrativa con finalidad distinta.</t>
  </si>
  <si>
    <t xml:space="preserve">Ley 909 de 2004, art. 24</t>
  </si>
  <si>
    <t xml:space="preserve">F0153</t>
  </si>
  <si>
    <t xml:space="preserve">Frente a la responsabilidad, la delegación implica que:</t>
  </si>
  <si>
    <t xml:space="preserve">El delegante queda exonerado de toda responsabilidad</t>
  </si>
  <si>
    <t xml:space="preserve">El delegatario responde por sus decisiones, sin que el delegante pierda sus deberes de dirección, orientación e instrucción</t>
  </si>
  <si>
    <t xml:space="preserve">Ambos responden solidariamente en todos los casos</t>
  </si>
  <si>
    <t xml:space="preserve">La delegación traslada la responsabilidad por las decisiones al delegatario, conservando el delegante sus deberes de dirección, orientación, instrucción y seguimiento.</t>
  </si>
  <si>
    <t xml:space="preserve">a) desconoce los deberes que conserva el delegante; c) generaliza una solidaridad que la ley no establece de manera automática.</t>
  </si>
  <si>
    <t xml:space="preserve">Ley 489 de 1998, arts. 10 y 12</t>
  </si>
  <si>
    <t xml:space="preserve">F0154</t>
  </si>
  <si>
    <t xml:space="preserve">C052</t>
  </si>
  <si>
    <t xml:space="preserve">Caso 052</t>
  </si>
  <si>
    <t xml:space="preserve">Un auditor sanitario visita el hospital y debe describir correctamente las medidas que puede adoptar la autoridad.</t>
  </si>
  <si>
    <t xml:space="preserve">La medida que impide temporalmente la prestación de un servicio por riesgo sanitario se denomina:</t>
  </si>
  <si>
    <t xml:space="preserve">Suspender total o parcialmente los trabajos o servicios</t>
  </si>
  <si>
    <t xml:space="preserve">Cancelar la inscripción del prestador</t>
  </si>
  <si>
    <t xml:space="preserve">Revocar la acreditación</t>
  </si>
  <si>
    <t xml:space="preserve">Entre las medidas sanitarias de seguridad está la suspensión total o parcial de trabajos o servicios, de aplicación inmediata y carácter transitorio.</t>
  </si>
  <si>
    <t xml:space="preserve">b) y c) describen decisiones definitivas sobre el registro o sobre un reconocimiento voluntario, no una medida preventiva inmediata.</t>
  </si>
  <si>
    <t xml:space="preserve">Ley 9 de 1979, art. 576</t>
  </si>
  <si>
    <t xml:space="preserve">F0155</t>
  </si>
  <si>
    <t xml:space="preserve">La medida sanitaria de seguridad tiene por naturaleza ser:</t>
  </si>
  <si>
    <t xml:space="preserve">Sancionatoria y definitiva</t>
  </si>
  <si>
    <t xml:space="preserve">Preventiva, de ejecución inmediata y transitoria</t>
  </si>
  <si>
    <t xml:space="preserve">Las medidas sanitarias de seguridad son preventivas, de ejecución inmediata, transitorias y se aplican sin perjuicio de las sanciones a que haya lugar.</t>
  </si>
  <si>
    <t xml:space="preserve">a) las confunde con la sanción que puede imponerse tras el procedimiento; c) las atribuye a un órgano que no las adopta.</t>
  </si>
  <si>
    <t xml:space="preserve">F0156</t>
  </si>
  <si>
    <t xml:space="preserve">Terminado el procedimiento administrativo sancionatorio, la autoridad puede:</t>
  </si>
  <si>
    <t xml:space="preserve">Imponer la sanción mediante acto motivado</t>
  </si>
  <si>
    <t xml:space="preserve">Adoptar una medida sanitaria de seguridad como sanción</t>
  </si>
  <si>
    <t xml:space="preserve">Suspender el procedimiento</t>
  </si>
  <si>
    <t xml:space="preserve">La sanción se impone mediante acto administrativo motivado al término del procedimiento sancionatorio.</t>
  </si>
  <si>
    <t xml:space="preserve">b) usa como sanción una medida preventiva; c) describe una decisión procesal, no el resultado del procedimiento.</t>
  </si>
  <si>
    <t xml:space="preserve">Ley 1437 de 2011, arts. 47 a 50</t>
  </si>
  <si>
    <t xml:space="preserve">F0157</t>
  </si>
  <si>
    <t xml:space="preserve">C053</t>
  </si>
  <si>
    <t xml:space="preserve">Caso 053</t>
  </si>
  <si>
    <t xml:space="preserve">La oficina de planeación revisa cómo se financia la operación del hospital y cuál es el papel de cada actor del sistema.</t>
  </si>
  <si>
    <t xml:space="preserve">La UPC es:</t>
  </si>
  <si>
    <t xml:space="preserve">El valor anual que reconoce el sistema por cada afiliado para financiar el plan de beneficios</t>
  </si>
  <si>
    <t xml:space="preserve">La tarifa que cobra la IPS por cada atención</t>
  </si>
  <si>
    <t xml:space="preserve">El copago que paga el usuario</t>
  </si>
  <si>
    <t xml:space="preserve">La Unidad de Pago por Capitación es el valor anual reconocido por afiliado para financiar el plan de beneficios.</t>
  </si>
  <si>
    <t xml:space="preserve">b) describe la tarifa contractual del prestador y c) un pago moderador a cargo del usuario.</t>
  </si>
  <si>
    <t xml:space="preserve">Ley 100 de 1993, art. 182</t>
  </si>
  <si>
    <t xml:space="preserve">F0158</t>
  </si>
  <si>
    <t xml:space="preserve">La ADRES cumple la función de:</t>
  </si>
  <si>
    <t xml:space="preserve">Administrar los recursos del sistema general de seguridad social en salud</t>
  </si>
  <si>
    <t xml:space="preserve">Habilitar los servicios de salud</t>
  </si>
  <si>
    <t xml:space="preserve">Vigilar a los prestadores</t>
  </si>
  <si>
    <t xml:space="preserve">La ADRES administra los recursos del sistema y realiza los reconocimientos y giros que le competen.</t>
  </si>
  <si>
    <t xml:space="preserve">b) corresponde a las entidades territoriales y c) a la Superintendencia Nacional de Salud.</t>
  </si>
  <si>
    <t xml:space="preserve">Ley 1753 de 2015, art. 66</t>
  </si>
  <si>
    <t xml:space="preserve">F0159</t>
  </si>
  <si>
    <t xml:space="preserve">La afiliación al sistema es:</t>
  </si>
  <si>
    <t xml:space="preserve">Obligatoria para todos los residentes en Colombia</t>
  </si>
  <si>
    <t xml:space="preserve">Voluntaria para trabajadores independientes</t>
  </si>
  <si>
    <t xml:space="preserve">Optativa si la persona tiene medicina prepagada</t>
  </si>
  <si>
    <t xml:space="preserve">La afiliación al SGSSS es obligatoria para todos los residentes en el país.</t>
  </si>
  <si>
    <t xml:space="preserve">b) y c) crean excepciones que la ley no contempla; la prepagada es complementaria, no sustituye la afiliación.</t>
  </si>
  <si>
    <t xml:space="preserve">Ley 100 de 1993, art. 153</t>
  </si>
  <si>
    <t xml:space="preserve">F0160</t>
  </si>
  <si>
    <t xml:space="preserve">C054</t>
  </si>
  <si>
    <t xml:space="preserve">Caso 054</t>
  </si>
  <si>
    <t xml:space="preserve">El comité financiero analiza la relación contractual entre el hospital y las EPS.</t>
  </si>
  <si>
    <t xml:space="preserve">El acuerdo de voluntades entre EPS e IPS debe contener como mínimo:</t>
  </si>
  <si>
    <t xml:space="preserve">Objeto, población, servicios, tarifas, mecanismos de pago y vigencia</t>
  </si>
  <si>
    <t xml:space="preserve">Solo el valor total del contrato</t>
  </si>
  <si>
    <t xml:space="preserve">Solo las tarifas de los procedimientos</t>
  </si>
  <si>
    <t xml:space="preserve">Los acuerdos de voluntades deben precisar objeto, población, servicios contratados, tarifas, mecanismo de pago y vigencia.</t>
  </si>
  <si>
    <t xml:space="preserve">b) y c) omiten elementos esenciales sin los cuales el acuerdo es indeterminado.</t>
  </si>
  <si>
    <t xml:space="preserve">F0161</t>
  </si>
  <si>
    <t xml:space="preserve">El mecanismo de pago por capitación implica que:</t>
  </si>
  <si>
    <t xml:space="preserve">El prestador recibe un valor fijo por persona y período, asumiendo el riesgo de la demanda</t>
  </si>
  <si>
    <t xml:space="preserve">Se paga cada actividad realizada</t>
  </si>
  <si>
    <t xml:space="preserve">Se paga por caso o conjunto de atenciones</t>
  </si>
  <si>
    <t xml:space="preserve">En la capitación se paga un valor fijo por persona y período, trasladando parte del riesgo al prestador.</t>
  </si>
  <si>
    <t xml:space="preserve">b) describe el pago por evento y c) el pago global prospectivo o por paquete.</t>
  </si>
  <si>
    <t xml:space="preserve">F0162</t>
  </si>
  <si>
    <t xml:space="preserve">La auditoría de cuentas médicas tiene por objeto:</t>
  </si>
  <si>
    <t xml:space="preserve">Verificar la pertinencia, la calidad y el soporte de los servicios facturados</t>
  </si>
  <si>
    <t xml:space="preserve">Fijar las tarifas del contrato</t>
  </si>
  <si>
    <t xml:space="preserve">La auditoría verifica pertinencia, calidad y soportes de lo facturado frente a lo pactado.</t>
  </si>
  <si>
    <t xml:space="preserve">b) es materia de negociación contractual y c) confunde auditoría con registro clínico.</t>
  </si>
  <si>
    <t xml:space="preserve">F0163</t>
  </si>
  <si>
    <t xml:space="preserve">Tecnico</t>
  </si>
  <si>
    <t xml:space="preserve">C055</t>
  </si>
  <si>
    <t xml:space="preserve">Caso 055</t>
  </si>
  <si>
    <t xml:space="preserve">Un técnico de admisiones debe explicar el plan de beneficios y las exclusiones a un usuario.</t>
  </si>
  <si>
    <t xml:space="preserve">El plan de beneficios en salud con cargo a la UPC:</t>
  </si>
  <si>
    <t xml:space="preserve">Cubre lo necesario para la promoción, prevención, diagnóstico, tratamiento y rehabilitación, salvo exclusiones expresas</t>
  </si>
  <si>
    <t xml:space="preserve">Cubre solo urgencias</t>
  </si>
  <si>
    <t xml:space="preserve">Cubre solo lo que autorice la EPS</t>
  </si>
  <si>
    <t xml:space="preserve">El plan de beneficios cubre de manera integral los servicios necesarios, salvo lo expresamente excluido.</t>
  </si>
  <si>
    <t xml:space="preserve">b) y c) reducen la cobertura legal a una franja mínima o a la voluntad del asegurador.</t>
  </si>
  <si>
    <t xml:space="preserve">Ley 1751 de 2015, art. 15; Resolución de PBS vigente</t>
  </si>
  <si>
    <t xml:space="preserve">F0164</t>
  </si>
  <si>
    <t xml:space="preserve">Los servicios no financiados con la UPC:</t>
  </si>
  <si>
    <t xml:space="preserve">Se gestionan por el mecanismo de prescripción vigente (MIPRES) y su financiación tiene reglas propias</t>
  </si>
  <si>
    <t xml:space="preserve">No pueden prestarse</t>
  </si>
  <si>
    <t xml:space="preserve">Los paga siempre el usuario</t>
  </si>
  <si>
    <t xml:space="preserve">Los servicios no financiados con la UPC se prescriben por la herramienta dispuesta para ello y su financiación sigue reglas específicas.</t>
  </si>
  <si>
    <t xml:space="preserve">b) niega el acceso y c) traslada al usuario un costo que la normativa no le asigna.</t>
  </si>
  <si>
    <t xml:space="preserve">Decreto 780 de 2016; Resolución 1885 de 2018</t>
  </si>
  <si>
    <t xml:space="preserve">F0165</t>
  </si>
  <si>
    <t xml:space="preserve">La portabilidad permite al afiliado:</t>
  </si>
  <si>
    <t xml:space="preserve">Recibir atención en un municipio distinto al de afiliación</t>
  </si>
  <si>
    <t xml:space="preserve">Cambiar de EPS cuando quiera sin requisitos</t>
  </si>
  <si>
    <t xml:space="preserve">Elegir el prestador que desee a nivel nacional sin restricción</t>
  </si>
  <si>
    <t xml:space="preserve">La portabilidad garantiza el acceso a los servicios en un municipio distinto al de afiliación.</t>
  </si>
  <si>
    <t xml:space="preserve">b) describe el traslado, con reglas de permanencia; c) excede el derecho de elección dentro de la red.</t>
  </si>
  <si>
    <t xml:space="preserve">F0166</t>
  </si>
  <si>
    <t xml:space="preserve">C056</t>
  </si>
  <si>
    <t xml:space="preserve">Caso 056</t>
  </si>
  <si>
    <t xml:space="preserve">La gerencia evalúa el desempeño de la red pública del departamento.</t>
  </si>
  <si>
    <t xml:space="preserve">La rectoría del sistema de salud en el departamento corresponde a:</t>
  </si>
  <si>
    <t xml:space="preserve">La secretaría departamental de salud, en el marco de sus competencias</t>
  </si>
  <si>
    <t xml:space="preserve">A la EPS con mayor número de afiliados</t>
  </si>
  <si>
    <t xml:space="preserve">Al hospital de mayor complejidad</t>
  </si>
  <si>
    <t xml:space="preserve">La dirección del sector salud en el departamento corresponde a la entidad territorial, conforme a la Ley 715 de 2001.</t>
  </si>
  <si>
    <t xml:space="preserve">b) y c) son actores del sistema sin competencia de rectoría territorial.</t>
  </si>
  <si>
    <t xml:space="preserve">Ley 715 de 2001, art. 43</t>
  </si>
  <si>
    <t xml:space="preserve">F0167</t>
  </si>
  <si>
    <t xml:space="preserve">La inspección, vigilancia y control del sistema corresponde principalmente a:</t>
  </si>
  <si>
    <t xml:space="preserve">La Superintendencia Nacional de Salud</t>
  </si>
  <si>
    <t xml:space="preserve">La Contraloría General</t>
  </si>
  <si>
    <t xml:space="preserve">La Procuraduría General</t>
  </si>
  <si>
    <t xml:space="preserve">La Superintendencia Nacional de Salud ejerce la inspección, vigilancia y control sobre los actores del sistema.</t>
  </si>
  <si>
    <t xml:space="preserve">b) ejerce control fiscal y c) control disciplinario: ninguno reemplaza la vigilancia sectorial.</t>
  </si>
  <si>
    <t xml:space="preserve">Ley 1122 de 2007, art. 35</t>
  </si>
  <si>
    <t xml:space="preserve">F0168</t>
  </si>
  <si>
    <t xml:space="preserve">El hospital de alta complejidad dentro de la red debe:</t>
  </si>
  <si>
    <t xml:space="preserve">Atender lo que corresponde a su nivel y devolver al nivel resolutivo lo que no lo requiere</t>
  </si>
  <si>
    <t xml:space="preserve">Atender toda consulta que llegue, sea cual sea su complejidad</t>
  </si>
  <si>
    <t xml:space="preserve">Rechazar toda remisión de primer nivel</t>
  </si>
  <si>
    <t xml:space="preserve">La organización en red implica resolver en el nivel que corresponde y contrarreferir lo que puede atenderse en menor complejidad.</t>
  </si>
  <si>
    <t xml:space="preserve">b) satura la alta complejidad y c) desconoce la obligación de recibir lo pertinente.</t>
  </si>
  <si>
    <t xml:space="preserve">F0169</t>
  </si>
  <si>
    <t xml:space="preserve">C057</t>
  </si>
  <si>
    <t xml:space="preserve">Caso 057</t>
  </si>
  <si>
    <t xml:space="preserve">El área de facturación recibe una cuenta devuelta por la EPS.</t>
  </si>
  <si>
    <t xml:space="preserve">La devolución de una factura procede cuando:</t>
  </si>
  <si>
    <t xml:space="preserve">Existe una causal que impide tenerla como presentada, como falta de soportes esenciales</t>
  </si>
  <si>
    <t xml:space="preserve">La EPS considera alto el valor</t>
  </si>
  <si>
    <t xml:space="preserve">El prestador no acepta la tarifa</t>
  </si>
  <si>
    <t xml:space="preserve">La devolución opera por causales que impiden tener la factura como presentada, distintas de la glosa.</t>
  </si>
  <si>
    <t xml:space="preserve">b) y c) describen desacuerdos económicos que se tramitan por glosa o conciliación.</t>
  </si>
  <si>
    <t xml:space="preserve">Resolución 3047 de 2008 y modificatorias</t>
  </si>
  <si>
    <t xml:space="preserve">F0170</t>
  </si>
  <si>
    <t xml:space="preserve">La diferencia entre glosa y devolución es que:</t>
  </si>
  <si>
    <t xml:space="preserve">La glosa objeta parcial o totalmente el contenido de la factura; la devolución impide tenerla por presentada</t>
  </si>
  <si>
    <t xml:space="preserve">Son sinónimos</t>
  </si>
  <si>
    <t xml:space="preserve">La glosa la formula el prestador</t>
  </si>
  <si>
    <t xml:space="preserve">La glosa es una objeción al contenido facturado; la devolución es una no recepción por causal formal.</t>
  </si>
  <si>
    <t xml:space="preserve">b) iguala figuras con efectos distintos y c) invierte quién la formula.</t>
  </si>
  <si>
    <t xml:space="preserve">F0171</t>
  </si>
  <si>
    <t xml:space="preserve">El soporte mínimo de una factura de hospitalización incluye:</t>
  </si>
  <si>
    <t xml:space="preserve">Resumen de atención o epicrisis y los soportes exigidos por la norma</t>
  </si>
  <si>
    <t xml:space="preserve">Solo la orden médica</t>
  </si>
  <si>
    <t xml:space="preserve">Solo el registro de ingreso</t>
  </si>
  <si>
    <t xml:space="preserve">La normativa define los soportes por tipo de servicio, incluyendo el resumen de atención en hospitalización.</t>
  </si>
  <si>
    <t xml:space="preserve">b) y c) aportan piezas parciales que no acreditan la atención facturada.</t>
  </si>
  <si>
    <t xml:space="preserve">F0172</t>
  </si>
  <si>
    <t xml:space="preserve">C058</t>
  </si>
  <si>
    <t xml:space="preserve">Caso 058</t>
  </si>
  <si>
    <t xml:space="preserve">El hospital revisa su rol frente a la salud pública del Huila.</t>
  </si>
  <si>
    <t xml:space="preserve">El Plan Decenal de Salud Pública es:</t>
  </si>
  <si>
    <t xml:space="preserve">El marco nacional de política pública en salud con metas de mediano plazo</t>
  </si>
  <si>
    <t xml:space="preserve">Un plan interno de cada IPS</t>
  </si>
  <si>
    <t xml:space="preserve">Un contrato con las EPS</t>
  </si>
  <si>
    <t xml:space="preserve">El Plan Decenal de Salud Pública define el marco de política y las metas sanitarias del país.</t>
  </si>
  <si>
    <t xml:space="preserve">b) y c) confunden un instrumento de política nacional con documentos institucionales o contractuales.</t>
  </si>
  <si>
    <t xml:space="preserve">Ley 1438 de 2011, art. 6</t>
  </si>
  <si>
    <t xml:space="preserve">F0173</t>
  </si>
  <si>
    <t xml:space="preserve">Las acciones de promoción y prevención en la E.S.E.:</t>
  </si>
  <si>
    <t xml:space="preserve">Hacen parte de su objeto y se articulan con la entidad territorial y las EPS</t>
  </si>
  <si>
    <t xml:space="preserve">Son ajenas al hospital de alta complejidad</t>
  </si>
  <si>
    <t xml:space="preserve">Solo se hacen si sobran recursos</t>
  </si>
  <si>
    <t xml:space="preserve">La promoción y la prevención hacen parte del objeto de las E.S.E. y se articulan con los demás actores.</t>
  </si>
  <si>
    <t xml:space="preserve">b) excluye una función legal y c) la condiciona a la disponibilidad presupuestal.</t>
  </si>
  <si>
    <t xml:space="preserve">Ley 100 de 1993, art. 194</t>
  </si>
  <si>
    <t xml:space="preserve">F0174</t>
  </si>
  <si>
    <t xml:space="preserve">La notificación de un evento de interés en salud pública es:</t>
  </si>
  <si>
    <t xml:space="preserve">Obligatoria para todo prestador, en los términos del protocolo</t>
  </si>
  <si>
    <t xml:space="preserve">Voluntaria</t>
  </si>
  <si>
    <t xml:space="preserve">Exclusiva de los laboratorios</t>
  </si>
  <si>
    <t xml:space="preserve">Todos los prestadores son unidades primarias generadoras de datos y deben notificar los eventos de interés en salud pública.</t>
  </si>
  <si>
    <t xml:space="preserve">b) y c) desconocen el carácter obligatorio y general de la vigilancia.</t>
  </si>
  <si>
    <t xml:space="preserve">Decreto 780 de 2016; Decreto 3518 de 2006</t>
  </si>
  <si>
    <t xml:space="preserve">F0175</t>
  </si>
  <si>
    <t xml:space="preserve">C059</t>
  </si>
  <si>
    <t xml:space="preserve">Caso 059</t>
  </si>
  <si>
    <t xml:space="preserve">Un paciente con enfermedad huérfana reclama continuidad en su tratamiento.</t>
  </si>
  <si>
    <t xml:space="preserve">La continuidad como garantía del derecho implica que:</t>
  </si>
  <si>
    <t xml:space="preserve">Iniciado un tratamiento no puede interrumpirse por razones administrativas o económicas</t>
  </si>
  <si>
    <t xml:space="preserve">Puede suspenderse mientras se renueva el contrato con la EPS</t>
  </si>
  <si>
    <t xml:space="preserve">Depende de la disponibilidad de la IPS</t>
  </si>
  <si>
    <t xml:space="preserve">La Ley Estatutaria garantiza la continuidad: iniciada la atención no puede interrumpirse por razones administrativas o económicas.</t>
  </si>
  <si>
    <t xml:space="preserve">b) y c) reintroducen barreras que la norma proscribe.</t>
  </si>
  <si>
    <t xml:space="preserve">Ley 1751 de 2015, art. 6 literal d</t>
  </si>
  <si>
    <t xml:space="preserve">F0176</t>
  </si>
  <si>
    <t xml:space="preserve">Las personas con enfermedades huérfanas son:</t>
  </si>
  <si>
    <t xml:space="preserve">Sujetos de especial protección con atención preferente</t>
  </si>
  <si>
    <t xml:space="preserve">Usuarios con las mismas reglas generales</t>
  </si>
  <si>
    <t xml:space="preserve">Beneficiarios solo si cotizan</t>
  </si>
  <si>
    <t xml:space="preserve">La ley reconoce a las personas con enfermedades huérfanas como sujetos de especial protección.</t>
  </si>
  <si>
    <t xml:space="preserve">b) y c) desconocen la protección reforzada y la universalidad del derecho.</t>
  </si>
  <si>
    <t xml:space="preserve">F0177</t>
  </si>
  <si>
    <t xml:space="preserve">La integralidad significa que:</t>
  </si>
  <si>
    <t xml:space="preserve">Los servicios se prestan de manera completa para prevenir, paliar o curar, sin fragmentar la atención</t>
  </si>
  <si>
    <t xml:space="preserve">Se presta solo lo prescrito en la primera consulta</t>
  </si>
  <si>
    <t xml:space="preserve">Se atiende solo la patología principal</t>
  </si>
  <si>
    <t xml:space="preserve">La integralidad obliga a prestar la atención de forma completa, sin fragmentarla.</t>
  </si>
  <si>
    <t xml:space="preserve">b) y c) fragmentan la atención en contra del principio.</t>
  </si>
  <si>
    <t xml:space="preserve">Ley 1751 de 2015, art. 8</t>
  </si>
  <si>
    <t xml:space="preserve">F0178</t>
  </si>
  <si>
    <t xml:space="preserve">C060</t>
  </si>
  <si>
    <t xml:space="preserve">Caso 060</t>
  </si>
  <si>
    <t xml:space="preserve">El hospital recibe una tutela por un servicio negado y el juez ordena la atención.</t>
  </si>
  <si>
    <t xml:space="preserve">El fallo de tutela que ordena un servicio:</t>
  </si>
  <si>
    <t xml:space="preserve">Es de cumplimiento inmediato y su desacato acarrea sanciones</t>
  </si>
  <si>
    <t xml:space="preserve">Puede cumplirse cuando haya disponibilidad</t>
  </si>
  <si>
    <t xml:space="preserve">Solo obliga a la EPS</t>
  </si>
  <si>
    <t xml:space="preserve">La orden de tutela es de cumplimiento inmediato y su incumplimiento da lugar a incidente de desacato.</t>
  </si>
  <si>
    <t xml:space="preserve">b) condiciona el cumplimiento y c) desconoce que la orden puede vincular al prestador.</t>
  </si>
  <si>
    <t xml:space="preserve">Decreto 2591 de 1991, arts. 27 y 52</t>
  </si>
  <si>
    <t xml:space="preserve">F0179</t>
  </si>
  <si>
    <t xml:space="preserve">Frente al derecho fundamental, la tutela procede:</t>
  </si>
  <si>
    <t xml:space="preserve">Cuando se vulnera o amenaza el derecho, sin necesidad de agotar otra vía idónea previa cuando hay riesgo</t>
  </si>
  <si>
    <t xml:space="preserve">Solo después de dos años de trámite administrativo</t>
  </si>
  <si>
    <t xml:space="preserve">Solo para afiliados al régimen contributivo</t>
  </si>
  <si>
    <t xml:space="preserve">La tutela protege el derecho fundamental frente a su vulneración o amenaza, con el criterio de idoneidad del otro medio.</t>
  </si>
  <si>
    <t xml:space="preserve">b) y c) inventan requisitos de procedibilidad inexistentes.</t>
  </si>
  <si>
    <t xml:space="preserve">C.P. art. 86; Ley 1751 de 2015</t>
  </si>
  <si>
    <t xml:space="preserve">F0180</t>
  </si>
  <si>
    <t xml:space="preserve">La atención de la población migrante irregular en urgencias:</t>
  </si>
  <si>
    <t xml:space="preserve">Debe prestarse, pues la atención inicial de urgencias no admite distinción</t>
  </si>
  <si>
    <t xml:space="preserve">Se niega por falta de afiliación</t>
  </si>
  <si>
    <t xml:space="preserve">Requiere autorización del consulado</t>
  </si>
  <si>
    <t xml:space="preserve">La atención inicial de urgencias debe prestarse a toda persona, sin distinción por su situación de aseguramiento o migratoria.</t>
  </si>
  <si>
    <t xml:space="preserve">b) y c) condicionan una atención que la ley define como incondicionada.</t>
  </si>
  <si>
    <t xml:space="preserve">F0181</t>
  </si>
  <si>
    <t xml:space="preserve">C061</t>
  </si>
  <si>
    <t xml:space="preserve">Caso 061</t>
  </si>
  <si>
    <t xml:space="preserve">Una usuaria pregunta qué puede reclamar si la EPS demora una autorización.</t>
  </si>
  <si>
    <t xml:space="preserve">El primer canal institucional es:</t>
  </si>
  <si>
    <t xml:space="preserve">Presentar la solicitud ante la EPS y ante el SIAU del prestador, con derecho de petición</t>
  </si>
  <si>
    <t xml:space="preserve">Acudir directamente a la Corte Constitucional</t>
  </si>
  <si>
    <t xml:space="preserve">Esperar la próxima cita</t>
  </si>
  <si>
    <t xml:space="preserve">El usuario puede presentar su petición ante la entidad responsable y acudir al SIAU, sin perjuicio de otras acciones.</t>
  </si>
  <si>
    <t xml:space="preserve">b) desconoce las instancias competentes y c) prolonga la barrera de acceso.</t>
  </si>
  <si>
    <t xml:space="preserve">Ley 1755 de 2015; Ley 1122 de 2007</t>
  </si>
  <si>
    <t xml:space="preserve">F0182</t>
  </si>
  <si>
    <t xml:space="preserve">La Superintendencia Nacional de Salud puede:</t>
  </si>
  <si>
    <t xml:space="preserve">Conocer y resolver controversias por negación de servicios mediante su función jurisdiccional</t>
  </si>
  <si>
    <t xml:space="preserve">Solo emitir conceptos</t>
  </si>
  <si>
    <t xml:space="preserve">Reemplazar al juez de tutela en todos los casos</t>
  </si>
  <si>
    <t xml:space="preserve">La Superintendencia tiene función jurisdiccional para resolver, entre otros, los conflictos por negación de servicios.</t>
  </si>
  <si>
    <t xml:space="preserve">b) minimiza su competencia y c) la equipara indebidamente con el juez constitucional.</t>
  </si>
  <si>
    <t xml:space="preserve">Ley 1122 de 2007, art. 41</t>
  </si>
  <si>
    <t xml:space="preserve">F0183</t>
  </si>
  <si>
    <t xml:space="preserve">El defensor del usuario en salud tiene como función:</t>
  </si>
  <si>
    <t xml:space="preserve">Representar los intereses de los usuarios ante las entidades del sistema</t>
  </si>
  <si>
    <t xml:space="preserve">Autorizar servicios</t>
  </si>
  <si>
    <t xml:space="preserve">Auditar facturas</t>
  </si>
  <si>
    <t xml:space="preserve">El defensor del usuario representa los intereses de los usuarios ante las entidades del sistema.</t>
  </si>
  <si>
    <t xml:space="preserve">b) y c) son funciones del asegurador o de la auditoría, no de la defensoría.</t>
  </si>
  <si>
    <t xml:space="preserve">Ley 1122 de 2007, art. 42</t>
  </si>
  <si>
    <t xml:space="preserve">F0184</t>
  </si>
  <si>
    <t xml:space="preserve">C062</t>
  </si>
  <si>
    <t xml:space="preserve">Caso 062</t>
  </si>
  <si>
    <t xml:space="preserve">En un comité se discute hasta dónde llega la autonomía del paciente frente a su información clínica.</t>
  </si>
  <si>
    <t xml:space="preserve">El derecho a la información veraz del paciente comprende:</t>
  </si>
  <si>
    <t xml:space="preserve">Conocer su diagnóstico, alternativas de tratamiento, riesgos y pronóstico en lenguaje comprensible</t>
  </si>
  <si>
    <t xml:space="preserve">Solo el diagnóstico</t>
  </si>
  <si>
    <t xml:space="preserve">Solo lo que el médico considere conveniente</t>
  </si>
  <si>
    <t xml:space="preserve">El usuario tiene derecho a información clara y completa sobre diagnóstico, alternativas, riesgos y pronóstico.</t>
  </si>
  <si>
    <t xml:space="preserve">b) y c) recortan el contenido del derecho o lo dejan al arbitrio del profesional.</t>
  </si>
  <si>
    <t xml:space="preserve">F0185</t>
  </si>
  <si>
    <t xml:space="preserve">El paciente puede solicitar una segunda opinión:</t>
  </si>
  <si>
    <t xml:space="preserve">Sí, es un derecho reconocido dentro del sistema</t>
  </si>
  <si>
    <t xml:space="preserve">No, salvo autorización de la EPS</t>
  </si>
  <si>
    <t xml:space="preserve">Solo en el sector privado</t>
  </si>
  <si>
    <t xml:space="preserve">El usuario tiene derecho a obtener una segunda opinión sobre su diagnóstico o tratamiento.</t>
  </si>
  <si>
    <t xml:space="preserve">b) y c) condicionan un derecho reconocido en la ley.</t>
  </si>
  <si>
    <t xml:space="preserve">F0186</t>
  </si>
  <si>
    <t xml:space="preserve">Frente a la muerte digna, el prestador debe:</t>
  </si>
  <si>
    <t xml:space="preserve">Respetar la voluntad del paciente conforme a la normativa y la jurisprudencia vigentes</t>
  </si>
  <si>
    <t xml:space="preserve">Aplicar siempre todas las medidas disponibles</t>
  </si>
  <si>
    <t xml:space="preserve">Decidir según la opinión del equipo</t>
  </si>
  <si>
    <t xml:space="preserve">La normativa y la jurisprudencia reconocen el derecho a morir dignamente y a rechazar tratamientos desproporcionados.</t>
  </si>
  <si>
    <t xml:space="preserve">b) configura obstinación terapéutica y c) desplaza la voluntad del titular.</t>
  </si>
  <si>
    <t xml:space="preserve">Ley 1733 de 2014; jurisprudencia constitucional</t>
  </si>
  <si>
    <t xml:space="preserve">F0187</t>
  </si>
  <si>
    <t xml:space="preserve">C063</t>
  </si>
  <si>
    <t xml:space="preserve">Caso 063</t>
  </si>
  <si>
    <t xml:space="preserve">El equipo de calidad revisa cómo se mide el goce efectivo del derecho.</t>
  </si>
  <si>
    <t xml:space="preserve">La oportunidad en la asignación de citas es un indicador de:</t>
  </si>
  <si>
    <t xml:space="preserve">Accesibilidad, uno de los elementos esenciales del derecho</t>
  </si>
  <si>
    <t xml:space="preserve">Sostenibilidad financiera</t>
  </si>
  <si>
    <t xml:space="preserve">Eficiencia administrativa únicamente</t>
  </si>
  <si>
    <t xml:space="preserve">La oportunidad expresa la accesibilidad, elemento esencial del derecho a la salud.</t>
  </si>
  <si>
    <t xml:space="preserve">b) y c) desplazan el análisis del derecho hacia la gestión económica.</t>
  </si>
  <si>
    <t xml:space="preserve">Ley 1751 de 2015, art. 6; Resolución 256 de 2016</t>
  </si>
  <si>
    <t xml:space="preserve">F0188</t>
  </si>
  <si>
    <t xml:space="preserve">La aceptabilidad implica que los servicios:</t>
  </si>
  <si>
    <t xml:space="preserve">Respeten la ética médica y sean culturalmente apropiados</t>
  </si>
  <si>
    <t xml:space="preserve">Sean los más económicos</t>
  </si>
  <si>
    <t xml:space="preserve">Se presten en el mayor nivel de complejidad</t>
  </si>
  <si>
    <t xml:space="preserve">La aceptabilidad exige respeto por la ética médica y pertinencia cultural de los servicios.</t>
  </si>
  <si>
    <t xml:space="preserve">b) y c) confunden aceptabilidad con costo o complejidad.</t>
  </si>
  <si>
    <t xml:space="preserve">F0189</t>
  </si>
  <si>
    <t xml:space="preserve">La disponibilidad se refiere a:</t>
  </si>
  <si>
    <t xml:space="preserve">Contar con servicios, tecnologías e instituciones suficientes para garantizar la atención</t>
  </si>
  <si>
    <t xml:space="preserve">Tener personal disponible solo en urgencias</t>
  </si>
  <si>
    <t xml:space="preserve">Tener contrato con todas las EPS</t>
  </si>
  <si>
    <t xml:space="preserve">La disponibilidad exige servicios, tecnologías, instituciones y talento humano suficientes.</t>
  </si>
  <si>
    <t xml:space="preserve">b) y c) reducen el elemento a una franja del servicio o a lo contractual.</t>
  </si>
  <si>
    <t xml:space="preserve">F0190</t>
  </si>
  <si>
    <t xml:space="preserve">C064</t>
  </si>
  <si>
    <t xml:space="preserve">Caso 064</t>
  </si>
  <si>
    <t xml:space="preserve">El hospital prepara la autoevaluación anual de habilitación de sus servicios quirúrgicos.</t>
  </si>
  <si>
    <t xml:space="preserve">El estándar de talento humano exige:</t>
  </si>
  <si>
    <t xml:space="preserve">Personal con la formación y experiencia definidas para el servicio, verificable documentalmente</t>
  </si>
  <si>
    <t xml:space="preserve">Únicamente el número de profesionales</t>
  </si>
  <si>
    <t xml:space="preserve">Solo contrato vigente</t>
  </si>
  <si>
    <t xml:space="preserve">El estándar exige personal con el perfil definido para el servicio, acreditado documentalmente.</t>
  </si>
  <si>
    <t xml:space="preserve">b) y c) verifican cantidad o vínculo, no idoneidad.</t>
  </si>
  <si>
    <t xml:space="preserve">F0191</t>
  </si>
  <si>
    <t xml:space="preserve">El estándar de dotación se refiere a:</t>
  </si>
  <si>
    <t xml:space="preserve">Equipos e insumos requeridos, con mantenimiento y calibración vigentes</t>
  </si>
  <si>
    <t xml:space="preserve">Solo a la existencia del equipo</t>
  </si>
  <si>
    <t xml:space="preserve">Al valor contable del equipo</t>
  </si>
  <si>
    <t xml:space="preserve">La dotación comprende los equipos requeridos y su mantenimiento y calibración vigentes.</t>
  </si>
  <si>
    <t xml:space="preserve">b) omite el soporte de funcionamiento seguro y c) introduce un criterio contable.</t>
  </si>
  <si>
    <t xml:space="preserve">F0192</t>
  </si>
  <si>
    <t xml:space="preserve">El estándar de procesos prioritarios implica:</t>
  </si>
  <si>
    <t xml:space="preserve">Contar con guías, protocolos y procedimientos documentados y socializados</t>
  </si>
  <si>
    <t xml:space="preserve">Tener solo el manual de funciones</t>
  </si>
  <si>
    <t xml:space="preserve">Tener solo el organigrama</t>
  </si>
  <si>
    <t xml:space="preserve">Los procesos prioritarios exigen guías y protocolos documentados, socializados y aplicados.</t>
  </si>
  <si>
    <t xml:space="preserve">b) y c) son documentos institucionales que no reemplazan los protocolos asistenciales.</t>
  </si>
  <si>
    <t xml:space="preserve">F0193</t>
  </si>
  <si>
    <t xml:space="preserve">C065</t>
  </si>
  <si>
    <t xml:space="preserve">Caso 065</t>
  </si>
  <si>
    <t xml:space="preserve">Un servicio nuevo se declara en el REPS y la entidad territorial anuncia visita.</t>
  </si>
  <si>
    <t xml:space="preserve">La visita de verificación se realiza:</t>
  </si>
  <si>
    <t xml:space="preserve">Conforme al plan de visitas de la entidad territorial, sin que su ausencia exima del cumplimiento</t>
  </si>
  <si>
    <t xml:space="preserve">Solo si el prestador la solicita</t>
  </si>
  <si>
    <t xml:space="preserve">Cada diez años</t>
  </si>
  <si>
    <t xml:space="preserve">Las visitas se programan en el plan de la entidad territorial; el cumplimiento del estándar es permanente.</t>
  </si>
  <si>
    <t xml:space="preserve">b) y c) condicionan la vigilancia y relajan la exigencia continua.</t>
  </si>
  <si>
    <t xml:space="preserve">F0194</t>
  </si>
  <si>
    <t xml:space="preserve">Si en la visita se hallan incumplimientos, procede:</t>
  </si>
  <si>
    <t xml:space="preserve">El plan de cumplimiento o las medidas que la norma prevea, según la gravedad</t>
  </si>
  <si>
    <t xml:space="preserve">La sanción penal inmediata</t>
  </si>
  <si>
    <t xml:space="preserve">La pérdida automática de la personería jurídica</t>
  </si>
  <si>
    <t xml:space="preserve">Según el hallazgo proceden planes de cumplimiento o medidas sanitarias, en el marco del procedimiento.</t>
  </si>
  <si>
    <t xml:space="preserve">b) y c) aplican consecuencias ajenas al régimen de habilitación.</t>
  </si>
  <si>
    <t xml:space="preserve">Resolución 3100 de 2019; Ley 9 de 1979</t>
  </si>
  <si>
    <t xml:space="preserve">F0195</t>
  </si>
  <si>
    <t xml:space="preserve">El distintivo de habilitación sirve para:</t>
  </si>
  <si>
    <t xml:space="preserve">Acreditar ante la ciudadanía que el prestador está inscrito y sus servicios habilitados</t>
  </si>
  <si>
    <t xml:space="preserve">Sustituir el registro en el REPS</t>
  </si>
  <si>
    <t xml:space="preserve">Certificar la acreditación</t>
  </si>
  <si>
    <t xml:space="preserve">El distintivo informa a la ciudadanía la condición de prestador inscrito con servicios habilitados.</t>
  </si>
  <si>
    <t xml:space="preserve">b) y c) confunden el distintivo con el registro o con la acreditación.</t>
  </si>
  <si>
    <t xml:space="preserve">F0196</t>
  </si>
  <si>
    <t xml:space="preserve">C066</t>
  </si>
  <si>
    <t xml:space="preserve">Caso 066</t>
  </si>
  <si>
    <t xml:space="preserve">El técnico de mantenimiento organiza el programa de equipos biomédicos.</t>
  </si>
  <si>
    <t xml:space="preserve">El mantenimiento preventivo de equipos biomédicos debe:</t>
  </si>
  <si>
    <t xml:space="preserve">Programarse y documentarse según la hoja de vida de cada equipo</t>
  </si>
  <si>
    <t xml:space="preserve">Hacerse solo cuando el equipo falla</t>
  </si>
  <si>
    <t xml:space="preserve">Sustituirse por la garantía del proveedor</t>
  </si>
  <si>
    <t xml:space="preserve">El programa exige mantenimiento preventivo programado y documentado en la hoja de vida del equipo.</t>
  </si>
  <si>
    <t xml:space="preserve">b) describe el correctivo y c) traslada al proveedor una obligación institucional.</t>
  </si>
  <si>
    <t xml:space="preserve">Resolución 3100 de 2019; Decreto 4725 de 2005</t>
  </si>
  <si>
    <t xml:space="preserve">F0197</t>
  </si>
  <si>
    <t xml:space="preserve">La calibración de equipos de medición busca:</t>
  </si>
  <si>
    <t xml:space="preserve">Asegurar la exactitud de las mediciones frente a patrones trazables</t>
  </si>
  <si>
    <t xml:space="preserve">Prolongar la garantía</t>
  </si>
  <si>
    <t xml:space="preserve">Reducir el consumo eléctrico</t>
  </si>
  <si>
    <t xml:space="preserve">La calibración asegura exactitud frente a patrones trazables y es condición de seguridad.</t>
  </si>
  <si>
    <t xml:space="preserve">b) y c) no corresponden al propósito metrológico.</t>
  </si>
  <si>
    <t xml:space="preserve">F0198</t>
  </si>
  <si>
    <t xml:space="preserve">Un equipo sin soporte de mantenimiento vigente:</t>
  </si>
  <si>
    <t xml:space="preserve">No debe usarse en la atención hasta regularizar su condición</t>
  </si>
  <si>
    <t xml:space="preserve">Puede usarse bajo responsabilidad del operador</t>
  </si>
  <si>
    <t xml:space="preserve">Puede usarse si el paciente lo autoriza</t>
  </si>
  <si>
    <t xml:space="preserve">Sin soporte vigente el equipo no cumple la condición de habilitación y no debe emplearse en la atención.</t>
  </si>
  <si>
    <t xml:space="preserve">b) y c) trasladan a personas el riesgo de un incumplimiento institucional.</t>
  </si>
  <si>
    <t xml:space="preserve">F0199</t>
  </si>
  <si>
    <t xml:space="preserve">C067</t>
  </si>
  <si>
    <t xml:space="preserve">Caso 067</t>
  </si>
  <si>
    <t xml:space="preserve">La dirección evalúa postularse al Sistema Único de Acreditación.</t>
  </si>
  <si>
    <t xml:space="preserve">La acreditación en salud es:</t>
  </si>
  <si>
    <t xml:space="preserve">Voluntaria, periódica y basada en estándares superiores</t>
  </si>
  <si>
    <t xml:space="preserve">Obligatoria para hospitales universitarios</t>
  </si>
  <si>
    <t xml:space="preserve">Un requisito para contratar con EPS</t>
  </si>
  <si>
    <t xml:space="preserve">La acreditación es un proceso voluntario y periódico de estándares superiores de calidad.</t>
  </si>
  <si>
    <t xml:space="preserve">b) y c) le atribuyen obligatoriedad que la norma no establece.</t>
  </si>
  <si>
    <t xml:space="preserve">F0200</t>
  </si>
  <si>
    <t xml:space="preserve">El ciclo de mejoramiento en acreditación exige:</t>
  </si>
  <si>
    <t xml:space="preserve">Autoevaluación, priorización, planes de mejora y seguimiento medible</t>
  </si>
  <si>
    <t xml:space="preserve">Solo la visita del ente acreditador</t>
  </si>
  <si>
    <t xml:space="preserve">Solo la certificación ISO</t>
  </si>
  <si>
    <t xml:space="preserve">El modelo exige autoevaluación, priorización, mejora y seguimiento con mediciones.</t>
  </si>
  <si>
    <t xml:space="preserve">b) reduce el modelo a la visita y c) confunde sistemas de gestión distintos.</t>
  </si>
  <si>
    <t xml:space="preserve">F0201</t>
  </si>
  <si>
    <t xml:space="preserve">La acreditación no exime al prestador de:</t>
  </si>
  <si>
    <t xml:space="preserve">Mantener habilitados todos sus servicios</t>
  </si>
  <si>
    <t xml:space="preserve">Reportar indicadores</t>
  </si>
  <si>
    <t xml:space="preserve">Ninguna de sus obligaciones legales</t>
  </si>
  <si>
    <t xml:space="preserve">La acreditación se suma a las obligaciones legales: no exime de habilitación ni de reportes ni de ninguna otra obligación.</t>
  </si>
  <si>
    <t xml:space="preserve">a) y b) enuncian obligaciones ciertas pero parciales frente a la afirmación completa.</t>
  </si>
  <si>
    <t xml:space="preserve">F0202</t>
  </si>
  <si>
    <t xml:space="preserve">C068</t>
  </si>
  <si>
    <t xml:space="preserve">Caso 068</t>
  </si>
  <si>
    <t xml:space="preserve">Se revisa la habilitación del servicio de telemedicina del hospital.</t>
  </si>
  <si>
    <t xml:space="preserve">La telemedicina requiere:</t>
  </si>
  <si>
    <t xml:space="preserve">Habilitación específica del servicio en la modalidad correspondiente</t>
  </si>
  <si>
    <t xml:space="preserve">Solo conexión a internet estable</t>
  </si>
  <si>
    <t xml:space="preserve">Autorización verbal del paciente</t>
  </si>
  <si>
    <t xml:space="preserve">La prestación por telemedicina exige la habilitación del servicio en la modalidad respectiva.</t>
  </si>
  <si>
    <t xml:space="preserve">b) es una condición técnica y c) no sustituye la habilitación.</t>
  </si>
  <si>
    <t xml:space="preserve">Resolución 3100 de 2019; Ley 1419 de 2010</t>
  </si>
  <si>
    <t xml:space="preserve">F0203</t>
  </si>
  <si>
    <t xml:space="preserve">En la atención por telemedicina la historia clínica:</t>
  </si>
  <si>
    <t xml:space="preserve">Se registra igual que en la atención presencial, con los datos de la modalidad</t>
  </si>
  <si>
    <t xml:space="preserve">No se abre</t>
  </si>
  <si>
    <t xml:space="preserve">Se reemplaza por la grabación</t>
  </si>
  <si>
    <t xml:space="preserve">La atención por telemedicina se registra en la historia clínica, indicando la modalidad empleada.</t>
  </si>
  <si>
    <t xml:space="preserve">b) y c) incumplen la obligatoriedad y las características del registro clínico.</t>
  </si>
  <si>
    <t xml:space="preserve">F0204</t>
  </si>
  <si>
    <t xml:space="preserve">La responsabilidad profesional en telemedicina:</t>
  </si>
  <si>
    <t xml:space="preserve">Se mantiene íntegra para el profesional tratante</t>
  </si>
  <si>
    <t xml:space="preserve">Se traslada al operador tecnológico</t>
  </si>
  <si>
    <t xml:space="preserve">Desaparece por ser atención remota</t>
  </si>
  <si>
    <t xml:space="preserve">La modalidad no altera la responsabilidad del profesional tratante.</t>
  </si>
  <si>
    <t xml:space="preserve">b) y c) desplazan o eliminan una responsabilidad que permanece.</t>
  </si>
  <si>
    <t xml:space="preserve">Ley 1419 de 2010; Ley 23 de 1981</t>
  </si>
  <si>
    <t xml:space="preserve">F0205</t>
  </si>
  <si>
    <t xml:space="preserve">C069</t>
  </si>
  <si>
    <t xml:space="preserve">Caso 069</t>
  </si>
  <si>
    <t xml:space="preserve">El técnico de calidad prepara el reporte de indicadores del semestre.</t>
  </si>
  <si>
    <t xml:space="preserve">La oportunidad en consulta externa se mide como:</t>
  </si>
  <si>
    <t xml:space="preserve">Días transcurridos entre la solicitud y la asignación de la cita</t>
  </si>
  <si>
    <t xml:space="preserve">Número de consultas realizadas</t>
  </si>
  <si>
    <t xml:space="preserve">Porcentaje de citas canceladas</t>
  </si>
  <si>
    <t xml:space="preserve">El indicador mide los días entre la solicitud y la asignación efectiva de la cita.</t>
  </si>
  <si>
    <t xml:space="preserve">b) mide producción y c) mide cancelación, no oportunidad.</t>
  </si>
  <si>
    <t xml:space="preserve">F0206</t>
  </si>
  <si>
    <t xml:space="preserve">La tasa de reingreso hospitalario indica:</t>
  </si>
  <si>
    <t xml:space="preserve">Posibles fallas en la calidad o en la continuidad del cuidado</t>
  </si>
  <si>
    <t xml:space="preserve">Alta demanda del servicio</t>
  </si>
  <si>
    <t xml:space="preserve">Buena adherencia del paciente</t>
  </si>
  <si>
    <t xml:space="preserve">El reingreso en un período corto alerta sobre calidad de la atención o de la continuidad del cuidado.</t>
  </si>
  <si>
    <t xml:space="preserve">b) y c) leen como positivo un indicador de alerta.</t>
  </si>
  <si>
    <t xml:space="preserve">F0207</t>
  </si>
  <si>
    <t xml:space="preserve">El reporte de indicadores debe ser:</t>
  </si>
  <si>
    <t xml:space="preserve">Oportuno, completo y consistente con las fuentes institucionales</t>
  </si>
  <si>
    <t xml:space="preserve">Aproximado si no hay tiempo</t>
  </si>
  <si>
    <t xml:space="preserve">Opcional si no hay hallazgos</t>
  </si>
  <si>
    <t xml:space="preserve">El reporte debe ser oportuno y consistente con las fuentes; su omisión o inexactitud tiene consecuencias.</t>
  </si>
  <si>
    <t xml:space="preserve">b) y c) comprometen la veracidad y el cumplimiento del deber de reporte.</t>
  </si>
  <si>
    <t xml:space="preserve">F0208</t>
  </si>
  <si>
    <t xml:space="preserve">C070</t>
  </si>
  <si>
    <t xml:space="preserve">Caso 070</t>
  </si>
  <si>
    <t xml:space="preserve">El comité analiza una caída de paciente durante la hospitalización.</t>
  </si>
  <si>
    <t xml:space="preserve">La primera acción tras la caída es:</t>
  </si>
  <si>
    <t xml:space="preserve">Valorar al paciente, brindar atención y registrar el hecho en la historia clínica</t>
  </si>
  <si>
    <t xml:space="preserve">Reportar al comité antes de valorar</t>
  </si>
  <si>
    <t xml:space="preserve">Informar a la familia y esperar</t>
  </si>
  <si>
    <t xml:space="preserve">La prioridad es la atención inmediata del paciente y el registro veraz del hecho.</t>
  </si>
  <si>
    <t xml:space="preserve">b) y c) posponen la atención clínica frente a un trámite o a una comunicación.</t>
  </si>
  <si>
    <t xml:space="preserve">F0209</t>
  </si>
  <si>
    <t xml:space="preserve">La prevención de caídas exige:</t>
  </si>
  <si>
    <t xml:space="preserve">Valorar el riesgo al ingreso y reevaluarlo según cambios del paciente</t>
  </si>
  <si>
    <t xml:space="preserve">Colocar barandas en todas las camas y nada más</t>
  </si>
  <si>
    <t xml:space="preserve">Restringir la movilidad de todos los pacientes</t>
  </si>
  <si>
    <t xml:space="preserve">La barrera principal es la valoración del riesgo al ingreso y su reevaluación periódica.</t>
  </si>
  <si>
    <t xml:space="preserve">b) aplica una sola medida aislada y c) implica una restricción injustificada.</t>
  </si>
  <si>
    <t xml:space="preserve">Paquetes instruccionales, Minsalud</t>
  </si>
  <si>
    <t xml:space="preserve">F0210</t>
  </si>
  <si>
    <t xml:space="preserve">La contención física de un paciente:</t>
  </si>
  <si>
    <t xml:space="preserve">Es excepcional, requiere indicación médica, registro y reevaluación periódica</t>
  </si>
  <si>
    <t xml:space="preserve">Puede aplicarla cualquier miembro del equipo</t>
  </si>
  <si>
    <t xml:space="preserve">Se mantiene hasta el alta</t>
  </si>
  <si>
    <t xml:space="preserve">La contención es excepcional, requiere indicación, registro y reevaluación periódica.</t>
  </si>
  <si>
    <t xml:space="preserve">b) y c) desconocen la indicación profesional y la temporalidad de la medida.</t>
  </si>
  <si>
    <t xml:space="preserve">Lineamientos de seguridad del paciente; Ley 1616 de 2013</t>
  </si>
  <si>
    <t xml:space="preserve">F0211</t>
  </si>
  <si>
    <t xml:space="preserve">C071</t>
  </si>
  <si>
    <t xml:space="preserve">Caso 071</t>
  </si>
  <si>
    <t xml:space="preserve">En el servicio farmacéutico se detectan errores de transcripción en la prescripción.</t>
  </si>
  <si>
    <t xml:space="preserve">La prescripción debe ser:</t>
  </si>
  <si>
    <t xml:space="preserve">Legible, completa y con denominación común internacional del medicamento</t>
  </si>
  <si>
    <t xml:space="preserve">Con nombre comercial para evitar confusión</t>
  </si>
  <si>
    <t xml:space="preserve">Verbal cuando hay urgencia administrativa</t>
  </si>
  <si>
    <t xml:space="preserve">La prescripción debe ser legible, completa y en denominación común internacional.</t>
  </si>
  <si>
    <t xml:space="preserve">b) favorece el sesgo comercial y c) elimina el soporte escrito exigido.</t>
  </si>
  <si>
    <t xml:space="preserve">Resolución 1403 de 2007; Decreto 780 de 2016</t>
  </si>
  <si>
    <t xml:space="preserve">F0212</t>
  </si>
  <si>
    <t xml:space="preserve">Los medicamentos de alto riesgo requieren:</t>
  </si>
  <si>
    <t xml:space="preserve">Barreras específicas como doble verificación y almacenamiento diferenciado</t>
  </si>
  <si>
    <t xml:space="preserve">El mismo manejo que los demás</t>
  </si>
  <si>
    <t xml:space="preserve">Entrega directa al paciente sin control</t>
  </si>
  <si>
    <t xml:space="preserve">Los medicamentos de alto riesgo exigen barreras específicas, como doble chequeo y almacenamiento diferenciado.</t>
  </si>
  <si>
    <t xml:space="preserve">b) elimina la barrera y c) suprime el control del proceso.</t>
  </si>
  <si>
    <t xml:space="preserve">F0213</t>
  </si>
  <si>
    <t xml:space="preserve">La conciliación medicamentosa busca:</t>
  </si>
  <si>
    <t xml:space="preserve">Evitar duplicidades, omisiones e interacciones al cambiar el nivel de atención</t>
  </si>
  <si>
    <t xml:space="preserve">Reducir el costo de la terapia</t>
  </si>
  <si>
    <t xml:space="preserve">Cambiar la marca del medicamento</t>
  </si>
  <si>
    <t xml:space="preserve">La conciliación compara la medicación previa y la actual para evitar omisiones, duplicidades e interacciones.</t>
  </si>
  <si>
    <t xml:space="preserve">b) y c) confunden una barrera de seguridad con una decisión económica o comercial.</t>
  </si>
  <si>
    <t xml:space="preserve">F0214</t>
  </si>
  <si>
    <t xml:space="preserve">C072</t>
  </si>
  <si>
    <t xml:space="preserve">Caso 072</t>
  </si>
  <si>
    <t xml:space="preserve">Un auxiliar debe preparar el material quirúrgico y el equipo pregunta por los controles.</t>
  </si>
  <si>
    <t xml:space="preserve">La esterilización debe verificarse con:</t>
  </si>
  <si>
    <t xml:space="preserve">Indicadores físicos, químicos y biológicos según el proceso</t>
  </si>
  <si>
    <t xml:space="preserve">Solo la apariencia del paquete</t>
  </si>
  <si>
    <t xml:space="preserve">Solo el tiempo de ciclo</t>
  </si>
  <si>
    <t xml:space="preserve">El proceso se valida con indicadores físicos, químicos y biológicos.</t>
  </si>
  <si>
    <t xml:space="preserve">b) y c) toman señales parciales por validación del proceso.</t>
  </si>
  <si>
    <t xml:space="preserve">Resolución 3100 de 2019; manual de esterilización</t>
  </si>
  <si>
    <t xml:space="preserve">F0215</t>
  </si>
  <si>
    <t xml:space="preserve">Un paquete estéril con empaque húmedo o roto:</t>
  </si>
  <si>
    <t xml:space="preserve">No debe usarse y debe reprocesarse</t>
  </si>
  <si>
    <t xml:space="preserve">Puede usarse si el indicador viró</t>
  </si>
  <si>
    <t xml:space="preserve">Puede usarse en procedimientos menores</t>
  </si>
  <si>
    <t xml:space="preserve">La integridad del empaque es condición de esterilidad: si se compromete, el material se reprocesa.</t>
  </si>
  <si>
    <t xml:space="preserve">b) y c) mantienen en uso material con esterilidad comprometida.</t>
  </si>
  <si>
    <t xml:space="preserve">Manual de esterilización, Minsalud</t>
  </si>
  <si>
    <t xml:space="preserve">F0216</t>
  </si>
  <si>
    <t xml:space="preserve">El aislamiento de un paciente con germen multirresistente exige:</t>
  </si>
  <si>
    <t xml:space="preserve">Precauciones adicionales según el mecanismo de transmisión</t>
  </si>
  <si>
    <t xml:space="preserve">Solo lavado de manos</t>
  </si>
  <si>
    <t xml:space="preserve">Traslado inmediato a otra institución</t>
  </si>
  <si>
    <t xml:space="preserve">Se aplican precauciones adicionales según el mecanismo de transmisión, sumadas a las estándar.</t>
  </si>
  <si>
    <t xml:space="preserve">b) es insuficiente y c) traslada el riesgo sin gestionarlo.</t>
  </si>
  <si>
    <t xml:space="preserve">Protocolos de prevención de IAAS</t>
  </si>
  <si>
    <t xml:space="preserve">F0217</t>
  </si>
  <si>
    <t xml:space="preserve">C073</t>
  </si>
  <si>
    <t xml:space="preserve">Caso 073</t>
  </si>
  <si>
    <t xml:space="preserve">La institución revisa su programa de seguridad tras un evento centinela.</t>
  </si>
  <si>
    <t xml:space="preserve">Un evento centinela se caracteriza por:</t>
  </si>
  <si>
    <t xml:space="preserve">Producir daño grave o muerte y exigir investigación inmediata</t>
  </si>
  <si>
    <t xml:space="preserve">Ser un error sin consecuencias</t>
  </si>
  <si>
    <t xml:space="preserve">Ser una complicación esperada</t>
  </si>
  <si>
    <t xml:space="preserve">El evento centinela produce daño grave o muerte y obliga a investigación inmediata.</t>
  </si>
  <si>
    <t xml:space="preserve">b) describe un incidente y c) una complicación propia de la enfermedad.</t>
  </si>
  <si>
    <t xml:space="preserve">F0218</t>
  </si>
  <si>
    <t xml:space="preserve">La cultura justa en seguridad del paciente implica:</t>
  </si>
  <si>
    <t xml:space="preserve">Distinguir el error humano del comportamiento temerario, sin castigar el reporte</t>
  </si>
  <si>
    <t xml:space="preserve">Sancionar todo error</t>
  </si>
  <si>
    <t xml:space="preserve">No sancionar ninguna conducta</t>
  </si>
  <si>
    <t xml:space="preserve">La cultura justa distingue el error humano del comportamiento temerario y protege el reporte.</t>
  </si>
  <si>
    <t xml:space="preserve">b) inhibe el reporte y c) renuncia a la responsabilidad ante conductas temerarias.</t>
  </si>
  <si>
    <t xml:space="preserve">Política de Seguridad del Paciente</t>
  </si>
  <si>
    <t xml:space="preserve">F0219</t>
  </si>
  <si>
    <t xml:space="preserve">El plan de mejora debe incluir:</t>
  </si>
  <si>
    <t xml:space="preserve">Acción, responsable, plazo e indicador de verificación</t>
  </si>
  <si>
    <t xml:space="preserve">Solo la descripción del problema</t>
  </si>
  <si>
    <t xml:space="preserve">Solo la capacitación del personal</t>
  </si>
  <si>
    <t xml:space="preserve">Un plan de mejora exige acción, responsable, plazo e indicador de verificación.</t>
  </si>
  <si>
    <t xml:space="preserve">b) no interviene la causa y c) aplica una sola barrera, la más débil.</t>
  </si>
  <si>
    <t xml:space="preserve">F0220</t>
  </si>
  <si>
    <t xml:space="preserve">C074</t>
  </si>
  <si>
    <t xml:space="preserve">Caso 074</t>
  </si>
  <si>
    <t xml:space="preserve">Se revisan las barreras en el proceso de transfusión sanguínea.</t>
  </si>
  <si>
    <t xml:space="preserve">Antes de transfundir se debe:</t>
  </si>
  <si>
    <t xml:space="preserve">Verificar identidad del paciente, componente y compatibilidad, con doble chequeo</t>
  </si>
  <si>
    <t xml:space="preserve">Confiar en la etiqueta de la bolsa</t>
  </si>
  <si>
    <t xml:space="preserve">Verificar solo el grupo sanguíneo</t>
  </si>
  <si>
    <t xml:space="preserve">La barrera exige verificación de identidad, componente y compatibilidad con doble chequeo.</t>
  </si>
  <si>
    <t xml:space="preserve">b) y c) eliminan pasos de una verificación que debe ser completa.</t>
  </si>
  <si>
    <t xml:space="preserve">Paquetes instruccionales; Decreto 1571 de 1993</t>
  </si>
  <si>
    <t xml:space="preserve">F0221</t>
  </si>
  <si>
    <t xml:space="preserve">Ante una reacción transfusional se debe:</t>
  </si>
  <si>
    <t xml:space="preserve">Suspender la transfusión, atender al paciente y reportar el evento</t>
  </si>
  <si>
    <t xml:space="preserve">Disminuir la velocidad de infusión</t>
  </si>
  <si>
    <t xml:space="preserve">Continuar y observar</t>
  </si>
  <si>
    <t xml:space="preserve">La conducta es suspender de inmediato, atender al paciente y activar el reporte de hemovigilancia.</t>
  </si>
  <si>
    <t xml:space="preserve">b) y c) mantienen la exposición al componente implicado.</t>
  </si>
  <si>
    <t xml:space="preserve">Programa de hemovigilancia, INS</t>
  </si>
  <si>
    <t xml:space="preserve">F0222</t>
  </si>
  <si>
    <t xml:space="preserve">La hemovigilancia se ocupa de:</t>
  </si>
  <si>
    <t xml:space="preserve">Los eventos adversos asociados a la transfusión y a la donación</t>
  </si>
  <si>
    <t xml:space="preserve">Los eventos con dispositivos médicos</t>
  </si>
  <si>
    <t xml:space="preserve">Las reacciones a medicamentos</t>
  </si>
  <si>
    <t xml:space="preserve">La hemovigilancia cubre los eventos asociados a la cadena transfusional.</t>
  </si>
  <si>
    <t xml:space="preserve">b) corresponde a tecnovigilancia y c) a farmacovigilancia.</t>
  </si>
  <si>
    <t xml:space="preserve">F0223</t>
  </si>
  <si>
    <t xml:space="preserve">C075</t>
  </si>
  <si>
    <t xml:space="preserve">Caso 075</t>
  </si>
  <si>
    <t xml:space="preserve">El técnico de urgencias pregunta por el lavado de manos y los elementos de protección.</t>
  </si>
  <si>
    <t xml:space="preserve">Los cinco momentos de la higiene de manos incluyen:</t>
  </si>
  <si>
    <t xml:space="preserve">Antes de tocar al paciente y después del riesgo de exposición a fluidos</t>
  </si>
  <si>
    <t xml:space="preserve">Solo al iniciar el turno</t>
  </si>
  <si>
    <t xml:space="preserve">Solo después de retirarse los guantes</t>
  </si>
  <si>
    <t xml:space="preserve">La estrategia define cinco momentos, entre ellos antes del contacto y después de exposición a fluidos.</t>
  </si>
  <si>
    <t xml:space="preserve">b) y c) reducen la práctica a un instante aislado.</t>
  </si>
  <si>
    <t xml:space="preserve">Estrategia multimodal OMS - Minsalud</t>
  </si>
  <si>
    <t xml:space="preserve">F0224</t>
  </si>
  <si>
    <t xml:space="preserve">El uso de guantes:</t>
  </si>
  <si>
    <t xml:space="preserve">No reemplaza la higiene de manos</t>
  </si>
  <si>
    <t xml:space="preserve">Reemplaza el lavado si son estériles</t>
  </si>
  <si>
    <t xml:space="preserve">Es opcional en procedimientos invasivos</t>
  </si>
  <si>
    <t xml:space="preserve">Los guantes complementan, pero nunca sustituyen, la higiene de manos.</t>
  </si>
  <si>
    <t xml:space="preserve">b) sustituye una barrera por otra y c) omite una protección obligatoria.</t>
  </si>
  <si>
    <t xml:space="preserve">F0225</t>
  </si>
  <si>
    <t xml:space="preserve">Ante un accidente con riesgo biológico, el trabajador debe:</t>
  </si>
  <si>
    <t xml:space="preserve">Lavar la zona, reportar de inmediato y activar el protocolo de profilaxis</t>
  </si>
  <si>
    <t xml:space="preserve">Esperar a fin de turno para reportar</t>
  </si>
  <si>
    <t xml:space="preserve">Aplicar solo antiséptico y continuar</t>
  </si>
  <si>
    <t xml:space="preserve">El protocolo exige lavado, reporte inmediato y evaluación para profilaxis posexposición.</t>
  </si>
  <si>
    <t xml:space="preserve">b) y c) pierden la ventana terapéutica de la profilaxis.</t>
  </si>
  <si>
    <t xml:space="preserve">Decreto 1072 de 2015; protocolos de bioseguridad</t>
  </si>
  <si>
    <t xml:space="preserve">F0226</t>
  </si>
  <si>
    <t xml:space="preserve">C076</t>
  </si>
  <si>
    <t xml:space="preserve">Caso 076</t>
  </si>
  <si>
    <t xml:space="preserve">Una aseguradora solicita copia masiva de historias clínicas para auditoría.</t>
  </si>
  <si>
    <t xml:space="preserve">El acceso del auditor de la EPS a la historia clínica:</t>
  </si>
  <si>
    <t xml:space="preserve">Procede para la auditoría de los servicios facturados, con deber de reserva</t>
  </si>
  <si>
    <t xml:space="preserve">No procede en ningún caso</t>
  </si>
  <si>
    <t xml:space="preserve">Procede sin límite alguno</t>
  </si>
  <si>
    <t xml:space="preserve">La auditoría de cuentas permite el acceso a la información de los servicios facturados, con deber de reserva.</t>
  </si>
  <si>
    <t xml:space="preserve">b) impide una función contractual legítima y c) desconoce los límites y la finalidad del acceso.</t>
  </si>
  <si>
    <t xml:space="preserve">F0227</t>
  </si>
  <si>
    <t xml:space="preserve">El deber de reserva del auditor:</t>
  </si>
  <si>
    <t xml:space="preserve">Persiste aun después de terminada la auditoría</t>
  </si>
  <si>
    <t xml:space="preserve">Termina con el informe</t>
  </si>
  <si>
    <t xml:space="preserve">No existe si es funcionario público</t>
  </si>
  <si>
    <t xml:space="preserve">El deber de reserva sobre la información de salud persiste con independencia del término de la auditoría.</t>
  </si>
  <si>
    <t xml:space="preserve">b) y c) limitan indebidamente un deber permanente.</t>
  </si>
  <si>
    <t xml:space="preserve">Ley 1581 de 2012; Ley 23 de 1981</t>
  </si>
  <si>
    <t xml:space="preserve">F0228</t>
  </si>
  <si>
    <t xml:space="preserve">La entrega masiva de historias sin filtro:</t>
  </si>
  <si>
    <t xml:space="preserve">Es improcedente: debe limitarse a lo necesario para la finalidad</t>
  </si>
  <si>
    <t xml:space="preserve">Procede si hay contrato</t>
  </si>
  <si>
    <t xml:space="preserve">Procede si la EPS lo exige por escrito</t>
  </si>
  <si>
    <t xml:space="preserve">El principio de finalidad y el de necesidad limitan el tratamiento a lo indispensable.</t>
  </si>
  <si>
    <t xml:space="preserve">b) y c) convierten una relación contractual en un permiso ilimitado.</t>
  </si>
  <si>
    <t xml:space="preserve">Ley 1581 de 2012, art. 4</t>
  </si>
  <si>
    <t xml:space="preserve">F0229</t>
  </si>
  <si>
    <t xml:space="preserve">C077</t>
  </si>
  <si>
    <t xml:space="preserve">Caso 077</t>
  </si>
  <si>
    <t xml:space="preserve">Un paciente pide copia de su historia clínica en la ventanilla.</t>
  </si>
  <si>
    <t xml:space="preserve">La solicitud del titular:</t>
  </si>
  <si>
    <t xml:space="preserve">Debe atenderse entregando copia, previa identificación</t>
  </si>
  <si>
    <t xml:space="preserve">Requiere autorización del médico tratante</t>
  </si>
  <si>
    <t xml:space="preserve">Solo procede con orden judicial</t>
  </si>
  <si>
    <t xml:space="preserve">El titular tiene derecho a obtener copia de su historia clínica, acreditando su identidad.</t>
  </si>
  <si>
    <t xml:space="preserve">b) y c) imponen requisitos que no aplican al propio titular.</t>
  </si>
  <si>
    <t xml:space="preserve">F0230</t>
  </si>
  <si>
    <t xml:space="preserve">Si quien solicita es el padre de un menor de edad:</t>
  </si>
  <si>
    <t xml:space="preserve">Procede la entrega como representante legal, con acreditación del parentesco</t>
  </si>
  <si>
    <t xml:space="preserve">No procede nunca</t>
  </si>
  <si>
    <t xml:space="preserve">Procede sin acreditar nada</t>
  </si>
  <si>
    <t xml:space="preserve">El representante legal del menor puede acceder acreditando su calidad.</t>
  </si>
  <si>
    <t xml:space="preserve">b) niega la representación legal y c) omite su acreditación.</t>
  </si>
  <si>
    <t xml:space="preserve">Resolución 1995 de 1999; Ley 1098 de 2006</t>
  </si>
  <si>
    <t xml:space="preserve">F0231</t>
  </si>
  <si>
    <t xml:space="preserve">Si el paciente falleció, la entrega a familiares:</t>
  </si>
  <si>
    <t xml:space="preserve">Procede conforme a las reglas sobre acceso de causahabientes acreditados</t>
  </si>
  <si>
    <t xml:space="preserve">Es libre para cualquier persona</t>
  </si>
  <si>
    <t xml:space="preserve">Está prohibida en todos los casos</t>
  </si>
  <si>
    <t xml:space="preserve">El acceso de los causahabientes procede acreditando esa calidad, conservando la reserva frente a terceros.</t>
  </si>
  <si>
    <t xml:space="preserve">b) abre la reserva a cualquiera y c) niega un acceso admitido.</t>
  </si>
  <si>
    <t xml:space="preserve">F0232</t>
  </si>
  <si>
    <t xml:space="preserve">C078</t>
  </si>
  <si>
    <t xml:space="preserve">Caso 078</t>
  </si>
  <si>
    <t xml:space="preserve">El hospital migra su historia clínica a un sistema electrónico.</t>
  </si>
  <si>
    <t xml:space="preserve">La historia clínica electrónica debe garantizar:</t>
  </si>
  <si>
    <t xml:space="preserve">Autenticidad, integridad, disponibilidad y trazabilidad de los registros</t>
  </si>
  <si>
    <t xml:space="preserve">Solo rapidez de consulta</t>
  </si>
  <si>
    <t xml:space="preserve">Solo ahorro de papel</t>
  </si>
  <si>
    <t xml:space="preserve">El registro electrónico debe asegurar autenticidad, integridad, disponibilidad y trazabilidad.</t>
  </si>
  <si>
    <t xml:space="preserve">b) y c) son beneficios operativos, no garantías del registro.</t>
  </si>
  <si>
    <t xml:space="preserve">Ley 2015 de 2020; Resolución 1995 de 1999</t>
  </si>
  <si>
    <t xml:space="preserve">F0233</t>
  </si>
  <si>
    <t xml:space="preserve">La interoperabilidad de la historia clínica busca:</t>
  </si>
  <si>
    <t xml:space="preserve">Que la información clínica siga al paciente entre prestadores, con seguridad</t>
  </si>
  <si>
    <t xml:space="preserve">Publicar los datos</t>
  </si>
  <si>
    <t xml:space="preserve">Unificar tarifas</t>
  </si>
  <si>
    <t xml:space="preserve">La interoperabilidad permite que la información acompañe al paciente entre prestadores, bajo condiciones de seguridad.</t>
  </si>
  <si>
    <t xml:space="preserve">b) vulneraría la reserva y c) es ajeno al propósito.</t>
  </si>
  <si>
    <t xml:space="preserve">Ley 2015 de 2020</t>
  </si>
  <si>
    <t xml:space="preserve">F0234</t>
  </si>
  <si>
    <t xml:space="preserve">La firma del profesional en el registro electrónico:</t>
  </si>
  <si>
    <t xml:space="preserve">Debe permitir identificar inequívocamente al autor de cada anotación</t>
  </si>
  <si>
    <t xml:space="preserve">Puede ser compartida por el servicio</t>
  </si>
  <si>
    <t xml:space="preserve">Puede omitirse si el sistema registra el usuario</t>
  </si>
  <si>
    <t xml:space="preserve">Cada anotación debe permitir identificar inequívocamente a su autor.</t>
  </si>
  <si>
    <t xml:space="preserve">b) y c) rompen la trazabilidad y la responsabilidad individual del registro.</t>
  </si>
  <si>
    <t xml:space="preserve">Resolución 1995 de 1999; Ley 527 de 1999</t>
  </si>
  <si>
    <t xml:space="preserve">F0235</t>
  </si>
  <si>
    <t xml:space="preserve">C079</t>
  </si>
  <si>
    <t xml:space="preserve">Caso 079</t>
  </si>
  <si>
    <t xml:space="preserve">Se estudia una solicitud de información de un periodista sobre un paciente reconocido.</t>
  </si>
  <si>
    <t xml:space="preserve">La respuesta correcta al periodista es:</t>
  </si>
  <si>
    <t xml:space="preserve">Negar la información por estar sometida a reserva</t>
  </si>
  <si>
    <t xml:space="preserve">Entregar un resumen clínico</t>
  </si>
  <si>
    <t xml:space="preserve">Confirmar solo el diagnóstico</t>
  </si>
  <si>
    <t xml:space="preserve">La información clínica está sometida a reserva y no puede revelarse a terceros sin autorización.</t>
  </si>
  <si>
    <t xml:space="preserve">b) y c) revelan información reservada, aunque sea parcial.</t>
  </si>
  <si>
    <t xml:space="preserve">Resolución 1995 de 1999; Ley 1712 de 2014, art. 18</t>
  </si>
  <si>
    <t xml:space="preserve">F0236</t>
  </si>
  <si>
    <t xml:space="preserve">Confirmar públicamente que una persona está hospitalizada:</t>
  </si>
  <si>
    <t xml:space="preserve">Vulnera su intimidad y la reserva de sus datos</t>
  </si>
  <si>
    <t xml:space="preserve">Es información pública</t>
  </si>
  <si>
    <t xml:space="preserve">Procede si el hecho es notorio</t>
  </si>
  <si>
    <t xml:space="preserve">La sola confirmación revela un dato sensible y vulnera la intimidad del paciente.</t>
  </si>
  <si>
    <t xml:space="preserve">b) y c) tratan como pública una información protegida.</t>
  </si>
  <si>
    <t xml:space="preserve">Ley 1581 de 2012; C.P. art. 15</t>
  </si>
  <si>
    <t xml:space="preserve">F0237</t>
  </si>
  <si>
    <t xml:space="preserve">Un funcionario que divulga esa información puede incurrir en:</t>
  </si>
  <si>
    <t xml:space="preserve">Falta disciplinaria y eventualmente en delito</t>
  </si>
  <si>
    <t xml:space="preserve">Solo en un error administrativo</t>
  </si>
  <si>
    <t xml:space="preserve">En ninguna responsabilidad si no cobró por ello</t>
  </si>
  <si>
    <t xml:space="preserve">La divulgación indebida compromete responsabilidad disciplinaria y puede constituir delito.</t>
  </si>
  <si>
    <t xml:space="preserve">b) y c) minimizan una conducta con consecuencias legales.</t>
  </si>
  <si>
    <t xml:space="preserve">Ley 1952 de 2019; Código Penal, art. 269F</t>
  </si>
  <si>
    <t xml:space="preserve">F0238</t>
  </si>
  <si>
    <t xml:space="preserve">C080</t>
  </si>
  <si>
    <t xml:space="preserve">Caso 080</t>
  </si>
  <si>
    <t xml:space="preserve">El área de sistemas define permisos de acceso al software asistencial.</t>
  </si>
  <si>
    <t xml:space="preserve">El criterio para otorgar permisos debe ser:</t>
  </si>
  <si>
    <t xml:space="preserve">El de mínimo privilegio, según las funciones del cargo</t>
  </si>
  <si>
    <t xml:space="preserve">El de mayor comodidad para el usuario</t>
  </si>
  <si>
    <t xml:space="preserve">El mismo perfil para todo el personal</t>
  </si>
  <si>
    <t xml:space="preserve">El acceso se otorga según las funciones, bajo el principio de mínimo privilegio.</t>
  </si>
  <si>
    <t xml:space="preserve">b) y c) amplían el acceso más allá de lo necesario.</t>
  </si>
  <si>
    <t xml:space="preserve">F0239</t>
  </si>
  <si>
    <t xml:space="preserve">Las contraseñas de acceso:</t>
  </si>
  <si>
    <t xml:space="preserve">Son personales e intransferibles</t>
  </si>
  <si>
    <t xml:space="preserve">Pueden compartirse dentro del servicio</t>
  </si>
  <si>
    <t xml:space="preserve">Pueden dejarse anotadas si el equipo es fijo</t>
  </si>
  <si>
    <t xml:space="preserve">Las credenciales son personales e intransferibles y soportan la trazabilidad de los accesos.</t>
  </si>
  <si>
    <t xml:space="preserve">b) y c) destruyen la trazabilidad y comprometen la reserva.</t>
  </si>
  <si>
    <t xml:space="preserve">Política de seguridad de la información institucional</t>
  </si>
  <si>
    <t xml:space="preserve">F0240</t>
  </si>
  <si>
    <t xml:space="preserve">Las copias de seguridad de la información clínica:</t>
  </si>
  <si>
    <t xml:space="preserve">Deben realizarse, custodiarse y probarse periódicamente</t>
  </si>
  <si>
    <t xml:space="preserve">Bastan si se hacen una vez al año</t>
  </si>
  <si>
    <t xml:space="preserve">Son responsabilidad del proveedor únicamente</t>
  </si>
  <si>
    <t xml:space="preserve">Los respaldos deben realizarse, custodiarse y probarse con periodicidad definida.</t>
  </si>
  <si>
    <t xml:space="preserve">b) deja un período sin respaldo y c) traslada una responsabilidad institucional.</t>
  </si>
  <si>
    <t xml:space="preserve">F0241</t>
  </si>
  <si>
    <t xml:space="preserve">C081</t>
  </si>
  <si>
    <t xml:space="preserve">Caso 081</t>
  </si>
  <si>
    <t xml:space="preserve">El hospital diseña su política de humanización con participación de los usuarios.</t>
  </si>
  <si>
    <t xml:space="preserve">La política de humanización debe:</t>
  </si>
  <si>
    <t xml:space="preserve">Traducirse en prácticas concretas medibles, no solo en un documento</t>
  </si>
  <si>
    <t xml:space="preserve">Ser un documento de referencia</t>
  </si>
  <si>
    <t xml:space="preserve">Limitarse a la capacitación anual</t>
  </si>
  <si>
    <t xml:space="preserve">La política se materializa en prácticas concretas, medibles y verificables en la atención.</t>
  </si>
  <si>
    <t xml:space="preserve">b) y c) la dejan en el plano declarativo o formativo.</t>
  </si>
  <si>
    <t xml:space="preserve">Sistema Único de Acreditación; Ley 1751 de 2015</t>
  </si>
  <si>
    <t xml:space="preserve">F0242</t>
  </si>
  <si>
    <t xml:space="preserve">El acompañamiento familiar en hospitalización:</t>
  </si>
  <si>
    <t xml:space="preserve">Debe facilitarse salvo contraindicación clínica justificada</t>
  </si>
  <si>
    <t xml:space="preserve">Debe restringirse por regla general</t>
  </si>
  <si>
    <t xml:space="preserve">Depende de la disponibilidad de sillas</t>
  </si>
  <si>
    <t xml:space="preserve">El acompañamiento se facilita como parte del trato humanizado, salvo contraindicación clínica documentada.</t>
  </si>
  <si>
    <t xml:space="preserve">b) invierte la regla y c) sustituye el criterio clínico por uno logístico.</t>
  </si>
  <si>
    <t xml:space="preserve">Modelo de humanización, Minsalud</t>
  </si>
  <si>
    <t xml:space="preserve">F0243</t>
  </si>
  <si>
    <t xml:space="preserve">La atención al final de la vida exige:</t>
  </si>
  <si>
    <t xml:space="preserve">Cuidados paliativos, manejo del dolor y acompañamiento</t>
  </si>
  <si>
    <t xml:space="preserve">Solo tratamiento curativo</t>
  </si>
  <si>
    <t xml:space="preserve">Traslado a otra institución</t>
  </si>
  <si>
    <t xml:space="preserve">La atención al final de la vida comprende cuidados paliativos, manejo del dolor y acompañamiento.</t>
  </si>
  <si>
    <t xml:space="preserve">b) configura obstinación terapéutica y c) fragmenta el cuidado.</t>
  </si>
  <si>
    <t xml:space="preserve">Ley 1733 de 2014</t>
  </si>
  <si>
    <t xml:space="preserve">F0244</t>
  </si>
  <si>
    <t xml:space="preserve">C082</t>
  </si>
  <si>
    <t xml:space="preserve">Caso 082</t>
  </si>
  <si>
    <t xml:space="preserve">En la sala de espera un usuario graba video mientras reclama por la demora.</t>
  </si>
  <si>
    <t xml:space="preserve">La conducta del funcionario debe ser:</t>
  </si>
  <si>
    <t xml:space="preserve">Mantener el trato respetuoso, atender el reclamo y proteger la intimidad de otros pacientes</t>
  </si>
  <si>
    <t xml:space="preserve">Exigir que borre el video antes de atenderlo</t>
  </si>
  <si>
    <t xml:space="preserve">Retirarse del puesto</t>
  </si>
  <si>
    <t xml:space="preserve">Se atiende el reclamo con respeto y se protege la intimidad de los demás pacientes presentes.</t>
  </si>
  <si>
    <t xml:space="preserve">b) condiciona la atención y c) abandona el servicio.</t>
  </si>
  <si>
    <t xml:space="preserve">Ley 1755 de 2015; C.P. art. 15</t>
  </si>
  <si>
    <t xml:space="preserve">F0245</t>
  </si>
  <si>
    <t xml:space="preserve">Si la grabación expone a otros pacientes, corresponde:</t>
  </si>
  <si>
    <t xml:space="preserve">Advertir sobre la protección de datos de terceros y reubicar la atención si es posible</t>
  </si>
  <si>
    <t xml:space="preserve">Llamar a la policía de inmediato</t>
  </si>
  <si>
    <t xml:space="preserve">Permitirlo sin observación</t>
  </si>
  <si>
    <t xml:space="preserve">Se advierte sobre la protección de datos de terceros y se busca un espacio que preserve la intimidad.</t>
  </si>
  <si>
    <t xml:space="preserve">b) escala innecesariamente y c) desatiende la protección de terceros.</t>
  </si>
  <si>
    <t xml:space="preserve">Ley 1581 de 2012</t>
  </si>
  <si>
    <t xml:space="preserve">F0246</t>
  </si>
  <si>
    <t xml:space="preserve">El reclamo verbal del usuario:</t>
  </si>
  <si>
    <t xml:space="preserve">Debe registrarse y tramitarse como cualquier PQRSD</t>
  </si>
  <si>
    <t xml:space="preserve">Solo cuenta si es escrito</t>
  </si>
  <si>
    <t xml:space="preserve">Puede omitirse si se resolvió en el momento</t>
  </si>
  <si>
    <t xml:space="preserve">Los reclamos, incluidos los verbales, se registran y tramitan por el sistema de PQRSD.</t>
  </si>
  <si>
    <t xml:space="preserve">b) y c) dejan sin registro información útil para el mejoramiento.</t>
  </si>
  <si>
    <t xml:space="preserve">F0247</t>
  </si>
  <si>
    <t xml:space="preserve">C083</t>
  </si>
  <si>
    <t xml:space="preserve">Caso 083</t>
  </si>
  <si>
    <t xml:space="preserve">El comité de ética recibe el caso de una adolescente que solicita atención sin sus padres.</t>
  </si>
  <si>
    <t xml:space="preserve">Frente a la autonomía progresiva del adolescente:</t>
  </si>
  <si>
    <t xml:space="preserve">Debe valorarse su capacidad de comprensión y decidir conforme al interés superior</t>
  </si>
  <si>
    <t xml:space="preserve">Se requiere siempre autorización de los padres</t>
  </si>
  <si>
    <t xml:space="preserve">La decisión la toma el médico sin consultarla</t>
  </si>
  <si>
    <t xml:space="preserve">La autonomía progresiva obliga a valorar la capacidad del adolescente y a decidir conforme a su interés superior.</t>
  </si>
  <si>
    <t xml:space="preserve">b) desconoce la autonomía progresiva y c) excluye a la titular de la decisión.</t>
  </si>
  <si>
    <t xml:space="preserve">Ley 1098 de 2006; jurisprudencia constitucional</t>
  </si>
  <si>
    <t xml:space="preserve">F0248</t>
  </si>
  <si>
    <t xml:space="preserve">La confidencialidad frente a los padres:</t>
  </si>
  <si>
    <t xml:space="preserve">Se pondera según la edad, la madurez y el riesgo para la adolescente</t>
  </si>
  <si>
    <t xml:space="preserve">Nunca aplica frente a los padres</t>
  </si>
  <si>
    <t xml:space="preserve">Aplica de manera absoluta</t>
  </si>
  <si>
    <t xml:space="preserve">La confidencialidad se pondera con la edad, la madurez y el riesgo, sin reglas absolutas.</t>
  </si>
  <si>
    <t xml:space="preserve">b) y c) resuelven por regla fija un juicio que exige ponderación.</t>
  </si>
  <si>
    <t xml:space="preserve">Ley 1098 de 2006</t>
  </si>
  <si>
    <t xml:space="preserve">F0249</t>
  </si>
  <si>
    <t xml:space="preserve">Si se detecta un riesgo de vulneración de derechos del menor:</t>
  </si>
  <si>
    <t xml:space="preserve">Debe activarse la ruta de protección ante la autoridad competente</t>
  </si>
  <si>
    <t xml:space="preserve">Se registra solo en la historia clínica</t>
  </si>
  <si>
    <t xml:space="preserve">Se informa únicamente a la familia</t>
  </si>
  <si>
    <t xml:space="preserve">Detectado un riesgo de vulneración, se activa la ruta de protección ante la autoridad competente.</t>
  </si>
  <si>
    <t xml:space="preserve">b) y c) dejan el riesgo sin intervención institucional.</t>
  </si>
  <si>
    <t xml:space="preserve">F0250</t>
  </si>
  <si>
    <t xml:space="preserve">C084</t>
  </si>
  <si>
    <t xml:space="preserve">Caso 084</t>
  </si>
  <si>
    <t xml:space="preserve">El SIAU analiza las quejas del trimestre y su relación con la calidad.</t>
  </si>
  <si>
    <t xml:space="preserve">Las quejas deben analizarse:</t>
  </si>
  <si>
    <t xml:space="preserve">De forma agregada, para identificar causas y priorizar mejoras</t>
  </si>
  <si>
    <t xml:space="preserve">Caso por caso, sin consolidar</t>
  </si>
  <si>
    <t xml:space="preserve">Solo cuando llegan a la Superintendencia</t>
  </si>
  <si>
    <t xml:space="preserve">El análisis agregado permite identificar causas comunes y priorizar acciones de mejora.</t>
  </si>
  <si>
    <t xml:space="preserve">b) pierde el patrón y c) espera a la escalada externa.</t>
  </si>
  <si>
    <t xml:space="preserve">PAMEC; Ley 1122 de 2007</t>
  </si>
  <si>
    <t xml:space="preserve">F0251</t>
  </si>
  <si>
    <t xml:space="preserve">La encuesta de satisfacción sirve para:</t>
  </si>
  <si>
    <t xml:space="preserve">Medir la percepción del usuario y alimentar el mejoramiento</t>
  </si>
  <si>
    <t xml:space="preserve">Calificar al personal individualmente</t>
  </si>
  <si>
    <t xml:space="preserve">Justificar tarifas</t>
  </si>
  <si>
    <t xml:space="preserve">La medición de satisfacción alimenta el ciclo de mejoramiento institucional.</t>
  </si>
  <si>
    <t xml:space="preserve">b) la desvía a un uso sancionatorio y c) a uno económico.</t>
  </si>
  <si>
    <t xml:space="preserve">F0252</t>
  </si>
  <si>
    <t xml:space="preserve">La respuesta a una queja debe:</t>
  </si>
  <si>
    <t xml:space="preserve">Resolver de fondo, en lenguaje claro y dentro del término legal</t>
  </si>
  <si>
    <t xml:space="preserve">Limitarse a acusar recibo</t>
  </si>
  <si>
    <t xml:space="preserve">Remitirse siempre a la EPS</t>
  </si>
  <si>
    <t xml:space="preserve">La respuesta debe ser de fondo, clara y oportuna.</t>
  </si>
  <si>
    <t xml:space="preserve">b) no resuelve y c) traslada indebidamente la competencia.</t>
  </si>
  <si>
    <t xml:space="preserve">Ley 1755 de 2015</t>
  </si>
  <si>
    <t xml:space="preserve">F0253</t>
  </si>
  <si>
    <t xml:space="preserve">C085</t>
  </si>
  <si>
    <t xml:space="preserve">Caso 085</t>
  </si>
  <si>
    <t xml:space="preserve">Una persona sorda acude sin intérprete a solicitar una cita.</t>
  </si>
  <si>
    <t xml:space="preserve">La institución debe:</t>
  </si>
  <si>
    <t xml:space="preserve">Garantizar un medio de comunicación accesible para prestar el servicio</t>
  </si>
  <si>
    <t xml:space="preserve">Pedirle que regrese con un acompañante</t>
  </si>
  <si>
    <t xml:space="preserve">Atenderla por escrito sin verificar comprensión</t>
  </si>
  <si>
    <t xml:space="preserve">El deber de accesibilidad obliga a proveer un medio de comunicación que permita el acceso al servicio.</t>
  </si>
  <si>
    <t xml:space="preserve">b) traslada la barrera al usuario y c) presume una comprensión no verificada.</t>
  </si>
  <si>
    <t xml:space="preserve">Ley 1618 de 2013; Ley 982 de 2005</t>
  </si>
  <si>
    <t xml:space="preserve">F0254</t>
  </si>
  <si>
    <t xml:space="preserve">Los ajustes razonables son:</t>
  </si>
  <si>
    <t xml:space="preserve">Modificaciones necesarias y adecuadas que no impongan una carga desproporcionada</t>
  </si>
  <si>
    <t xml:space="preserve">Beneficios opcionales</t>
  </si>
  <si>
    <t xml:space="preserve">Solo obras físicas</t>
  </si>
  <si>
    <t xml:space="preserve">Los ajustes razonables son modificaciones necesarias y adecuadas, sin carga desproporcionada.</t>
  </si>
  <si>
    <t xml:space="preserve">b) los vuelve discrecionales y c) los reduce a infraestructura.</t>
  </si>
  <si>
    <t xml:space="preserve">Ley 1346 de 2009; Ley 1618 de 2013</t>
  </si>
  <si>
    <t xml:space="preserve">F0255</t>
  </si>
  <si>
    <t xml:space="preserve">La señalización y la información institucional deben:</t>
  </si>
  <si>
    <t xml:space="preserve">Ser accesibles y comprensibles para personas con discapacidad</t>
  </si>
  <si>
    <t xml:space="preserve">Estar solo en texto</t>
  </si>
  <si>
    <t xml:space="preserve">Ubicarse solo en la entrada</t>
  </si>
  <si>
    <t xml:space="preserve">La información institucional debe ser accesible y comprensible, en formatos alternativos cuando se requiera.</t>
  </si>
  <si>
    <t xml:space="preserve">b) y c) excluyen a parte de los usuarios.</t>
  </si>
  <si>
    <t xml:space="preserve">Resolución 1519 de 2020; Ley 1618 de 2013</t>
  </si>
  <si>
    <t xml:space="preserve">F0256</t>
  </si>
  <si>
    <t xml:space="preserve">C086</t>
  </si>
  <si>
    <t xml:space="preserve">Caso 086</t>
  </si>
  <si>
    <t xml:space="preserve">El CRUE asigna al hospital un paciente politraumatizado de otro municipio del Huila.</t>
  </si>
  <si>
    <t xml:space="preserve">El centro regulador de urgencias y emergencias cumple la función de:</t>
  </si>
  <si>
    <t xml:space="preserve">Coordinar la referencia y asignar la institución receptora según capacidad y complejidad</t>
  </si>
  <si>
    <t xml:space="preserve">Autorizar los servicios ante la EPS</t>
  </si>
  <si>
    <t xml:space="preserve">Facturar el traslado</t>
  </si>
  <si>
    <t xml:space="preserve">El CRUE coordina la referencia y asigna la institución receptora según capacidad y complejidad.</t>
  </si>
  <si>
    <t xml:space="preserve">b) es función del asegurador y c) del área administrativa del prestador.</t>
  </si>
  <si>
    <t xml:space="preserve">Resolución 1220 de 2010</t>
  </si>
  <si>
    <t xml:space="preserve">F0257</t>
  </si>
  <si>
    <t xml:space="preserve">Si el hospital receptor no tiene camas disponibles:</t>
  </si>
  <si>
    <t xml:space="preserve">Debe informarlo de inmediato y el CRUE continúa la gestión de un destino asistencial</t>
  </si>
  <si>
    <t xml:space="preserve">Puede ignorar la solicitud</t>
  </si>
  <si>
    <t xml:space="preserve">Debe recibir igual y ubicar al paciente en pasillo</t>
  </si>
  <si>
    <t xml:space="preserve">La institución informa su condición real y el centro regulador continúa la búsqueda del destino.</t>
  </si>
  <si>
    <t xml:space="preserve">b) desatiende al paciente y c) compromete su seguridad y la del servicio.</t>
  </si>
  <si>
    <t xml:space="preserve">F0258</t>
  </si>
  <si>
    <t xml:space="preserve">La responsabilidad sobre el paciente durante el traslado corresponde a:</t>
  </si>
  <si>
    <t xml:space="preserve">Quien realiza el traslado, hasta la entrega formal al receptor</t>
  </si>
  <si>
    <t xml:space="preserve">Al hospital de origen hasta el alta</t>
  </si>
  <si>
    <t xml:space="preserve">Al receptor desde la solicitud</t>
  </si>
  <si>
    <t xml:space="preserve">La responsabilidad recae en quien ejecuta el traslado hasta la entrega formal del paciente.</t>
  </si>
  <si>
    <t xml:space="preserve">b) y c) desplazan la responsabilidad a momentos que no corresponden.</t>
  </si>
  <si>
    <t xml:space="preserve">F0259</t>
  </si>
  <si>
    <t xml:space="preserve">C087</t>
  </si>
  <si>
    <t xml:space="preserve">Caso 087</t>
  </si>
  <si>
    <t xml:space="preserve">Se documenta el egreso de un paciente remitido desde un municipio lejano.</t>
  </si>
  <si>
    <t xml:space="preserve">La epicrisis debe entregarse:</t>
  </si>
  <si>
    <t xml:space="preserve">Al paciente y al prestador remitente, como soporte de la contrarreferencia</t>
  </si>
  <si>
    <t xml:space="preserve">Solo a la EPS</t>
  </si>
  <si>
    <t xml:space="preserve">Solo si el paciente la solicita</t>
  </si>
  <si>
    <t xml:space="preserve">La epicrisis soporta la continuidad del cuidado y se remite al prestador de origen además de entregarse al paciente.</t>
  </si>
  <si>
    <t xml:space="preserve">b) y c) rompen la continuidad del cuidado.</t>
  </si>
  <si>
    <t xml:space="preserve">Resolución 1995 de 1999; Resolución 3047 de 2008</t>
  </si>
  <si>
    <t xml:space="preserve">F0260</t>
  </si>
  <si>
    <t xml:space="preserve">El plan de egreso debe incluir:</t>
  </si>
  <si>
    <t xml:space="preserve">Indicaciones, signos de alarma, controles y responsable del seguimiento</t>
  </si>
  <si>
    <t xml:space="preserve">Solo la fórmula médica</t>
  </si>
  <si>
    <t xml:space="preserve">Solo la fecha del próximo control</t>
  </si>
  <si>
    <t xml:space="preserve">El plan de egreso comprende indicaciones, signos de alarma, controles y responsable del seguimiento.</t>
  </si>
  <si>
    <t xml:space="preserve">b) y c) entregan piezas sueltas sin plan de cuidado.</t>
  </si>
  <si>
    <t xml:space="preserve">Guías de práctica clínica; SOGCS</t>
  </si>
  <si>
    <t xml:space="preserve">F0261</t>
  </si>
  <si>
    <t xml:space="preserve">Si el paciente vive en zona dispersa, el egreso debe:</t>
  </si>
  <si>
    <t xml:space="preserve">Coordinarse con la red y el asegurador para asegurar el seguimiento</t>
  </si>
  <si>
    <t xml:space="preserve">Realizarse igual, sin coordinación</t>
  </si>
  <si>
    <t xml:space="preserve">Aplazarse indefinidamente</t>
  </si>
  <si>
    <t xml:space="preserve">El egreso seguro exige coordinación con la red y el asegurador para garantizar el seguimiento.</t>
  </si>
  <si>
    <t xml:space="preserve">b) traslada el riesgo al paciente y c) prolonga la estancia sin causa clínica.</t>
  </si>
  <si>
    <t xml:space="preserve">F0262</t>
  </si>
  <si>
    <t xml:space="preserve">C088</t>
  </si>
  <si>
    <t xml:space="preserve">Caso 088</t>
  </si>
  <si>
    <t xml:space="preserve">El hospital documenta una negativa reiterada de una EPS a autorizar traslados.</t>
  </si>
  <si>
    <t xml:space="preserve">Documentar los hechos y reportarlos a la Superintendencia Nacional de Salud</t>
  </si>
  <si>
    <t xml:space="preserve">Suspender la atención de los afiliados de esa EPS</t>
  </si>
  <si>
    <t xml:space="preserve">Cobrar directamente al usuario</t>
  </si>
  <si>
    <t xml:space="preserve">Los hechos se documentan y se reportan a la autoridad de inspección, vigilancia y control.</t>
  </si>
  <si>
    <t xml:space="preserve">b) sanciona al usuario por un conflicto entre entidades y c) traslada el costo al paciente.</t>
  </si>
  <si>
    <t xml:space="preserve">Ley 1122 de 2007; Ley 1751 de 2015</t>
  </si>
  <si>
    <t xml:space="preserve">F0263</t>
  </si>
  <si>
    <t xml:space="preserve">Mientras se resuelve el conflicto entre entidades:</t>
  </si>
  <si>
    <t xml:space="preserve">La atención del paciente no puede interrumpirse</t>
  </si>
  <si>
    <t xml:space="preserve">Puede suspenderse el tratamiento</t>
  </si>
  <si>
    <t xml:space="preserve">El paciente debe firmar un pagaré</t>
  </si>
  <si>
    <t xml:space="preserve">Los conflictos entre entidades no pueden afectar la continuidad de la atención.</t>
  </si>
  <si>
    <t xml:space="preserve">b) y c) trasladan al paciente las consecuencias de un desacuerdo ajeno.</t>
  </si>
  <si>
    <t xml:space="preserve">F0264</t>
  </si>
  <si>
    <t xml:space="preserve">El cobro de un pagaré o depósito como condición de la atención de urgencias:</t>
  </si>
  <si>
    <t xml:space="preserve">Está prohibido</t>
  </si>
  <si>
    <t xml:space="preserve">Procede si el usuario no está afiliado</t>
  </si>
  <si>
    <t xml:space="preserve">Procede con autorización del gerente</t>
  </si>
  <si>
    <t xml:space="preserve">Condicionar la atención de urgencias a un pago o garantía está prohibido.</t>
  </si>
  <si>
    <t xml:space="preserve">b) y c) reintroducen una barrera económica proscrita.</t>
  </si>
  <si>
    <t xml:space="preserve">F0265</t>
  </si>
  <si>
    <t xml:space="preserve">C089</t>
  </si>
  <si>
    <t xml:space="preserve">Caso 089</t>
  </si>
  <si>
    <t xml:space="preserve">En la oficina de referencia se llevan indicadores del proceso.</t>
  </si>
  <si>
    <t xml:space="preserve">El porcentaje de contrarreferencias efectivas mide:</t>
  </si>
  <si>
    <t xml:space="preserve">Cuántas remisiones recibidas se respondieron con información al prestador de origen</t>
  </si>
  <si>
    <t xml:space="preserve">Cuántos pacientes egresaron</t>
  </si>
  <si>
    <t xml:space="preserve">Cuántas camas se ocuparon</t>
  </si>
  <si>
    <t xml:space="preserve">El indicador mide la proporción de casos con respuesta efectiva al remitente.</t>
  </si>
  <si>
    <t xml:space="preserve">b) y c) miden egreso y ocupación, no continuidad.</t>
  </si>
  <si>
    <t xml:space="preserve">F0266</t>
  </si>
  <si>
    <t xml:space="preserve">Un alto porcentaje de remisiones no pertinentes sugiere:</t>
  </si>
  <si>
    <t xml:space="preserve">Necesidad de fortalecer la capacidad resolutiva de la red remitente</t>
  </si>
  <si>
    <t xml:space="preserve">Exceso de camas en el receptor</t>
  </si>
  <si>
    <t xml:space="preserve">Buena articulación de la red</t>
  </si>
  <si>
    <t xml:space="preserve">La falta de pertinencia apunta a debilidad resolutiva en el nivel que remite.</t>
  </si>
  <si>
    <t xml:space="preserve">b) y c) leen mal el indicador.</t>
  </si>
  <si>
    <t xml:space="preserve">Ley 1438 de 2011</t>
  </si>
  <si>
    <t xml:space="preserve">F0267</t>
  </si>
  <si>
    <t xml:space="preserve">La trazabilidad del proceso de referencia exige:</t>
  </si>
  <si>
    <t xml:space="preserve">Registrar solicitud, respuesta, tiempos y responsable de cada actuación</t>
  </si>
  <si>
    <t xml:space="preserve">Registrar solo la aceptación</t>
  </si>
  <si>
    <t xml:space="preserve">Archivar solo la epicrisis</t>
  </si>
  <si>
    <t xml:space="preserve">La trazabilidad requiere el registro de cada actuación con sus tiempos y responsables.</t>
  </si>
  <si>
    <t xml:space="preserve">b) y c) dejan el proceso sin auditoría posible.</t>
  </si>
  <si>
    <t xml:space="preserve">F0268</t>
  </si>
  <si>
    <t xml:space="preserve">C090</t>
  </si>
  <si>
    <t xml:space="preserve">Caso 090</t>
  </si>
  <si>
    <t xml:space="preserve">Se revisa la contrarreferencia de pacientes crónicos que consultan repetidamente a urgencias.</t>
  </si>
  <si>
    <t xml:space="preserve">La alta frecuentación de urgencias por crónicos sugiere:</t>
  </si>
  <si>
    <t xml:space="preserve">Fallas en la continuidad del cuidado ambulatorio</t>
  </si>
  <si>
    <t xml:space="preserve">Buena accesibilidad del servicio</t>
  </si>
  <si>
    <t xml:space="preserve">Exceso de oferta hospitalaria</t>
  </si>
  <si>
    <t xml:space="preserve">La frecuentación de crónicos en urgencias señala fallas de continuidad en el manejo ambulatorio.</t>
  </si>
  <si>
    <t xml:space="preserve">b) y c) interpretan como fortaleza un indicador de alerta.</t>
  </si>
  <si>
    <t xml:space="preserve">Ley 1438 de 2011; RIAS</t>
  </si>
  <si>
    <t xml:space="preserve">F0269</t>
  </si>
  <si>
    <t xml:space="preserve">Las rutas integrales de atención en salud buscan:</t>
  </si>
  <si>
    <t xml:space="preserve">Ordenar las intervenciones a lo largo del curso de vida y del proceso de atención</t>
  </si>
  <si>
    <t xml:space="preserve">Reemplazar las guías clínicas</t>
  </si>
  <si>
    <t xml:space="preserve">Definir tarifas</t>
  </si>
  <si>
    <t xml:space="preserve">Las RIAS ordenan las intervenciones a lo largo del curso de vida y del proceso de atención.</t>
  </si>
  <si>
    <t xml:space="preserve">b) y c) confunden las rutas con guías o con acuerdos económicos.</t>
  </si>
  <si>
    <t xml:space="preserve">Resolución 3280 de 2018</t>
  </si>
  <si>
    <t xml:space="preserve">F0270</t>
  </si>
  <si>
    <t xml:space="preserve">El hospital de alta complejidad aporta a esa ruta cuando:</t>
  </si>
  <si>
    <t xml:space="preserve">Contrarrefiere con plan de manejo claro al prestador primario</t>
  </si>
  <si>
    <t xml:space="preserve">Retiene al paciente en su consulta externa</t>
  </si>
  <si>
    <t xml:space="preserve">Da de alta sin informar</t>
  </si>
  <si>
    <t xml:space="preserve">El aporte se concreta en una contrarreferencia con plan de manejo claro para el prestador primario.</t>
  </si>
  <si>
    <t xml:space="preserve">b) desordena la ruta y c) rompe la continuidad.</t>
  </si>
  <si>
    <t xml:space="preserve">F0271</t>
  </si>
  <si>
    <t xml:space="preserve">C091</t>
  </si>
  <si>
    <t xml:space="preserve">Caso 091</t>
  </si>
  <si>
    <t xml:space="preserve">Una gestante en trabajo de parto llega remitida sin control prenatal.</t>
  </si>
  <si>
    <t xml:space="preserve">La atención del parto en urgencias:</t>
  </si>
  <si>
    <t xml:space="preserve">Debe prestarse de inmediato, con activación de la ruta materno perinatal</t>
  </si>
  <si>
    <t xml:space="preserve">Requiere autorización previa</t>
  </si>
  <si>
    <t xml:space="preserve">Debe remitirse a otra institución</t>
  </si>
  <si>
    <t xml:space="preserve">La atención obstétrica urgente se presta de inmediato y activa la ruta materno perinatal.</t>
  </si>
  <si>
    <t xml:space="preserve">b) condiciona la atención y c) demora el manejo de una urgencia.</t>
  </si>
  <si>
    <t xml:space="preserve">Resolución 3280 de 2018; Ley 1751 de 2015</t>
  </si>
  <si>
    <t xml:space="preserve">F0272</t>
  </si>
  <si>
    <t xml:space="preserve">La morbilidad materna extrema es:</t>
  </si>
  <si>
    <t xml:space="preserve">Un evento de notificación obligatoria al sistema de vigilancia</t>
  </si>
  <si>
    <t xml:space="preserve">Un indicador interno</t>
  </si>
  <si>
    <t xml:space="preserve">Un evento que se reporta solo si hay muerte</t>
  </si>
  <si>
    <t xml:space="preserve">La morbilidad materna extrema es evento de interés en salud pública y se notifica.</t>
  </si>
  <si>
    <t xml:space="preserve">b) y c) mantienen el evento fuera de la vigilancia obligatoria.</t>
  </si>
  <si>
    <t xml:space="preserve">Protocolos INS; Decreto 3518 de 2006</t>
  </si>
  <si>
    <t xml:space="preserve">F0273</t>
  </si>
  <si>
    <t xml:space="preserve">El recién nacido debe recibir:</t>
  </si>
  <si>
    <t xml:space="preserve">Atención inmediata, identificación y registro, con vinculación al sistema</t>
  </si>
  <si>
    <t xml:space="preserve">Solo atención si la madre está afiliada</t>
  </si>
  <si>
    <t xml:space="preserve">Atención diferida hasta el alta materna</t>
  </si>
  <si>
    <t xml:space="preserve">El recién nacido recibe atención inmediata e identificación, con la vinculación que corresponda.</t>
  </si>
  <si>
    <t xml:space="preserve">b) y c) condicionan o difieren una atención obligatoria.</t>
  </si>
  <si>
    <t xml:space="preserve">Ley 1098 de 2006; Decreto 780 de 2016</t>
  </si>
  <si>
    <t xml:space="preserve">F0274</t>
  </si>
  <si>
    <t xml:space="preserve">C092</t>
  </si>
  <si>
    <t xml:space="preserve">Caso 092</t>
  </si>
  <si>
    <t xml:space="preserve">El servicio de urgencias organiza la respuesta ante un evento con múltiples víctimas.</t>
  </si>
  <si>
    <t xml:space="preserve">En una emergencia con múltiples víctimas el triage:</t>
  </si>
  <si>
    <t xml:space="preserve">Prioriza según gravedad y probabilidad de supervivencia con los recursos disponibles</t>
  </si>
  <si>
    <t xml:space="preserve">Atiende por orden de llegada</t>
  </si>
  <si>
    <t xml:space="preserve">Atiende primero a los menos graves</t>
  </si>
  <si>
    <t xml:space="preserve">En situaciones de múltiples víctimas la clasificación prioriza gravedad y posibilidad de beneficio con los recursos disponibles.</t>
  </si>
  <si>
    <t xml:space="preserve">b) ignora la gravedad y c) invierte la prioridad.</t>
  </si>
  <si>
    <t xml:space="preserve">Guías de atención prehospitalaria; Resolución 5596 de 2015</t>
  </si>
  <si>
    <t xml:space="preserve">F0275</t>
  </si>
  <si>
    <t xml:space="preserve">El plan hospitalario de emergencias debe:</t>
  </si>
  <si>
    <t xml:space="preserve">Estar documentado, socializado y probado mediante simulacros</t>
  </si>
  <si>
    <t xml:space="preserve">Existir solo en papel</t>
  </si>
  <si>
    <t xml:space="preserve">Activarse solo por orden del alcalde</t>
  </si>
  <si>
    <t xml:space="preserve">El plan debe estar documentado, socializado y probado con simulacros periódicos.</t>
  </si>
  <si>
    <t xml:space="preserve">b) lo deja inoperante y c) retrasa su activación institucional.</t>
  </si>
  <si>
    <t xml:space="preserve">Resolución 3100 de 2019; Ley 1523 de 2012</t>
  </si>
  <si>
    <t xml:space="preserve">F0276</t>
  </si>
  <si>
    <t xml:space="preserve">La activación del plan corresponde a:</t>
  </si>
  <si>
    <t xml:space="preserve">La instancia definida en el propio plan institucional</t>
  </si>
  <si>
    <t xml:space="preserve">Cualquier funcionario</t>
  </si>
  <si>
    <t xml:space="preserve">Solo al gerente, aunque no esté presente</t>
  </si>
  <si>
    <t xml:space="preserve">La activación corresponde a la instancia definida en el plan, con cadena de mando prevista.</t>
  </si>
  <si>
    <t xml:space="preserve">b) genera descoordinación y c) inmoviliza la respuesta.</t>
  </si>
  <si>
    <t xml:space="preserve">Ley 1523 de 2012</t>
  </si>
  <si>
    <t xml:space="preserve">F0277</t>
  </si>
  <si>
    <t xml:space="preserve">C093</t>
  </si>
  <si>
    <t xml:space="preserve">Caso 093</t>
  </si>
  <si>
    <t xml:space="preserve">Un paciente con trastorno mental agudo llega agitado a urgencias.</t>
  </si>
  <si>
    <t xml:space="preserve">La atención en salud mental en urgencias:</t>
  </si>
  <si>
    <t xml:space="preserve">Es parte de la atención de urgencias y no puede negarse</t>
  </si>
  <si>
    <t xml:space="preserve">Requiere remisión a psiquiatría antes de valorar</t>
  </si>
  <si>
    <t xml:space="preserve">Solo procede con acompañante</t>
  </si>
  <si>
    <t xml:space="preserve">La urgencia en salud mental integra la atención de urgencias y no puede negarse.</t>
  </si>
  <si>
    <t xml:space="preserve">b) y c) condicionan una atención inmediata.</t>
  </si>
  <si>
    <t xml:space="preserve">Ley 1616 de 2013; Ley 1751 de 2015</t>
  </si>
  <si>
    <t xml:space="preserve">F0278</t>
  </si>
  <si>
    <t xml:space="preserve">La hospitalización involuntaria:</t>
  </si>
  <si>
    <t xml:space="preserve">Es excepcional y procede con indicación clínica y garantías legales</t>
  </si>
  <si>
    <t xml:space="preserve">Depende de la solicitud de la familia</t>
  </si>
  <si>
    <t xml:space="preserve">Procede por decisión administrativa</t>
  </si>
  <si>
    <t xml:space="preserve">La hospitalización involuntaria es excepcional y exige indicación clínica y garantías legales.</t>
  </si>
  <si>
    <t xml:space="preserve">b) y c) desplazan el criterio clínico y las garantías del paciente.</t>
  </si>
  <si>
    <t xml:space="preserve">Ley 1616 de 2013</t>
  </si>
  <si>
    <t xml:space="preserve">F0279</t>
  </si>
  <si>
    <t xml:space="preserve">El paciente con trastorno mental conserva:</t>
  </si>
  <si>
    <t xml:space="preserve">Su derecho a la información y a decidir en lo que su condición lo permita</t>
  </si>
  <si>
    <t xml:space="preserve">Ningún derecho durante la crisis</t>
  </si>
  <si>
    <t xml:space="preserve">Solo derechos patrimoniales</t>
  </si>
  <si>
    <t xml:space="preserve">La persona conserva sus derechos, con los apoyos que su condición requiera.</t>
  </si>
  <si>
    <t xml:space="preserve">b) y c) suprimen derechos que la ley garantiza.</t>
  </si>
  <si>
    <t xml:space="preserve">Ley 1616 de 2013; Ley 1996 de 2019</t>
  </si>
  <si>
    <t xml:space="preserve">F0280</t>
  </si>
  <si>
    <t xml:space="preserve">C094</t>
  </si>
  <si>
    <t xml:space="preserve">Caso 094</t>
  </si>
  <si>
    <t xml:space="preserve">Se revisa el manejo de la sala de observación de urgencias.</t>
  </si>
  <si>
    <t xml:space="preserve">La estancia en observación debe:</t>
  </si>
  <si>
    <t xml:space="preserve">Tener criterios definidos y reevaluación periódica del paciente</t>
  </si>
  <si>
    <t xml:space="preserve">Extenderse hasta que haya cama</t>
  </si>
  <si>
    <t xml:space="preserve">No superar nunca una hora</t>
  </si>
  <si>
    <t xml:space="preserve">La observación exige criterios de ingreso y reevaluación periódica documentada.</t>
  </si>
  <si>
    <t xml:space="preserve">b) convierte la observación en hospitalización encubierta y c) fija un límite rígido sin sustento.</t>
  </si>
  <si>
    <t xml:space="preserve">Guías institucionales; Resolución 5596 de 2015</t>
  </si>
  <si>
    <t xml:space="preserve">F0281</t>
  </si>
  <si>
    <t xml:space="preserve">El registro en observación debe incluir:</t>
  </si>
  <si>
    <t xml:space="preserve">Evolución, signos vitales y decisiones con hora y responsable</t>
  </si>
  <si>
    <t xml:space="preserve">Solo el diagnóstico de ingreso</t>
  </si>
  <si>
    <t xml:space="preserve">Solo la orden de salida</t>
  </si>
  <si>
    <t xml:space="preserve">El registro debe dar cuenta de la evolución, los signos y las decisiones, con hora y responsable.</t>
  </si>
  <si>
    <t xml:space="preserve">b) y c) dejan sin trazabilidad el período de observación.</t>
  </si>
  <si>
    <t xml:space="preserve">F0282</t>
  </si>
  <si>
    <t xml:space="preserve">Si el paciente decide retirarse contra opinión médica:</t>
  </si>
  <si>
    <t xml:space="preserve">Se informa el riesgo, se documenta la decisión y se registra en la historia clínica</t>
  </si>
  <si>
    <t xml:space="preserve">Se impide su salida</t>
  </si>
  <si>
    <t xml:space="preserve">Se deja salir sin registro</t>
  </si>
  <si>
    <t xml:space="preserve">Se informa el riesgo, se documenta la decisión del paciente y se deja constancia.</t>
  </si>
  <si>
    <t xml:space="preserve">b) vulnera su libertad y c) deja a la institución sin soporte.</t>
  </si>
  <si>
    <t xml:space="preserve">F0283</t>
  </si>
  <si>
    <t xml:space="preserve">C095</t>
  </si>
  <si>
    <t xml:space="preserve">Caso 095</t>
  </si>
  <si>
    <t xml:space="preserve">El comité revisa los tiempos de espera en urgencias y su impacto legal.</t>
  </si>
  <si>
    <t xml:space="preserve">La demora injustificada en urgencias puede generar:</t>
  </si>
  <si>
    <t xml:space="preserve">Responsabilidad institucional y sanciones por parte de la autoridad de vigilancia</t>
  </si>
  <si>
    <t xml:space="preserve">Ninguna consecuencia si no hubo daño</t>
  </si>
  <si>
    <t xml:space="preserve">Solo una queja administrativa</t>
  </si>
  <si>
    <t xml:space="preserve">La demora injustificada compromete responsabilidad institucional y es objeto de vigilancia y sanción.</t>
  </si>
  <si>
    <t xml:space="preserve">b) y c) minimizan una conducta con consecuencias jurídicas.</t>
  </si>
  <si>
    <t xml:space="preserve">F0284</t>
  </si>
  <si>
    <t xml:space="preserve">El indicador de oportunidad en la atención de urgencias mide:</t>
  </si>
  <si>
    <t xml:space="preserve">El tiempo entre la clasificación y la atención médica</t>
  </si>
  <si>
    <t xml:space="preserve">El total de consultas atendidas</t>
  </si>
  <si>
    <t xml:space="preserve">La ocupación de camas</t>
  </si>
  <si>
    <t xml:space="preserve">El indicador mide el tiempo entre la clasificación del triage y la atención médica efectiva.</t>
  </si>
  <si>
    <t xml:space="preserve">b) y c) miden producción y ocupación.</t>
  </si>
  <si>
    <t xml:space="preserve">F0285</t>
  </si>
  <si>
    <t xml:space="preserve">La sobreocupación del servicio obliga a:</t>
  </si>
  <si>
    <t xml:space="preserve">Activar medidas institucionales de descongestión y reportarlo a la red</t>
  </si>
  <si>
    <t xml:space="preserve">Cerrar el servicio sin aviso</t>
  </si>
  <si>
    <t xml:space="preserve">Suspender el triage</t>
  </si>
  <si>
    <t xml:space="preserve">Se activan las medidas de descongestión previstas y se informa a la red y al centro regulador.</t>
  </si>
  <si>
    <t xml:space="preserve">b) y c) desatienden la demanda y eliminan la priorización clínica.</t>
  </si>
  <si>
    <t xml:space="preserve">F0286</t>
  </si>
  <si>
    <t xml:space="preserve">C096</t>
  </si>
  <si>
    <t xml:space="preserve">Caso 096</t>
  </si>
  <si>
    <t xml:space="preserve">La junta directiva estudia la planta de personal y las formas de vinculación.</t>
  </si>
  <si>
    <t xml:space="preserve">Los empleos de la planta de personal de la E.S.E. son:</t>
  </si>
  <si>
    <t xml:space="preserve">De carrera administrativa, salvo los de libre nombramiento y remoción y los de período</t>
  </si>
  <si>
    <t xml:space="preserve">Todos de libre nombramiento</t>
  </si>
  <si>
    <t xml:space="preserve">Todos de contrato de prestación de servicios</t>
  </si>
  <si>
    <t xml:space="preserve">Los empleos son de carrera administrativa, con las excepciones constitucionales y legales.</t>
  </si>
  <si>
    <t xml:space="preserve">b) y c) desconocen la regla general del artículo 125 de la Constitución.</t>
  </si>
  <si>
    <t xml:space="preserve">C.P. art. 125; Ley 909 de 2004</t>
  </si>
  <si>
    <t xml:space="preserve">F0287</t>
  </si>
  <si>
    <t xml:space="preserve">El contrato de prestación de servicios:</t>
  </si>
  <si>
    <t xml:space="preserve">Es excepcional, no genera relación laboral y no puede usarse para funciones permanentes</t>
  </si>
  <si>
    <t xml:space="preserve">Es la forma ordinaria de vinculación</t>
  </si>
  <si>
    <t xml:space="preserve">Genera derechos de carrera</t>
  </si>
  <si>
    <t xml:space="preserve">El contrato de prestación de servicios es excepcional y no puede encubrir funciones permanentes.</t>
  </si>
  <si>
    <t xml:space="preserve">b) y c) desconocen su naturaleza y sus límites.</t>
  </si>
  <si>
    <t xml:space="preserve">Ley 80 de 1993, art. 32; Ley 909 de 2004</t>
  </si>
  <si>
    <t xml:space="preserve">F0288</t>
  </si>
  <si>
    <t xml:space="preserve">El encargo procede:</t>
  </si>
  <si>
    <t xml:space="preserve">Para proveer transitoriamente un empleo con un servidor de carrera que cumpla requisitos</t>
  </si>
  <si>
    <t xml:space="preserve">Para cualquier persona externa</t>
  </si>
  <si>
    <t xml:space="preserve">Como forma de provisión definitiva</t>
  </si>
  <si>
    <t xml:space="preserve">El encargo provee transitoriamente el empleo con servidores de carrera que cumplan requisitos.</t>
  </si>
  <si>
    <t xml:space="preserve">b) y c) desconocen su titularidad y su transitoriedad.</t>
  </si>
  <si>
    <t xml:space="preserve">F0289</t>
  </si>
  <si>
    <t xml:space="preserve">C097</t>
  </si>
  <si>
    <t xml:space="preserve">Caso 097</t>
  </si>
  <si>
    <t xml:space="preserve">El hospital formula su plan estratégico y los instrumentos de gestión.</t>
  </si>
  <si>
    <t xml:space="preserve">El MIPG articula:</t>
  </si>
  <si>
    <t xml:space="preserve">Las políticas de gestión y desempeño institucional en dimensiones y políticas</t>
  </si>
  <si>
    <t xml:space="preserve">Solo el control interno</t>
  </si>
  <si>
    <t xml:space="preserve">Solo la gestión documental</t>
  </si>
  <si>
    <t xml:space="preserve">El Modelo Integrado de Planeación y Gestión articula dimensiones y políticas de gestión y desempeño.</t>
  </si>
  <si>
    <t xml:space="preserve">b) y c) son componentes dentro del modelo, no el modelo.</t>
  </si>
  <si>
    <t xml:space="preserve">Decreto 1499 de 2017</t>
  </si>
  <si>
    <t xml:space="preserve">F0290</t>
  </si>
  <si>
    <t xml:space="preserve">El plan de acción institucional debe:</t>
  </si>
  <si>
    <t xml:space="preserve">Derivarse del plan de desarrollo y del plan de gestión, con metas e indicadores</t>
  </si>
  <si>
    <t xml:space="preserve">Ser independiente de cualquier plan superior</t>
  </si>
  <si>
    <t xml:space="preserve">Elaborarse al cierre de la vigencia</t>
  </si>
  <si>
    <t xml:space="preserve">El plan de acción se deriva de los instrumentos superiores y fija metas e indicadores.</t>
  </si>
  <si>
    <t xml:space="preserve">b) lo desarticula y c) lo vacía de utilidad.</t>
  </si>
  <si>
    <t xml:space="preserve">Ley 152 de 1994; Decreto 1499 de 2017</t>
  </si>
  <si>
    <t xml:space="preserve">F0291</t>
  </si>
  <si>
    <t xml:space="preserve">El comité institucional de gestión y desempeño:</t>
  </si>
  <si>
    <t xml:space="preserve">Orienta la implementación del MIPG en la entidad</t>
  </si>
  <si>
    <t xml:space="preserve">Aprueba los contratos</t>
  </si>
  <si>
    <t xml:space="preserve">Ejerce control disciplinario</t>
  </si>
  <si>
    <t xml:space="preserve">El comité orienta la implementación del modelo de gestión en la entidad.</t>
  </si>
  <si>
    <t xml:space="preserve">b) y c) corresponden a otras instancias.</t>
  </si>
  <si>
    <t xml:space="preserve">F0292</t>
  </si>
  <si>
    <t xml:space="preserve">C098</t>
  </si>
  <si>
    <t xml:space="preserve">Caso 098</t>
  </si>
  <si>
    <t xml:space="preserve">El área de talento humano organiza la historia laboral y la seguridad y salud en el trabajo.</t>
  </si>
  <si>
    <t xml:space="preserve">El sistema de gestión de seguridad y salud en el trabajo exige:</t>
  </si>
  <si>
    <t xml:space="preserve">Identificación de peligros, evaluación de riesgos y plan anual de trabajo</t>
  </si>
  <si>
    <t xml:space="preserve">Solo la afiliación a la ARL</t>
  </si>
  <si>
    <t xml:space="preserve">Solo el examen de ingreso</t>
  </si>
  <si>
    <t xml:space="preserve">El SG-SST exige identificar peligros, evaluar riesgos y ejecutar un plan anual de trabajo.</t>
  </si>
  <si>
    <t xml:space="preserve">b) y c) son requisitos puntuales dentro de un sistema más amplio.</t>
  </si>
  <si>
    <t xml:space="preserve">Decreto 1072 de 2015</t>
  </si>
  <si>
    <t xml:space="preserve">F0293</t>
  </si>
  <si>
    <t xml:space="preserve">El reporte de un accidente de trabajo a la ARL debe hacerse:</t>
  </si>
  <si>
    <t xml:space="preserve">Dentro de los dos días hábiles siguientes al evento</t>
  </si>
  <si>
    <t xml:space="preserve">Dentro del mes siguiente</t>
  </si>
  <si>
    <t xml:space="preserve">Solo si hay incapacidad</t>
  </si>
  <si>
    <t xml:space="preserve">El empleador reporta el accidente a la ARL y a la EPS dentro de los dos días hábiles siguientes.</t>
  </si>
  <si>
    <t xml:space="preserve">b) y c) incumplen el término y la obligación de reporte.</t>
  </si>
  <si>
    <t xml:space="preserve">F0294</t>
  </si>
  <si>
    <t xml:space="preserve">La historia laboral del servidor público:</t>
  </si>
  <si>
    <t xml:space="preserve">Es un expediente con reserva parcial que debe conservarse conforme a las tablas de retención</t>
  </si>
  <si>
    <t xml:space="preserve">Es información pública total</t>
  </si>
  <si>
    <t xml:space="preserve">Puede destruirse al retiro</t>
  </si>
  <si>
    <t xml:space="preserve">La historia laboral se conserva conforme a la normativa archivística y tiene reserva sobre datos personales.</t>
  </si>
  <si>
    <t xml:space="preserve">b) desconoce la reserva y c) la conservación documental.</t>
  </si>
  <si>
    <t xml:space="preserve">Ley 594 de 2000; Ley 1581 de 2012</t>
  </si>
  <si>
    <t xml:space="preserve">F0295</t>
  </si>
  <si>
    <t xml:space="preserve">C099</t>
  </si>
  <si>
    <t xml:space="preserve">Caso 099</t>
  </si>
  <si>
    <t xml:space="preserve">La oficina de control interno programa sus auditorías.</t>
  </si>
  <si>
    <t xml:space="preserve">El control interno en la entidad es:</t>
  </si>
  <si>
    <t xml:space="preserve">Responsabilidad de todos los servidores, con evaluación independiente de la oficina</t>
  </si>
  <si>
    <t xml:space="preserve">Exclusivo de la oficina de control interno</t>
  </si>
  <si>
    <t xml:space="preserve">Función de la Contraloría</t>
  </si>
  <si>
    <t xml:space="preserve">El control interno es responsabilidad de todos; la oficina ejerce la evaluación independiente.</t>
  </si>
  <si>
    <t xml:space="preserve">b) y c) concentran en un actor lo que es responsabilidad institucional o confunden con el control fiscal.</t>
  </si>
  <si>
    <t xml:space="preserve">Ley 87 de 1993; Decreto 1499 de 2017</t>
  </si>
  <si>
    <t xml:space="preserve">F0296</t>
  </si>
  <si>
    <t xml:space="preserve">El informe de auditoría interna debe:</t>
  </si>
  <si>
    <t xml:space="preserve">Comunicarse al responsable del proceso y a la alta dirección con plan de mejoramiento</t>
  </si>
  <si>
    <t xml:space="preserve">Enviarse solo a la Contraloría</t>
  </si>
  <si>
    <t xml:space="preserve">Publicarse sin conocimiento del auditado</t>
  </si>
  <si>
    <t xml:space="preserve">Los hallazgos se comunican al responsable y a la alta dirección, con plan de mejoramiento.</t>
  </si>
  <si>
    <t xml:space="preserve">b) y c) omiten el debido proceso interno del auditado.</t>
  </si>
  <si>
    <t xml:space="preserve">Ley 87 de 1993</t>
  </si>
  <si>
    <t xml:space="preserve">F0297</t>
  </si>
  <si>
    <t xml:space="preserve">El plan de mejoramiento derivado de una auditoría:</t>
  </si>
  <si>
    <t xml:space="preserve">Tiene acciones, responsables, plazos y seguimiento verificable</t>
  </si>
  <si>
    <t xml:space="preserve">Se cumple con socializar los hallazgos</t>
  </si>
  <si>
    <t xml:space="preserve">Es opcional si el hallazgo es menor</t>
  </si>
  <si>
    <t xml:space="preserve">El plan exige acciones, responsables, plazos y seguimiento verificable.</t>
  </si>
  <si>
    <t xml:space="preserve">b) y c) dejan el hallazgo sin corrección.</t>
  </si>
  <si>
    <t xml:space="preserve">F0298</t>
  </si>
  <si>
    <t xml:space="preserve">C100</t>
  </si>
  <si>
    <t xml:space="preserve">Caso 100</t>
  </si>
  <si>
    <t xml:space="preserve">Se analiza la política de austeridad y el manejo presupuestal del hospital.</t>
  </si>
  <si>
    <t xml:space="preserve">El presupuesto de una E.S.E. se rige por:</t>
  </si>
  <si>
    <t xml:space="preserve">Su régimen presupuestal propio y las normas orgánicas aplicables</t>
  </si>
  <si>
    <t xml:space="preserve">La Ley 80 de 1993</t>
  </si>
  <si>
    <t xml:space="preserve">El Código de Comercio</t>
  </si>
  <si>
    <t xml:space="preserve">Las E.S.E. cuentan con régimen presupuestal propio, en el marco de las normas orgánicas aplicables.</t>
  </si>
  <si>
    <t xml:space="preserve">b) regula contratación estatal y c) la actividad mercantil.</t>
  </si>
  <si>
    <t xml:space="preserve">Decreto 115 de 1996; Ley 100 de 1993</t>
  </si>
  <si>
    <t xml:space="preserve">F0299</t>
  </si>
  <si>
    <t xml:space="preserve">El compromiso de recursos sin disponibilidad presupuestal:</t>
  </si>
  <si>
    <t xml:space="preserve">Está prohibido y compromete responsabilidad fiscal y disciplinaria</t>
  </si>
  <si>
    <t xml:space="preserve">Es admisible si el servicio es urgente</t>
  </si>
  <si>
    <t xml:space="preserve">Se subsana con adición posterior</t>
  </si>
  <si>
    <t xml:space="preserve">Comprometer recursos sin disponibilidad está prohibido y genera responsabilidad.</t>
  </si>
  <si>
    <t xml:space="preserve">b) y c) legitiman una práctica proscrita.</t>
  </si>
  <si>
    <t xml:space="preserve">Decreto 111 de 1996; Ley 610 de 2000</t>
  </si>
  <si>
    <t xml:space="preserve">F0300</t>
  </si>
  <si>
    <t xml:space="preserve">La responsabilidad fiscal se declara por:</t>
  </si>
  <si>
    <t xml:space="preserve">Un daño patrimonial al Estado causado con dolo o culpa grave</t>
  </si>
  <si>
    <t xml:space="preserve">Cualquier error administrativo</t>
  </si>
  <si>
    <t xml:space="preserve">La sola inconformidad de un ciudadano</t>
  </si>
  <si>
    <t xml:space="preserve">La responsabilidad fiscal exige daño patrimonial y conducta dolosa o gravemente culposa.</t>
  </si>
  <si>
    <t xml:space="preserve">b) y c) desconocen los elementos del juicio fiscal.</t>
  </si>
  <si>
    <t xml:space="preserve">Ley 610 de 2000</t>
  </si>
  <si>
    <t xml:space="preserve">F0301</t>
  </si>
  <si>
    <t xml:space="preserve">C101</t>
  </si>
  <si>
    <t xml:space="preserve">Caso 101</t>
  </si>
  <si>
    <t xml:space="preserve">Se revisa la gestión documental del hospital.</t>
  </si>
  <si>
    <t xml:space="preserve">Las tablas de retención documental definen:</t>
  </si>
  <si>
    <t xml:space="preserve">Los tiempos de permanencia de cada serie y su disposición final</t>
  </si>
  <si>
    <t xml:space="preserve">El presupuesto del archivo</t>
  </si>
  <si>
    <t xml:space="preserve">El organigrama</t>
  </si>
  <si>
    <t xml:space="preserve">Las TRD fijan tiempos de retención por serie documental y su disposición final.</t>
  </si>
  <si>
    <t xml:space="preserve">b) y c) no corresponden al instrumento archivístico.</t>
  </si>
  <si>
    <t xml:space="preserve">Ley 594 de 2000</t>
  </si>
  <si>
    <t xml:space="preserve">F0302</t>
  </si>
  <si>
    <t xml:space="preserve">El expediente electrónico debe garantizar:</t>
  </si>
  <si>
    <t xml:space="preserve">Autenticidad, integridad, fiabilidad y disponibilidad</t>
  </si>
  <si>
    <t xml:space="preserve">Solo respaldo en la nube</t>
  </si>
  <si>
    <t xml:space="preserve">Solo acceso rápido</t>
  </si>
  <si>
    <t xml:space="preserve">El expediente electrónico debe asegurar autenticidad, integridad, fiabilidad y disponibilidad.</t>
  </si>
  <si>
    <t xml:space="preserve">b) y c) son medios, no garantías documentales.</t>
  </si>
  <si>
    <t xml:space="preserve">Ley 594 de 2000; Decreto 1080 de 2015</t>
  </si>
  <si>
    <t xml:space="preserve">F0303</t>
  </si>
  <si>
    <t xml:space="preserve">La eliminación documental requiere:</t>
  </si>
  <si>
    <t xml:space="preserve">Acta del comité de archivo y publicación previa del inventario</t>
  </si>
  <si>
    <t xml:space="preserve">Autorización verbal</t>
  </si>
  <si>
    <t xml:space="preserve">Solicitud del área productora</t>
  </si>
  <si>
    <t xml:space="preserve">La eliminación exige decisión del comité, acta y publicidad del inventario.</t>
  </si>
  <si>
    <t xml:space="preserve">b) y c) omiten el procedimiento archivístico.</t>
  </si>
  <si>
    <t xml:space="preserve">Acuerdo 004 de 2019, AGN</t>
  </si>
  <si>
    <t xml:space="preserve">F0304</t>
  </si>
  <si>
    <t xml:space="preserve">C102</t>
  </si>
  <si>
    <t xml:space="preserve">Caso 102</t>
  </si>
  <si>
    <t xml:space="preserve">El hospital estructura la compra de medicamentos para la vigencia.</t>
  </si>
  <si>
    <t xml:space="preserve">El estudio previo en el régimen especial de la E.S.E.:</t>
  </si>
  <si>
    <t xml:space="preserve">Es necesario para justificar la necesidad, el objeto y el valor, por el principio de planeación</t>
  </si>
  <si>
    <t xml:space="preserve">No se requiere por ser derecho privado</t>
  </si>
  <si>
    <t xml:space="preserve">Se elabora después de firmar</t>
  </si>
  <si>
    <t xml:space="preserve">El principio de planeación exige estudios previos aun en regímenes contractuales especiales.</t>
  </si>
  <si>
    <t xml:space="preserve">b) confunde régimen sustantivo con ausencia de principios y c) invierte el orden lógico.</t>
  </si>
  <si>
    <t xml:space="preserve">Ley 1150 de 2007, art. 13; Resolución 5185 de 2013</t>
  </si>
  <si>
    <t xml:space="preserve">F0305</t>
  </si>
  <si>
    <t xml:space="preserve">La selección del contratista debe:</t>
  </si>
  <si>
    <t xml:space="preserve">Fundarse en criterios objetivos previamente definidos</t>
  </si>
  <si>
    <t xml:space="preserve">Basarse en la confianza del ordenador</t>
  </si>
  <si>
    <t xml:space="preserve">Ser discrecional sin motivación</t>
  </si>
  <si>
    <t xml:space="preserve">La selección se funda en criterios objetivos definidos previamente.</t>
  </si>
  <si>
    <t xml:space="preserve">b) y c) desconocen la objetividad y la motivación exigidas.</t>
  </si>
  <si>
    <t xml:space="preserve">Resolución 5185 de 2013; C.P. art. 209</t>
  </si>
  <si>
    <t xml:space="preserve">F0306</t>
  </si>
  <si>
    <t xml:space="preserve">La urgencia manifiesta o la contratación directa en la E.S.E.:</t>
  </si>
  <si>
    <t xml:space="preserve">Debe estar prevista y motivada en su estatuto de contratación</t>
  </si>
  <si>
    <t xml:space="preserve">Puede usarse libremente</t>
  </si>
  <si>
    <t xml:space="preserve">Está prohibida siempre</t>
  </si>
  <si>
    <t xml:space="preserve">Las causales y su motivación deben estar previstas en el estatuto adoptado por la junta directiva.</t>
  </si>
  <si>
    <t xml:space="preserve">b) elimina el control y c) niega una figura legítima si está reglada.</t>
  </si>
  <si>
    <t xml:space="preserve">Ley 1438 de 2011, art. 76</t>
  </si>
  <si>
    <t xml:space="preserve">F0307</t>
  </si>
  <si>
    <t xml:space="preserve">C103</t>
  </si>
  <si>
    <t xml:space="preserve">Caso 103</t>
  </si>
  <si>
    <t xml:space="preserve">La oficina jurídica revisa la ejecución de un contrato de servicios asistenciales.</t>
  </si>
  <si>
    <t xml:space="preserve">El contrato puede modificarse:</t>
  </si>
  <si>
    <t xml:space="preserve">Mediante acuerdo escrito, motivado y previo a la ejecución de lo modificado</t>
  </si>
  <si>
    <t xml:space="preserve">Verbalmente si hay confianza</t>
  </si>
  <si>
    <t xml:space="preserve">Después de ejecutado lo nuevo</t>
  </si>
  <si>
    <t xml:space="preserve">Las modificaciones deben constar por escrito, motivadas y antes de ejecutar lo modificado.</t>
  </si>
  <si>
    <t xml:space="preserve">b) y c) dejan sin soporte una variación del objeto o del valor.</t>
  </si>
  <si>
    <t xml:space="preserve">Resolución 5185 de 2013</t>
  </si>
  <si>
    <t xml:space="preserve">F0308</t>
  </si>
  <si>
    <t xml:space="preserve">El pago al contratista procede:</t>
  </si>
  <si>
    <t xml:space="preserve">Contra el cumplimiento acreditado de las obligaciones y los soportes exigidos</t>
  </si>
  <si>
    <t xml:space="preserve">Por el solo paso del tiempo</t>
  </si>
  <si>
    <t xml:space="preserve">Anticipado en todos los casos</t>
  </si>
  <si>
    <t xml:space="preserve">El pago procede contra el cumplimiento acreditado y los soportes pactados.</t>
  </si>
  <si>
    <t xml:space="preserve">b) y c) desligan el pago de la ejecución.</t>
  </si>
  <si>
    <t xml:space="preserve">F0309</t>
  </si>
  <si>
    <t xml:space="preserve">La liquidación del contrato tiene por objeto:</t>
  </si>
  <si>
    <t xml:space="preserve">Hacer el balance final de la ejecución y definir acuerdos o salvedades</t>
  </si>
  <si>
    <t xml:space="preserve">Renovar el contrato</t>
  </si>
  <si>
    <t xml:space="preserve">Ampliar el plazo</t>
  </si>
  <si>
    <t xml:space="preserve">La liquidación establece el balance final y las salvedades de las partes.</t>
  </si>
  <si>
    <t xml:space="preserve">b) y c) confunden la liquidación con figuras distintas.</t>
  </si>
  <si>
    <t xml:space="preserve">Ley 1150 de 2007</t>
  </si>
  <si>
    <t xml:space="preserve">F0310</t>
  </si>
  <si>
    <t xml:space="preserve">C104</t>
  </si>
  <si>
    <t xml:space="preserve">Caso 104</t>
  </si>
  <si>
    <t xml:space="preserve">El área de contratación publica los documentos del proceso.</t>
  </si>
  <si>
    <t xml:space="preserve">La publicación en el SECOP debe hacerse:</t>
  </si>
  <si>
    <t xml:space="preserve">Dentro de los términos previstos, incluyendo los documentos del proceso y su ejecución</t>
  </si>
  <si>
    <t xml:space="preserve">Solo al final del contrato</t>
  </si>
  <si>
    <t xml:space="preserve">Solo si el contrato supera 1000 SMLMV</t>
  </si>
  <si>
    <t xml:space="preserve">La publicidad comprende los documentos del proceso y de su ejecución, en los términos previstos.</t>
  </si>
  <si>
    <t xml:space="preserve">b) y c) reducen la publicidad a un momento o a una cuantía.</t>
  </si>
  <si>
    <t xml:space="preserve">F0311</t>
  </si>
  <si>
    <t xml:space="preserve">El registro de proveedores de la E.S.E.:</t>
  </si>
  <si>
    <t xml:space="preserve">Puede establecerse en su estatuto como instrumento de selección objetiva</t>
  </si>
  <si>
    <t xml:space="preserve">Es obligatorio por la Ley 80</t>
  </si>
  <si>
    <t xml:space="preserve">El estatuto propio puede prever un registro de proveedores como instrumento de selección objetiva.</t>
  </si>
  <si>
    <t xml:space="preserve">b) aplica una norma de la que está exceptuada y c) niega una facultad estatutaria.</t>
  </si>
  <si>
    <t xml:space="preserve">F0312</t>
  </si>
  <si>
    <t xml:space="preserve">Los documentos del proceso contractual son:</t>
  </si>
  <si>
    <t xml:space="preserve">Información pública, salvo reserva legal expresa</t>
  </si>
  <si>
    <t xml:space="preserve">Reservados por regla general</t>
  </si>
  <si>
    <t xml:space="preserve">Públicos solo para los oferentes</t>
  </si>
  <si>
    <t xml:space="preserve">Los documentos contractuales son públicos, salvo excepción legal expresa.</t>
  </si>
  <si>
    <t xml:space="preserve">b) invierte la regla y c) restringe el acceso ciudadano.</t>
  </si>
  <si>
    <t xml:space="preserve">Ley 1712 de 2014</t>
  </si>
  <si>
    <t xml:space="preserve">F0313</t>
  </si>
  <si>
    <t xml:space="preserve">C105</t>
  </si>
  <si>
    <t xml:space="preserve">Caso 105</t>
  </si>
  <si>
    <t xml:space="preserve">Se detecta un posible conflicto de interés en un proceso de selección de proveedor.</t>
  </si>
  <si>
    <t xml:space="preserve">El servidor con conflicto de interés debe:</t>
  </si>
  <si>
    <t xml:space="preserve">Declararse impedido por escrito y apartarse del trámite</t>
  </si>
  <si>
    <t xml:space="preserve">Continuar si actúa con imparcialidad</t>
  </si>
  <si>
    <t xml:space="preserve">Informar solo al terminar el proceso</t>
  </si>
  <si>
    <t xml:space="preserve">El servidor debe declarar el impedimento por escrito y apartarse del asunto.</t>
  </si>
  <si>
    <t xml:space="preserve">b) y c) mantienen el vicio durante la decisión.</t>
  </si>
  <si>
    <t xml:space="preserve">Ley 2013 de 2019; Ley 1437 de 2011, art. 11</t>
  </si>
  <si>
    <t xml:space="preserve">F0314</t>
  </si>
  <si>
    <t xml:space="preserve">La declaración de bienes, rentas y conflicto de interés:</t>
  </si>
  <si>
    <t xml:space="preserve">Es obligatoria para los servidores públicos en los términos de la ley</t>
  </si>
  <si>
    <t xml:space="preserve">Es voluntaria</t>
  </si>
  <si>
    <t xml:space="preserve">Solo aplica a directivos</t>
  </si>
  <si>
    <t xml:space="preserve">La declaración es obligatoria en los términos de la ley de integridad pública.</t>
  </si>
  <si>
    <t xml:space="preserve">b) y c) reducen una obligación general.</t>
  </si>
  <si>
    <t xml:space="preserve">Ley 2013 de 2019</t>
  </si>
  <si>
    <t xml:space="preserve">F0315</t>
  </si>
  <si>
    <t xml:space="preserve">Omitir el impedimento puede generar:</t>
  </si>
  <si>
    <t xml:space="preserve">Nulidad de la actuación y responsabilidad disciplinaria</t>
  </si>
  <si>
    <t xml:space="preserve">Solo un llamado de atención</t>
  </si>
  <si>
    <t xml:space="preserve">Ninguna consecuencia si la decisión fue correcta</t>
  </si>
  <si>
    <t xml:space="preserve">La omisión puede viciar la actuación y compromete responsabilidad disciplinaria.</t>
  </si>
  <si>
    <t xml:space="preserve">b) y c) minimizan el efecto jurídico del vicio.</t>
  </si>
  <si>
    <t xml:space="preserve">Ley 1437 de 2011; Ley 1952 de 2019</t>
  </si>
  <si>
    <t xml:space="preserve">F0316</t>
  </si>
  <si>
    <t xml:space="preserve">C106</t>
  </si>
  <si>
    <t xml:space="preserve">Caso 106</t>
  </si>
  <si>
    <t xml:space="preserve">Un ciudadano solicita copia de un contrato y de sus soportes de pago.</t>
  </si>
  <si>
    <t xml:space="preserve">La entidad debe:</t>
  </si>
  <si>
    <t xml:space="preserve">Entregar la información, tachando únicamente los datos con reserva legal</t>
  </si>
  <si>
    <t xml:space="preserve">Negar por tratarse de información contractual</t>
  </si>
  <si>
    <t xml:space="preserve">Cobrar por el derecho de acceso</t>
  </si>
  <si>
    <t xml:space="preserve">Se entrega la información pública, protegiendo con tacha los datos amparados por reserva.</t>
  </si>
  <si>
    <t xml:space="preserve">b) desconoce la publicidad y c) crea un cobro no autorizado, salvo el costo de reproducción.</t>
  </si>
  <si>
    <t xml:space="preserve">Ley 1712 de 2014, arts. 21 y 26</t>
  </si>
  <si>
    <t xml:space="preserve">F0317</t>
  </si>
  <si>
    <t xml:space="preserve">Si la información contiene datos personales de terceros:</t>
  </si>
  <si>
    <t xml:space="preserve">Se aplica la disociación o tacha antes de entregar</t>
  </si>
  <si>
    <t xml:space="preserve">Se entrega completa</t>
  </si>
  <si>
    <t xml:space="preserve">Se niega toda la solicitud</t>
  </si>
  <si>
    <t xml:space="preserve">Se protege el dato personal mediante tacha o disociación, sin negar el resto.</t>
  </si>
  <si>
    <t xml:space="preserve">b) vulnera la protección de datos y c) niega información pública.</t>
  </si>
  <si>
    <t xml:space="preserve">Ley 1712 de 2014, art. 21</t>
  </si>
  <si>
    <t xml:space="preserve">F0318</t>
  </si>
  <si>
    <t xml:space="preserve">El costo de reproducción:</t>
  </si>
  <si>
    <t xml:space="preserve">Puede cobrarse, sin que exceda el valor de la reproducción</t>
  </si>
  <si>
    <t xml:space="preserve">No puede cobrarse nunca</t>
  </si>
  <si>
    <t xml:space="preserve">Se fija libremente</t>
  </si>
  <si>
    <t xml:space="preserve">Se puede cobrar únicamente el costo de reproducción, sin exceder su valor.</t>
  </si>
  <si>
    <t xml:space="preserve">b) y c) desconocen el límite legal del cobro.</t>
  </si>
  <si>
    <t xml:space="preserve">F0319</t>
  </si>
  <si>
    <t xml:space="preserve">C107</t>
  </si>
  <si>
    <t xml:space="preserve">Caso 107</t>
  </si>
  <si>
    <t xml:space="preserve">Se adelanta una actuación administrativa sancionatoria contra un proveedor del hospital.</t>
  </si>
  <si>
    <t xml:space="preserve">El procedimiento administrativo sancionatorio exige:</t>
  </si>
  <si>
    <t xml:space="preserve">Formulación de cargos, oportunidad de defensa y decisión motivada</t>
  </si>
  <si>
    <t xml:space="preserve">Decisión inmediata del ordenador</t>
  </si>
  <si>
    <t xml:space="preserve">Solo un requerimiento verbal</t>
  </si>
  <si>
    <t xml:space="preserve">El procedimiento exige cargos, defensa, pruebas y decisión motivada.</t>
  </si>
  <si>
    <t xml:space="preserve">b) y c) desconocen el debido proceso administrativo.</t>
  </si>
  <si>
    <t xml:space="preserve">Ley 1437 de 2011, arts. 47 a 52</t>
  </si>
  <si>
    <t xml:space="preserve">F0320</t>
  </si>
  <si>
    <t xml:space="preserve">El derecho de contradicción implica:</t>
  </si>
  <si>
    <t xml:space="preserve">Poder controvertir las pruebas y presentar las propias</t>
  </si>
  <si>
    <t xml:space="preserve">Solo ser informado de la decisión</t>
  </si>
  <si>
    <t xml:space="preserve">Solo apelar al final</t>
  </si>
  <si>
    <t xml:space="preserve">La contradicción comprende controvertir y aportar pruebas durante la actuación.</t>
  </si>
  <si>
    <t xml:space="preserve">b) y c) reducen la garantía a un momento posterior.</t>
  </si>
  <si>
    <t xml:space="preserve">Ley 1437 de 2011, art. 40</t>
  </si>
  <si>
    <t xml:space="preserve">F0321</t>
  </si>
  <si>
    <t xml:space="preserve">La caducidad de la facultad sancionatoria administrativa opera:</t>
  </si>
  <si>
    <t xml:space="preserve">A los tres años de ocurrido el hecho, salvo norma especial</t>
  </si>
  <si>
    <t xml:space="preserve">A los diez años</t>
  </si>
  <si>
    <t xml:space="preserve">No opera</t>
  </si>
  <si>
    <t xml:space="preserve">La facultad sancionatoria caduca a los tres años de ocurrido el hecho, salvo norma especial.</t>
  </si>
  <si>
    <t xml:space="preserve">b) y c) desconocen el término general del CPACA.</t>
  </si>
  <si>
    <t xml:space="preserve">Ley 1437 de 2011, art. 52</t>
  </si>
  <si>
    <t xml:space="preserve">F0322</t>
  </si>
  <si>
    <t xml:space="preserve">C108</t>
  </si>
  <si>
    <t xml:space="preserve">Caso 108</t>
  </si>
  <si>
    <t xml:space="preserve">Un servidor es citado a rendir versión libre dentro de una indagación disciplinaria.</t>
  </si>
  <si>
    <t xml:space="preserve">La versión libre es:</t>
  </si>
  <si>
    <t xml:space="preserve">Un derecho del investigado, no una obligación</t>
  </si>
  <si>
    <t xml:space="preserve">Una declaración obligatoria bajo juramento</t>
  </si>
  <si>
    <t xml:space="preserve">Una prueba en su contra</t>
  </si>
  <si>
    <t xml:space="preserve">La versión libre es un derecho del investigado y no está sujeta a juramento.</t>
  </si>
  <si>
    <t xml:space="preserve">b) y c) desconocen su naturaleza de garantía.</t>
  </si>
  <si>
    <t xml:space="preserve">Ley 1952 de 2019</t>
  </si>
  <si>
    <t xml:space="preserve">F0323</t>
  </si>
  <si>
    <t xml:space="preserve">El derecho de defensa técnica en el proceso disciplinario:</t>
  </si>
  <si>
    <t xml:space="preserve">Permite ser asistido por un abogado en cualquier momento</t>
  </si>
  <si>
    <t xml:space="preserve">Solo aplica en la etapa de juicio</t>
  </si>
  <si>
    <t xml:space="preserve">No existe</t>
  </si>
  <si>
    <t xml:space="preserve">El investigado puede designar defensor en cualquier etapa de la actuación.</t>
  </si>
  <si>
    <t xml:space="preserve">b) y c) restringen o niegan la garantía.</t>
  </si>
  <si>
    <t xml:space="preserve">F0324</t>
  </si>
  <si>
    <t xml:space="preserve">La doble conformidad en materia disciplinaria implica:</t>
  </si>
  <si>
    <t xml:space="preserve">El derecho a impugnar la primera sanción ante una autoridad distinta</t>
  </si>
  <si>
    <t xml:space="preserve">Que toda decisión se revisa de oficio</t>
  </si>
  <si>
    <t xml:space="preserve">Que no hay recursos</t>
  </si>
  <si>
    <t xml:space="preserve">La reforma introdujo la garantía de impugnar la primera decisión sancionatoria.</t>
  </si>
  <si>
    <t xml:space="preserve">b) y c) confunden la garantía con una revisión automática o con su ausencia.</t>
  </si>
  <si>
    <t xml:space="preserve">Ley 2094 de 2021</t>
  </si>
  <si>
    <t xml:space="preserve">F0325</t>
  </si>
  <si>
    <t xml:space="preserve">C109</t>
  </si>
  <si>
    <t xml:space="preserve">Caso 109</t>
  </si>
  <si>
    <t xml:space="preserve">Se recibe una petición dirigida a una dependencia que no es competente.</t>
  </si>
  <si>
    <t xml:space="preserve">Remitirla a la autoridad competente dentro de los cinco días e informar al peticionario</t>
  </si>
  <si>
    <t xml:space="preserve">Devolverla al ciudadano</t>
  </si>
  <si>
    <t xml:space="preserve">Archivarla</t>
  </si>
  <si>
    <t xml:space="preserve">La petición se remite al competente dentro de los cinco días siguientes, informando al interesado.</t>
  </si>
  <si>
    <t xml:space="preserve">b) y c) trasladan al ciudadano la carga de identificar al competente.</t>
  </si>
  <si>
    <t xml:space="preserve">Ley 1437 de 2011, art. 21</t>
  </si>
  <si>
    <t xml:space="preserve">F0326</t>
  </si>
  <si>
    <t xml:space="preserve">Una petición de información entre autoridades se responde en:</t>
  </si>
  <si>
    <t xml:space="preserve">Diez días</t>
  </si>
  <si>
    <t xml:space="preserve">Quince días</t>
  </si>
  <si>
    <t xml:space="preserve">Treinta días</t>
  </si>
  <si>
    <t xml:space="preserve">Las peticiones entre autoridades se resuelven en un término de diez días.</t>
  </si>
  <si>
    <t xml:space="preserve">b) y c) aplican términos de otras modalidades de petición.</t>
  </si>
  <si>
    <t xml:space="preserve">Ley 1437 de 2011, art. 30</t>
  </si>
  <si>
    <t xml:space="preserve">F0327</t>
  </si>
  <si>
    <t xml:space="preserve">La petición anónima:</t>
  </si>
  <si>
    <t xml:space="preserve">Debe tramitarse si permite identificar el objeto de la solicitud</t>
  </si>
  <si>
    <t xml:space="preserve">Se archiva siempre</t>
  </si>
  <si>
    <t xml:space="preserve">Requiere ratificación personal</t>
  </si>
  <si>
    <t xml:space="preserve">La petición anónima se tramita cuando su contenido permite identificar el asunto.</t>
  </si>
  <si>
    <t xml:space="preserve">b) y c) niegan el trámite sin fundamento legal.</t>
  </si>
  <si>
    <t xml:space="preserve">F0328</t>
  </si>
  <si>
    <t xml:space="preserve">C110</t>
  </si>
  <si>
    <t xml:space="preserve">Caso 110</t>
  </si>
  <si>
    <t xml:space="preserve">El hospital debe notificar una decisión que niega una solicitud de reintegro.</t>
  </si>
  <si>
    <t xml:space="preserve">La notificación por aviso procede cuando:</t>
  </si>
  <si>
    <t xml:space="preserve">No fue posible la notificación personal dentro de los términos</t>
  </si>
  <si>
    <t xml:space="preserve">El interesado vive en otra ciudad</t>
  </si>
  <si>
    <t xml:space="preserve">La entidad lo prefiere</t>
  </si>
  <si>
    <t xml:space="preserve">El aviso procede cuando no se logra la notificación personal dentro de los términos.</t>
  </si>
  <si>
    <t xml:space="preserve">b) y c) no son razones para omitir el intento de notificación personal.</t>
  </si>
  <si>
    <t xml:space="preserve">Ley 1437 de 2011, art. 69</t>
  </si>
  <si>
    <t xml:space="preserve">F0329</t>
  </si>
  <si>
    <t xml:space="preserve">La notificación electrónica requiere:</t>
  </si>
  <si>
    <t xml:space="preserve">Aceptación expresa del interesado del canal digital</t>
  </si>
  <si>
    <t xml:space="preserve">Solo tener el correo del interesado</t>
  </si>
  <si>
    <t xml:space="preserve">Publicación en la página web</t>
  </si>
  <si>
    <t xml:space="preserve">La notificación electrónica exige la aceptación expresa del interesado.</t>
  </si>
  <si>
    <t xml:space="preserve">b) y c) no sustituyen el consentimiento del destinatario.</t>
  </si>
  <si>
    <t xml:space="preserve">Ley 1437 de 2011, art. 56</t>
  </si>
  <si>
    <t xml:space="preserve">F0330</t>
  </si>
  <si>
    <t xml:space="preserve">Una notificación irregular:</t>
  </si>
  <si>
    <t xml:space="preserve">No produce efectos y puede sanearse con la actuación del interesado</t>
  </si>
  <si>
    <t xml:space="preserve">Es válida si el acto está motivado</t>
  </si>
  <si>
    <t xml:space="preserve">Anula el acto de fondo</t>
  </si>
  <si>
    <t xml:space="preserve">La notificación irregular no produce efectos, salvo saneamiento por la actuación del interesado.</t>
  </si>
  <si>
    <t xml:space="preserve">b) confunde motivación con publicidad y c) confunde el vicio de notificación con la nulidad del acto.</t>
  </si>
  <si>
    <t xml:space="preserve">Ley 1437 de 2011, art. 72</t>
  </si>
  <si>
    <t xml:space="preserve">F0331</t>
  </si>
  <si>
    <t xml:space="preserve">C111</t>
  </si>
  <si>
    <t xml:space="preserve">Caso 111</t>
  </si>
  <si>
    <t xml:space="preserve">Un servidor pregunta por el régimen de sus deberes y prohibiciones.</t>
  </si>
  <si>
    <t xml:space="preserve">El deber funcional se concreta en:</t>
  </si>
  <si>
    <t xml:space="preserve">Cumplir la Constitución, la ley y las funciones asignadas con diligencia</t>
  </si>
  <si>
    <t xml:space="preserve">Obedecer toda orden del superior</t>
  </si>
  <si>
    <t xml:space="preserve">Cumplir solo lo que esté escrito en el manual</t>
  </si>
  <si>
    <t xml:space="preserve">El deber funcional comprende el cumplimiento del ordenamiento y de las funciones con diligencia.</t>
  </si>
  <si>
    <t xml:space="preserve">b) desconoce el deber de no obedecer órdenes manifiestamente ilegales y c) reduce el deber al manual.</t>
  </si>
  <si>
    <t xml:space="preserve">Ley 1952 de 2019, art. 38</t>
  </si>
  <si>
    <t xml:space="preserve">F0332</t>
  </si>
  <si>
    <t xml:space="preserve">Recibir dádivas de un usuario por agilizar un trámite constituye:</t>
  </si>
  <si>
    <t xml:space="preserve">Falta disciplinaria y puede constituir delito</t>
  </si>
  <si>
    <t xml:space="preserve">Una cortesía admisible</t>
  </si>
  <si>
    <t xml:space="preserve">Falta solo si supera un salario mínimo</t>
  </si>
  <si>
    <t xml:space="preserve">La conducta es falta disciplinaria y puede tipificar cohecho.</t>
  </si>
  <si>
    <t xml:space="preserve">b) y c) normalizan una conducta prohibida.</t>
  </si>
  <si>
    <t xml:space="preserve">Ley 1952 de 2019; Código Penal, art. 405</t>
  </si>
  <si>
    <t xml:space="preserve">F0333</t>
  </si>
  <si>
    <t xml:space="preserve">La sanción de destitución e inhabilidad general se impone por:</t>
  </si>
  <si>
    <t xml:space="preserve">Faltas gravísimas dolosas o realizadas con culpa gravísima</t>
  </si>
  <si>
    <t xml:space="preserve">Cualquier falta grave</t>
  </si>
  <si>
    <t xml:space="preserve">Faltas leves reiteradas</t>
  </si>
  <si>
    <t xml:space="preserve">La destitución e inhabilidad general corresponde a faltas gravísimas dolosas o con culpa gravísima.</t>
  </si>
  <si>
    <t xml:space="preserve">b) y c) aplican una sanción desproporcionada a la calificación de la falta.</t>
  </si>
  <si>
    <t xml:space="preserve">Ley 1952 de 2019, art. 48</t>
  </si>
  <si>
    <t xml:space="preserve">F0334</t>
  </si>
  <si>
    <t xml:space="preserve">C112</t>
  </si>
  <si>
    <t xml:space="preserve">Caso 112</t>
  </si>
  <si>
    <t xml:space="preserve">En una minuta se usan indistintamente los verbos de la ejecución del acto.</t>
  </si>
  <si>
    <t xml:space="preserve">Cuando la administración lleva a la práctica su propia decisión ejecutoriada, el verbo es:</t>
  </si>
  <si>
    <t xml:space="preserve">Ejecutar el acto</t>
  </si>
  <si>
    <t xml:space="preserve">Ejecutoriar el acto</t>
  </si>
  <si>
    <t xml:space="preserve">Ejecutarse de plano</t>
  </si>
  <si>
    <t xml:space="preserve">La administración ejecuta el acto en firme; la ejecutoria es la condición que lo habilita.</t>
  </si>
  <si>
    <t xml:space="preserve">b) nombra la condición, no la acción; c) no describe la actuación.</t>
  </si>
  <si>
    <t xml:space="preserve">Ley 1437 de 2011, art. 89</t>
  </si>
  <si>
    <t xml:space="preserve">F0335</t>
  </si>
  <si>
    <t xml:space="preserve">El acto que se cumple sin intervención judicial se apoya en:</t>
  </si>
  <si>
    <t xml:space="preserve">El privilegio de ejecución oficiosa de la administración</t>
  </si>
  <si>
    <t xml:space="preserve">Una orden del juez</t>
  </si>
  <si>
    <t xml:space="preserve">El consentimiento del particular</t>
  </si>
  <si>
    <t xml:space="preserve">La administración tiene el privilegio de ejecutar sus propios actos en firme.</t>
  </si>
  <si>
    <t xml:space="preserve">b) y c) suponen una intervención que la ley no exige.</t>
  </si>
  <si>
    <t xml:space="preserve">F0336</t>
  </si>
  <si>
    <t xml:space="preserve">Suspender la ejecución de un acto por decisión judicial se denomina:</t>
  </si>
  <si>
    <t xml:space="preserve">Suspensión provisional</t>
  </si>
  <si>
    <t xml:space="preserve">Revocatoria</t>
  </si>
  <si>
    <t xml:space="preserve">Derogatoria</t>
  </si>
  <si>
    <t xml:space="preserve">La suspensión provisional es una medida cautelar del juez sobre los efectos del acto.</t>
  </si>
  <si>
    <t xml:space="preserve">b) es potestad administrativa y c) opera sobre normas.</t>
  </si>
  <si>
    <t xml:space="preserve">Ley 1437 de 2011, art. 231</t>
  </si>
  <si>
    <t xml:space="preserve">F0337</t>
  </si>
  <si>
    <t xml:space="preserve">C113</t>
  </si>
  <si>
    <t xml:space="preserve">Caso 113</t>
  </si>
  <si>
    <t xml:space="preserve">El comité redacta un acta y discute cómo nombrar sus decisiones.</t>
  </si>
  <si>
    <t xml:space="preserve">Cuando el comité aprueba un documento que orienta su gestión interna, el verbo es:</t>
  </si>
  <si>
    <t xml:space="preserve">Adoptar</t>
  </si>
  <si>
    <t xml:space="preserve">Expedir</t>
  </si>
  <si>
    <t xml:space="preserve">Promulgar</t>
  </si>
  <si>
    <t xml:space="preserve">Los instrumentos de gestión se adoptan mediante la decisión del órgano competente.</t>
  </si>
  <si>
    <t xml:space="preserve">b) se usa para actos administrativos y c) para la publicación de leyes.</t>
  </si>
  <si>
    <t xml:space="preserve">Ley 1437 de 2011; Decreto 1499 de 2017</t>
  </si>
  <si>
    <t xml:space="preserve">F0338</t>
  </si>
  <si>
    <t xml:space="preserve">Cuando la junta directiva produce un acuerdo, el verbo correcto es:</t>
  </si>
  <si>
    <t xml:space="preserve">Proferir el acuerdo</t>
  </si>
  <si>
    <t xml:space="preserve">Los órganos administrativos expiden los actos de su competencia.</t>
  </si>
  <si>
    <t xml:space="preserve">b) corresponde al trámite de las leyes y c) a las decisiones judiciales.</t>
  </si>
  <si>
    <t xml:space="preserve">Decreto 1876 de 1994</t>
  </si>
  <si>
    <t xml:space="preserve">F0339</t>
  </si>
  <si>
    <t xml:space="preserve">Cuando se deja constancia de lo ocurrido en la sesión, el verbo es:</t>
  </si>
  <si>
    <t xml:space="preserve">Consignar en el acta</t>
  </si>
  <si>
    <t xml:space="preserve">Certificar la sesión</t>
  </si>
  <si>
    <t xml:space="preserve">Protocolizar la sesión</t>
  </si>
  <si>
    <t xml:space="preserve">Lo ocurrido se consigna en el acta; certificar y protocolizar son actos distintos y posteriores.</t>
  </si>
  <si>
    <t xml:space="preserve">b) supone dar fe de un hecho y c) elevar a escritura pública.</t>
  </si>
  <si>
    <t xml:space="preserve">Ley 1437 de 2011</t>
  </si>
  <si>
    <t xml:space="preserve">F0340</t>
  </si>
  <si>
    <t xml:space="preserve">C114</t>
  </si>
  <si>
    <t xml:space="preserve">Caso 114</t>
  </si>
  <si>
    <t xml:space="preserve">En la ventanilla se confunden los verbos del trámite de peticiones.</t>
  </si>
  <si>
    <t xml:space="preserve">Cuando la entidad pide al ciudadano completar su solicitud, el verbo es:</t>
  </si>
  <si>
    <t xml:space="preserve">Requerir</t>
  </si>
  <si>
    <t xml:space="preserve">Notificar</t>
  </si>
  <si>
    <t xml:space="preserve">Emplazar</t>
  </si>
  <si>
    <t xml:space="preserve">La entidad requiere al peticionario para completar la solicitud.</t>
  </si>
  <si>
    <t xml:space="preserve">b) es dar a conocer una decisión y c) un llamado público.</t>
  </si>
  <si>
    <t xml:space="preserve">F0341</t>
  </si>
  <si>
    <t xml:space="preserve">Cuando el ciudadano no responde el requerimiento, se produce:</t>
  </si>
  <si>
    <t xml:space="preserve">El desistimiento tácito de la petición</t>
  </si>
  <si>
    <t xml:space="preserve">La caducidad de la acción</t>
  </si>
  <si>
    <t xml:space="preserve">La revocatoria del trámite</t>
  </si>
  <si>
    <t xml:space="preserve">Vencido el término sin respuesta se declara el desistimiento tácito.</t>
  </si>
  <si>
    <t xml:space="preserve">b) y c) nombran figuras ajenas a este trámite.</t>
  </si>
  <si>
    <t xml:space="preserve">F0342</t>
  </si>
  <si>
    <t xml:space="preserve">Cuando la entidad traslada la petición por competencia, el verbo es:</t>
  </si>
  <si>
    <t xml:space="preserve">Remitir</t>
  </si>
  <si>
    <t xml:space="preserve">Devolver</t>
  </si>
  <si>
    <t xml:space="preserve">Archivar</t>
  </si>
  <si>
    <t xml:space="preserve">La petición se remite a la autoridad competente, informando al interesado.</t>
  </si>
  <si>
    <t xml:space="preserve">b) y c) dejan la petición sin trámite.</t>
  </si>
  <si>
    <t xml:space="preserve">F0343</t>
  </si>
  <si>
    <t xml:space="preserve">C115</t>
  </si>
  <si>
    <t xml:space="preserve">Caso 115</t>
  </si>
  <si>
    <t xml:space="preserve">En un informe técnico se confunden los verbos de la evaluación.</t>
  </si>
  <si>
    <t xml:space="preserve">Cuando se comprueba que un documento cumple un requisito, el verbo es:</t>
  </si>
  <si>
    <t xml:space="preserve">Verificar</t>
  </si>
  <si>
    <t xml:space="preserve">Valorar</t>
  </si>
  <si>
    <t xml:space="preserve">Ponderar</t>
  </si>
  <si>
    <t xml:space="preserve">La verificación comprueba el cumplimiento de un requisito; la valoración asigna puntaje.</t>
  </si>
  <si>
    <t xml:space="preserve">b) implica calificar y c) asignar pesos relativos.</t>
  </si>
  <si>
    <t xml:space="preserve">Acuerdo CNSC N° 36 de 2026; Anexo Técnico</t>
  </si>
  <si>
    <t xml:space="preserve">F0344</t>
  </si>
  <si>
    <t xml:space="preserve">Cuando se asigna puntaje a la educación adicional, el verbo es:</t>
  </si>
  <si>
    <t xml:space="preserve">Homologar</t>
  </si>
  <si>
    <t xml:space="preserve">La prueba de valoración de antecedentes asigna puntaje a lo adicional al requisito mínimo.</t>
  </si>
  <si>
    <t xml:space="preserve">b) es la etapa previa de VRM y c) supone equivalencia entre títulos.</t>
  </si>
  <si>
    <t xml:space="preserve">Anexo Técnico E.S.E. 2</t>
  </si>
  <si>
    <t xml:space="preserve">F0345</t>
  </si>
  <si>
    <t xml:space="preserve">Cuando se aplica una equivalencia entre estudios y experiencia, el verbo es:</t>
  </si>
  <si>
    <t xml:space="preserve">Certificar</t>
  </si>
  <si>
    <t xml:space="preserve">La homologación aplica equivalencias previstas en el manual de funciones, solo en la VRM.</t>
  </si>
  <si>
    <t xml:space="preserve">b) corresponde a la prueba clasificatoria y c) a la expedición de una constancia.</t>
  </si>
  <si>
    <t xml:space="preserve">Anexo Técnico E.S.E. 2; Decreto 785 de 2005</t>
  </si>
  <si>
    <t xml:space="preserve">F0346</t>
  </si>
  <si>
    <t xml:space="preserve">C116</t>
  </si>
  <si>
    <t xml:space="preserve">Caso 116</t>
  </si>
  <si>
    <t xml:space="preserve">En un acto de talento humano se confunden los verbos de la situación administrativa.</t>
  </si>
  <si>
    <t xml:space="preserve">Cuando un servidor asume otro empleo vacante de forma transitoria, el verbo es:</t>
  </si>
  <si>
    <t xml:space="preserve">Encargar</t>
  </si>
  <si>
    <t xml:space="preserve">Comisionar</t>
  </si>
  <si>
    <t xml:space="preserve">El encargo asigna transitoriamente las funciones de otro empleo vacante.</t>
  </si>
  <si>
    <t xml:space="preserve">b) implica cambio de ubicación del mismo empleo y c) cumplir una misión específica.</t>
  </si>
  <si>
    <t xml:space="preserve">F0347</t>
  </si>
  <si>
    <t xml:space="preserve">Cuando el servidor pasa a otro empleo de la misma naturaleza y jerarquía, el verbo es:</t>
  </si>
  <si>
    <t xml:space="preserve">Promover</t>
  </si>
  <si>
    <t xml:space="preserve">El traslado mueve al servidor a otro empleo de igual naturaleza y jerarquía.</t>
  </si>
  <si>
    <t xml:space="preserve">b) es transitorio y c) implica ascenso.</t>
  </si>
  <si>
    <t xml:space="preserve">Decreto 1083 de 2015</t>
  </si>
  <si>
    <t xml:space="preserve">F0348</t>
  </si>
  <si>
    <t xml:space="preserve">Cuando el servidor cumple una misión especial por fuera de sus funciones, el verbo es:</t>
  </si>
  <si>
    <t xml:space="preserve">Delegar</t>
  </si>
  <si>
    <t xml:space="preserve">La comisión asigna el cumplimiento de misiones especiales inherentes al servicio.</t>
  </si>
  <si>
    <t xml:space="preserve">b) transfiere el ejercicio de funciones propias y c) provee transitoriamente un empleo.</t>
  </si>
  <si>
    <t xml:space="preserve">F0349</t>
  </si>
  <si>
    <t xml:space="preserve">C117</t>
  </si>
  <si>
    <t xml:space="preserve">Caso 117</t>
  </si>
  <si>
    <t xml:space="preserve">En la historia clínica se discute cómo nombrar las correcciones.</t>
  </si>
  <si>
    <t xml:space="preserve">Cuando se agrega una precisión a un registro ya hecho, el verbo es:</t>
  </si>
  <si>
    <t xml:space="preserve">Aclarar mediante nota, sin borrar el registro original</t>
  </si>
  <si>
    <t xml:space="preserve">Corregir borrando el error</t>
  </si>
  <si>
    <t xml:space="preserve">Enmendar sobre el texto</t>
  </si>
  <si>
    <t xml:space="preserve">Las precisiones se incorporan como nota aclaratoria, conservando el registro original.</t>
  </si>
  <si>
    <t xml:space="preserve">b) y c) alteran un documento que no admite enmendaduras.</t>
  </si>
  <si>
    <t xml:space="preserve">F0350</t>
  </si>
  <si>
    <t xml:space="preserve">Cuando el profesional firma y da fe de lo que registró, el verbo es:</t>
  </si>
  <si>
    <t xml:space="preserve">Suscribir</t>
  </si>
  <si>
    <t xml:space="preserve">Autenticar</t>
  </si>
  <si>
    <t xml:space="preserve">El profesional suscribe el registro; certificar y autenticar son actos distintos.</t>
  </si>
  <si>
    <t xml:space="preserve">b) supone expedir una constancia y c) dar fe de un documento ajeno.</t>
  </si>
  <si>
    <t xml:space="preserve">F0351</t>
  </si>
  <si>
    <t xml:space="preserve">Cuando la institución guarda el documento por el tiempo legal, el verbo es:</t>
  </si>
  <si>
    <t xml:space="preserve">Conservar</t>
  </si>
  <si>
    <t xml:space="preserve">Archivar por descarte</t>
  </si>
  <si>
    <t xml:space="preserve">Custodiar temporalmente</t>
  </si>
  <si>
    <t xml:space="preserve">La institución conserva la historia clínica por el término legal establecido.</t>
  </si>
  <si>
    <t xml:space="preserve">b) implica eliminación y c) sugiere una custodia menor a la exigida.</t>
  </si>
  <si>
    <t xml:space="preserve">Resolución 1995 de 1999; Resolución 839 de 2017</t>
  </si>
  <si>
    <t xml:space="preserve">F0352</t>
  </si>
  <si>
    <t xml:space="preserve">C118</t>
  </si>
  <si>
    <t xml:space="preserve">Caso 118</t>
  </si>
  <si>
    <t xml:space="preserve">En un oficio se confunden los verbos de la vigilancia sanitaria.</t>
  </si>
  <si>
    <t xml:space="preserve">Cuando la autoridad impide temporalmente el funcionamiento de un servicio por riesgo, el verbo es:</t>
  </si>
  <si>
    <t xml:space="preserve">Clausurar temporalmente</t>
  </si>
  <si>
    <t xml:space="preserve">Cancelar</t>
  </si>
  <si>
    <t xml:space="preserve">La clausura temporal es una medida sanitaria de seguridad frente al riesgo.</t>
  </si>
  <si>
    <t xml:space="preserve">b) y c) implican decisiones definitivas de otra naturaleza.</t>
  </si>
  <si>
    <t xml:space="preserve">F0353</t>
  </si>
  <si>
    <t xml:space="preserve">Cuando el prestador retira del registro un servicio que ya no presta, el verbo es:</t>
  </si>
  <si>
    <t xml:space="preserve">Reportar la novedad de cierre del servicio</t>
  </si>
  <si>
    <t xml:space="preserve">Clausurar el servicio</t>
  </si>
  <si>
    <t xml:space="preserve">Revocar la habilitación</t>
  </si>
  <si>
    <t xml:space="preserve">El prestador reporta la novedad en el REPS; la clausura la impone la autoridad.</t>
  </si>
  <si>
    <t xml:space="preserve">b) y c) atribuyen al prestador actuaciones de la autoridad.</t>
  </si>
  <si>
    <t xml:space="preserve">F0354</t>
  </si>
  <si>
    <t xml:space="preserve">Cuando la autoridad impone una consecuencia tras el procedimiento, el verbo es:</t>
  </si>
  <si>
    <t xml:space="preserve">Sancionar</t>
  </si>
  <si>
    <t xml:space="preserve">Amonestar de plano</t>
  </si>
  <si>
    <t xml:space="preserve">Suspender preventivamente</t>
  </si>
  <si>
    <t xml:space="preserve">La sanción se impone al término del procedimiento sancionatorio.</t>
  </si>
  <si>
    <t xml:space="preserve">b) omite el procedimiento y c) nombra una medida previa y provisional.</t>
  </si>
  <si>
    <t xml:space="preserve">F0355</t>
  </si>
  <si>
    <t xml:space="preserve">C119</t>
  </si>
  <si>
    <t xml:space="preserve">Caso 119</t>
  </si>
  <si>
    <t xml:space="preserve">Un acto administrativo debe corregirse por un error de digitación en el nombre.</t>
  </si>
  <si>
    <t xml:space="preserve">La actuación procedente es:</t>
  </si>
  <si>
    <t xml:space="preserve">Corregir el error formal en cualquier tiempo, de oficio o a petición de parte</t>
  </si>
  <si>
    <t xml:space="preserve">Revocar el acto</t>
  </si>
  <si>
    <t xml:space="preserve">Declarar su nulidad</t>
  </si>
  <si>
    <t xml:space="preserve">Los errores simplemente formales se corrigen en cualquier tiempo, sin afectar el fondo.</t>
  </si>
  <si>
    <t xml:space="preserve">b) y c) aplican figuras desproporcionadas para un yerro formal.</t>
  </si>
  <si>
    <t xml:space="preserve">Ley 1437 de 2011, art. 45</t>
  </si>
  <si>
    <t xml:space="preserve">F0356</t>
  </si>
  <si>
    <t xml:space="preserve">Si el error cambia el sentido de la decisión, corresponde:</t>
  </si>
  <si>
    <t xml:space="preserve">Adelantar la revocatoria directa con las reglas que le apliquen</t>
  </si>
  <si>
    <t xml:space="preserve">Corregirlo como error formal</t>
  </si>
  <si>
    <t xml:space="preserve">Ignorarlo</t>
  </si>
  <si>
    <t xml:space="preserve">Cuando se altera el sentido de la decisión ya no hay error formal y procede la revocatoria directa.</t>
  </si>
  <si>
    <t xml:space="preserve">b) encubre un cambio de fondo y c) mantiene una decisión equivocada.</t>
  </si>
  <si>
    <t xml:space="preserve">Ley 1437 de 2011, arts. 45 y 93</t>
  </si>
  <si>
    <t xml:space="preserve">F0357</t>
  </si>
  <si>
    <t xml:space="preserve">La corrección formal:</t>
  </si>
  <si>
    <t xml:space="preserve">No reabre términos para recurrir el fondo de la decisión</t>
  </si>
  <si>
    <t xml:space="preserve">Reinicia todos los términos</t>
  </si>
  <si>
    <t xml:space="preserve">Anula lo actuado</t>
  </si>
  <si>
    <t xml:space="preserve">La corrección formal no altera el fondo ni reabre los términos de impugnación.</t>
  </si>
  <si>
    <t xml:space="preserve">b) y c) le atribuyen efectos que no tiene.</t>
  </si>
  <si>
    <t xml:space="preserve">F0358</t>
  </si>
  <si>
    <t xml:space="preserve">C120</t>
  </si>
  <si>
    <t xml:space="preserve">Caso 120</t>
  </si>
  <si>
    <t xml:space="preserve">En el proceso de selección se confunden los verbos de la lista de elegibles.</t>
  </si>
  <si>
    <t xml:space="preserve">Cuando la CNSC produce la lista en estricto orden de mérito, el verbo es:</t>
  </si>
  <si>
    <t xml:space="preserve">Conformar y adoptar la lista</t>
  </si>
  <si>
    <t xml:space="preserve">Publicar la lista</t>
  </si>
  <si>
    <t xml:space="preserve">Homologar la lista</t>
  </si>
  <si>
    <t xml:space="preserve">La CNSC conforma y adopta la lista de elegibles mediante acto administrativo.</t>
  </si>
  <si>
    <t xml:space="preserve">b) es un momento posterior y c) no corresponde a esta actuación.</t>
  </si>
  <si>
    <t xml:space="preserve">Acuerdo CNSC N° 36 de 2026, art. 24</t>
  </si>
  <si>
    <t xml:space="preserve">F0359</t>
  </si>
  <si>
    <t xml:space="preserve">Cuando la comisión de personal pide retirar a una persona de la lista, el verbo es:</t>
  </si>
  <si>
    <t xml:space="preserve">Solicitar la exclusión de la lista</t>
  </si>
  <si>
    <t xml:space="preserve">Solicitar la revocatoria de la lista</t>
  </si>
  <si>
    <t xml:space="preserve">Solicitar la anulación de la lista</t>
  </si>
  <si>
    <t xml:space="preserve">La comisión de personal solicita la exclusión de la persona, no la revocatoria de la lista.</t>
  </si>
  <si>
    <t xml:space="preserve">b) y c) recaen sobre el acto completo y corresponden a otras autoridades.</t>
  </si>
  <si>
    <t xml:space="preserve">Acuerdo CNSC N° 36 de 2026, art. 26</t>
  </si>
  <si>
    <t xml:space="preserve">F0360</t>
  </si>
  <si>
    <t xml:space="preserve">Cuando la lista se usa en orden descendente por retiro de un elegible, el fenómeno es:</t>
  </si>
  <si>
    <t xml:space="preserve">La movilidad de la lista</t>
  </si>
  <si>
    <t xml:space="preserve">La modificación de la lista</t>
  </si>
  <si>
    <t xml:space="preserve">La firmeza de la lista</t>
  </si>
  <si>
    <t xml:space="preserve">La movilidad permite usar la lista en orden descendente sin nuevo acto administrativo.</t>
  </si>
  <si>
    <t xml:space="preserve">b) supone adicionar o reubicar por error y c) alude a sus efectos jurídicos.</t>
  </si>
  <si>
    <t xml:space="preserve">Acuerdo CNSC N° 36 de 2026, art. 31</t>
  </si>
  <si>
    <t xml:space="preserve">competencia</t>
  </si>
  <si>
    <t xml:space="preserve">situacion</t>
  </si>
  <si>
    <t xml:space="preserve">puntos_a</t>
  </si>
  <si>
    <t xml:space="preserve">puntos_b</t>
  </si>
  <si>
    <t xml:space="preserve">puntos_c</t>
  </si>
  <si>
    <t xml:space="preserve">B0001</t>
  </si>
  <si>
    <t xml:space="preserve">Orientación al usuario y al ciudadano</t>
  </si>
  <si>
    <t xml:space="preserve">Un usuario llega alterado porque le reprogramaron la cita por tercera vez. El agendamiento no depende de usted.</t>
  </si>
  <si>
    <t xml:space="preserve">Escucha, verifica en el sistema, explica la causa y gestiona con el área responsable una fecha concreta</t>
  </si>
  <si>
    <t xml:space="preserve">Le explica que el trámite no depende de su área y le indica dónde reclamar</t>
  </si>
  <si>
    <t xml:space="preserve">Le ofrece disculpas y le sugiere volver cuando haya menos gente</t>
  </si>
  <si>
    <t xml:space="preserve">B0002</t>
  </si>
  <si>
    <t xml:space="preserve">Una persona mayor no entiende el formato de consentimiento que debe firmar antes de un procedimiento.</t>
  </si>
  <si>
    <t xml:space="preserve">Explica en lenguaje sencillo, verifica que comprendió y solo entonces solicita la firma</t>
  </si>
  <si>
    <t xml:space="preserve">Le entrega el formato y le pide que lo lea con calma en la sala</t>
  </si>
  <si>
    <t xml:space="preserve">Pide al acompañante que firme para agilizar</t>
  </si>
  <si>
    <t xml:space="preserve">B0003</t>
  </si>
  <si>
    <t xml:space="preserve">Orientación a resultados</t>
  </si>
  <si>
    <t xml:space="preserve">Un reporte obligatorio vence mañana y falta información de otra dependencia.</t>
  </si>
  <si>
    <t xml:space="preserve">Solicita por escrito lo que falta, informa el riesgo a su jefe y avanza con lo disponible</t>
  </si>
  <si>
    <t xml:space="preserve">Espera la información hasta el último momento y decide entonces</t>
  </si>
  <si>
    <t xml:space="preserve">Reporta datos estimados para cumplir el plazo</t>
  </si>
  <si>
    <t xml:space="preserve">B0004</t>
  </si>
  <si>
    <t xml:space="preserve">Le asignan tres tareas urgentes el mismo día y no alcanza a hacerlas todas.</t>
  </si>
  <si>
    <t xml:space="preserve">Prioriza según impacto y plazo, acuerda con su jefe el orden y comunica los tiempos</t>
  </si>
  <si>
    <t xml:space="preserve">Empieza por la más fácil para mostrar avance</t>
  </si>
  <si>
    <t xml:space="preserve">Intenta las tres a la vez y entrega lo que alcance</t>
  </si>
  <si>
    <t xml:space="preserve">B0005</t>
  </si>
  <si>
    <t xml:space="preserve">Transparencia</t>
  </si>
  <si>
    <t xml:space="preserve">Un proveedor con el que usted tramita un contrato le ofrece un obsequio de bajo valor.</t>
  </si>
  <si>
    <t xml:space="preserve">Rechaza el obsequio y deja constancia escrita del ofrecimiento ante su jefe inmediato</t>
  </si>
  <si>
    <t xml:space="preserve">Lo rechaza verbalmente y no informa a nadie</t>
  </si>
  <si>
    <t xml:space="preserve">Lo acepta porque su valor es bajo y lo destina al fondo de empleados</t>
  </si>
  <si>
    <t xml:space="preserve">B0006</t>
  </si>
  <si>
    <t xml:space="preserve">Un familiar suyo se presenta a un proceso contractual en el que usted participa.</t>
  </si>
  <si>
    <t xml:space="preserve">Manifiesta el impedimento por escrito y se aparta del trámite</t>
  </si>
  <si>
    <t xml:space="preserve">Continúa participando pero avisa verbalmente a un compañero</t>
  </si>
  <si>
    <t xml:space="preserve">Continúa porque confía en su imparcialidad</t>
  </si>
  <si>
    <t xml:space="preserve">B0007</t>
  </si>
  <si>
    <t xml:space="preserve">Compromiso con la organización</t>
  </si>
  <si>
    <t xml:space="preserve">Detecta un error propio en un informe que ya llegó a la gerencia.</t>
  </si>
  <si>
    <t xml:space="preserve">Informa de inmediato el error, remite la versión corregida y explica su impacto</t>
  </si>
  <si>
    <t xml:space="preserve">Corrige el archivo compartido y espera a que alguien pregunte</t>
  </si>
  <si>
    <t xml:space="preserve">Guarda silencio porque el error es menor</t>
  </si>
  <si>
    <t xml:space="preserve">B0008</t>
  </si>
  <si>
    <t xml:space="preserve">Un compañero critica en público a la entidad frente a usuarios en la sala de espera.</t>
  </si>
  <si>
    <t xml:space="preserve">Le propone en privado llevar el asunto a los canales internos y atiende a los usuarios</t>
  </si>
  <si>
    <t xml:space="preserve">Cambia de tema y sigue con su trabajo</t>
  </si>
  <si>
    <t xml:space="preserve">Se suma a la crítica para no quedar mal con el compañero</t>
  </si>
  <si>
    <t xml:space="preserve">B0009</t>
  </si>
  <si>
    <t xml:space="preserve">Trabajo en equipo</t>
  </si>
  <si>
    <t xml:space="preserve">Un compañero se retrasa por sobrecarga y la entrega del equipo está en riesgo.</t>
  </si>
  <si>
    <t xml:space="preserve">Propone al líder redistribuir tareas y apoya en lo que puede sin descuidar lo suyo</t>
  </si>
  <si>
    <t xml:space="preserve">Entrega su parte y deja constancia de que el retraso no es suyo</t>
  </si>
  <si>
    <t xml:space="preserve">Asume todo el trabajo del compañero sin informar a nadie</t>
  </si>
  <si>
    <t xml:space="preserve">B0010</t>
  </si>
  <si>
    <t xml:space="preserve">En una reunión, su propuesta es descartada por el grupo con argumentos técnicos.</t>
  </si>
  <si>
    <t xml:space="preserve">Acoge la decisión, aporta a la alternativa elegida y deja registrada su observación</t>
  </si>
  <si>
    <t xml:space="preserve">Acepta en silencio y se desentiende de la ejecución</t>
  </si>
  <si>
    <t xml:space="preserve">Insiste en su propuesta por fuera de la reunión</t>
  </si>
  <si>
    <t xml:space="preserve">B0011</t>
  </si>
  <si>
    <t xml:space="preserve">Adaptación al cambio</t>
  </si>
  <si>
    <t xml:space="preserve">El hospital implementa un módulo nuevo del sistema de información y cambia su proceso.</t>
  </si>
  <si>
    <t xml:space="preserve">Participa en la capacitación, ajusta su proceso y reporta las dificultades que encuentra</t>
  </si>
  <si>
    <t xml:space="preserve">Usa el módulo solo cuando es indispensable</t>
  </si>
  <si>
    <t xml:space="preserve">Mantiene el registro paralelo en papel para no cambiar</t>
  </si>
  <si>
    <t xml:space="preserve">B0012</t>
  </si>
  <si>
    <t xml:space="preserve">Lo trasladan temporalmente a un servicio que no conoce.</t>
  </si>
  <si>
    <t xml:space="preserve">Solicita inducción, identifica los procedimientos críticos y pide retroalimentación</t>
  </si>
  <si>
    <t xml:space="preserve">Espera a que el jefe del servicio le asigne tareas simples</t>
  </si>
  <si>
    <t xml:space="preserve">Manifiesta que no es su área y limita su aporte</t>
  </si>
  <si>
    <t xml:space="preserve">B0013</t>
  </si>
  <si>
    <t xml:space="preserve">Aprendizaje continuo</t>
  </si>
  <si>
    <t xml:space="preserve">Se expide una norma que cambia un procedimiento a su cargo y usted no la conoce.</t>
  </si>
  <si>
    <t xml:space="preserve">Estudia el texto vigente, verifica su aplicabilidad y socializa los cambios con el equipo</t>
  </si>
  <si>
    <t xml:space="preserve">Consulta a un compañero y aplica lo que él le indique</t>
  </si>
  <si>
    <t xml:space="preserve">Sigue con el procedimiento anterior hasta que lo capaciten</t>
  </si>
  <si>
    <t xml:space="preserve">B0014</t>
  </si>
  <si>
    <t xml:space="preserve">Recibe retroalimentación crítica sobre un producto suyo.</t>
  </si>
  <si>
    <t xml:space="preserve">Pide ejemplos concretos, ajusta el producto y aplica el criterio en los siguientes</t>
  </si>
  <si>
    <t xml:space="preserve">Corrige lo señalado sin indagar la razón</t>
  </si>
  <si>
    <t xml:space="preserve">Explica por qué lo hizo así y mantiene su versión</t>
  </si>
  <si>
    <t xml:space="preserve">B0015</t>
  </si>
  <si>
    <t xml:space="preserve">Comunicación efectiva</t>
  </si>
  <si>
    <t xml:space="preserve">Debe explicar a la junta directiva un tema técnico complejo en cinco minutos.</t>
  </si>
  <si>
    <t xml:space="preserve">Prepara el mensaje central, lo traduce a lenguaje claro y anexa el soporte técnico</t>
  </si>
  <si>
    <t xml:space="preserve">Lee el informe técnico completo para no omitir nada</t>
  </si>
  <si>
    <t xml:space="preserve">Entrega el documento y responde solo si le preguntan</t>
  </si>
  <si>
    <t xml:space="preserve">B0016</t>
  </si>
  <si>
    <t xml:space="preserve">Aporte técnico-profesional</t>
  </si>
  <si>
    <t xml:space="preserve">Su jefe le pide un concepto y usted identifica que la solución propuesta tiene un riesgo jurídico.</t>
  </si>
  <si>
    <t xml:space="preserve">Expone el riesgo con fundamento normativo y plantea alternativas viables</t>
  </si>
  <si>
    <t xml:space="preserve">Emite el concepto en el sentido solicitado y menciona el riesgo al final</t>
  </si>
  <si>
    <t xml:space="preserve">Emite el concepto como se lo pidieron</t>
  </si>
  <si>
    <t xml:space="preserve">B0017</t>
  </si>
  <si>
    <t xml:space="preserve">Confiabilidad técnica</t>
  </si>
  <si>
    <t xml:space="preserve">Recibe una solicitud que excede su competencia técnica y podría afectar la seguridad del paciente.</t>
  </si>
  <si>
    <t xml:space="preserve">Informa el límite de su competencia y escala el caso al profesional responsable</t>
  </si>
  <si>
    <t xml:space="preserve">Consulta por internet y responde lo que encuentra</t>
  </si>
  <si>
    <t xml:space="preserve">Resuelve como puede para no demorar el trámite</t>
  </si>
  <si>
    <t xml:space="preserve">B0018</t>
  </si>
  <si>
    <t xml:space="preserve">Disciplina</t>
  </si>
  <si>
    <t xml:space="preserve">Un procedimiento institucional le parece innecesariamente largo.</t>
  </si>
  <si>
    <t xml:space="preserve">Lo cumple mientras propone formalmente su mejora con evidencia</t>
  </si>
  <si>
    <t xml:space="preserve">Lo cumple parcialmente por eficiencia</t>
  </si>
  <si>
    <t xml:space="preserve">Lo omite y avisa después</t>
  </si>
  <si>
    <t xml:space="preserve">B0019</t>
  </si>
  <si>
    <t xml:space="preserve">Su jefe le pide un dato que usted sabe que está desactualizado en el sistema.</t>
  </si>
  <si>
    <t xml:space="preserve">Entrega el dato advirtiendo la fecha de corte y propone cómo actualizarlo</t>
  </si>
  <si>
    <t xml:space="preserve">Entrega el dato sin advertencia</t>
  </si>
  <si>
    <t xml:space="preserve">Dice que no hay información disponible</t>
  </si>
  <si>
    <t xml:space="preserve">B0020</t>
  </si>
  <si>
    <t xml:space="preserve">Un compañero le pide su usuario y contraseña para adelantar un registro urgente.</t>
  </si>
  <si>
    <t xml:space="preserve">Se niega y ofrece hacer el registro usted mismo o gestionar el permiso</t>
  </si>
  <si>
    <t xml:space="preserve">Se lo presta solo por esta vez</t>
  </si>
  <si>
    <t xml:space="preserve">Se lo presta y le pide que no lo comente</t>
  </si>
  <si>
    <t xml:space="preserve">B0021</t>
  </si>
  <si>
    <t xml:space="preserve">Le asignan una tarea que nadie quiere y que no suma a sus indicadores.</t>
  </si>
  <si>
    <t xml:space="preserve">La asume con el mismo estándar y propone cómo hacerla sostenible</t>
  </si>
  <si>
    <t xml:space="preserve">La hace a medias</t>
  </si>
  <si>
    <t xml:space="preserve">La devuelve alegando que no le corresponde</t>
  </si>
  <si>
    <t xml:space="preserve">B0022</t>
  </si>
  <si>
    <t xml:space="preserve">Otra área comete un error que afecta su proceso.</t>
  </si>
  <si>
    <t xml:space="preserve">Lo informa con datos al responsable y propone un ajuste conjunto</t>
  </si>
  <si>
    <t xml:space="preserve">Corrige el efecto en su proceso y no dice nada</t>
  </si>
  <si>
    <t xml:space="preserve">Lo comenta con terceros sin avisar al área</t>
  </si>
  <si>
    <t xml:space="preserve">B0023</t>
  </si>
  <si>
    <t xml:space="preserve">Un usuario pide una información que usted no conoce.</t>
  </si>
  <si>
    <t xml:space="preserve">Consulta con quien sabe, confirma y le responde en el momento o le da un plazo cierto</t>
  </si>
  <si>
    <t xml:space="preserve">Le da una respuesta aproximada</t>
  </si>
  <si>
    <t xml:space="preserve">Le dice que pregunte en otra parte</t>
  </si>
  <si>
    <t xml:space="preserve">B0024</t>
  </si>
  <si>
    <t xml:space="preserve">Cambian el horario de su turno por reorganización del servicio.</t>
  </si>
  <si>
    <t xml:space="preserve">Se ajusta, plantea por el canal formal las dificultades reales y propone alternativas</t>
  </si>
  <si>
    <t xml:space="preserve">Cumple el nuevo horario en silencio aunque afecte el servicio</t>
  </si>
  <si>
    <t xml:space="preserve">Se niega a cambiar</t>
  </si>
  <si>
    <t xml:space="preserve">B0025</t>
  </si>
  <si>
    <t xml:space="preserve">Su equipo comete el mismo error dos veces en un mes.</t>
  </si>
  <si>
    <t xml:space="preserve">Analiza la causa con el equipo y documenta el ajuste del procedimiento</t>
  </si>
  <si>
    <t xml:space="preserve">Recuerda verbalmente cómo se hace</t>
  </si>
  <si>
    <t xml:space="preserve">Corrige usted los casos y sigue</t>
  </si>
  <si>
    <t xml:space="preserve">B0026</t>
  </si>
  <si>
    <t xml:space="preserve">Debe dar una noticia incómoda a un usuario: su trámite se demorará.</t>
  </si>
  <si>
    <t xml:space="preserve">Le explica la causa, el plazo estimado y qué hará la entidad mientras tanto</t>
  </si>
  <si>
    <t xml:space="preserve">Le dice que el sistema está lento</t>
  </si>
  <si>
    <t xml:space="preserve">Evita el tema hasta que él pregunte</t>
  </si>
  <si>
    <t xml:space="preserve">B0027</t>
  </si>
  <si>
    <t xml:space="preserve">Detecta que un dato del informe que firmó tiene un error de cálculo.</t>
  </si>
  <si>
    <t xml:space="preserve">Avisa, corrige y verifica si afectó decisiones ya tomadas</t>
  </si>
  <si>
    <t xml:space="preserve">Corrige la próxima versión</t>
  </si>
  <si>
    <t xml:space="preserve">Deja el dato porque el error es pequeño</t>
  </si>
  <si>
    <t xml:space="preserve">B0028</t>
  </si>
  <si>
    <t xml:space="preserve">Su jefe le da una instrucción verbal que contradice un procedimiento vigente.</t>
  </si>
  <si>
    <t xml:space="preserve">Pide la instrucción por escrito y advierte el conflicto con el procedimiento</t>
  </si>
  <si>
    <t xml:space="preserve">La cumple por ser una orden</t>
  </si>
  <si>
    <t xml:space="preserve">La ignora sin decir nada</t>
  </si>
  <si>
    <t xml:space="preserve">B0029</t>
  </si>
  <si>
    <t xml:space="preserve">Responsabilidad</t>
  </si>
  <si>
    <t xml:space="preserve">Termina su turno y queda un pendiente que solo usted conoce.</t>
  </si>
  <si>
    <t xml:space="preserve">Lo entrega documentado a quien recibe el turno</t>
  </si>
  <si>
    <t xml:space="preserve">Lo deja anotado en un papel suelto</t>
  </si>
  <si>
    <t xml:space="preserve">Lo resuelve al día siguiente</t>
  </si>
  <si>
    <t xml:space="preserve">B0030</t>
  </si>
  <si>
    <t xml:space="preserve">Gestión de procedimientos</t>
  </si>
  <si>
    <t xml:space="preserve">Un usuario le pide saltarse un paso del procedimiento por urgencia.</t>
  </si>
  <si>
    <t xml:space="preserve">Explica por qué existe el paso y busca la ruta prevista para casos urgentes</t>
  </si>
  <si>
    <t xml:space="preserve">Se lo salta por esta vez</t>
  </si>
  <si>
    <t xml:space="preserve">Le dice que no hay nada que hacer</t>
  </si>
  <si>
    <t xml:space="preserve">Solaris Merit Neiva - Resumen del banco</t>
  </si>
  <si>
    <t xml:space="preserve">Concurso</t>
  </si>
  <si>
    <t xml:space="preserve">Preguntas funcionales</t>
  </si>
  <si>
    <t xml:space="preserve">Casos funcionales</t>
  </si>
  <si>
    <t xml:space="preserve">Preguntas comportamentales</t>
  </si>
  <si>
    <t xml:space="preserve">Total preguntas</t>
  </si>
  <si>
    <t xml:space="preserve">Preguntas por eje</t>
  </si>
  <si>
    <t xml:space="preserve">Eje</t>
  </si>
  <si>
    <t xml:space="preserve">Preguntas</t>
  </si>
  <si>
    <t xml:space="preserve">Casos</t>
  </si>
  <si>
    <t xml:space="preserve">TOTAL</t>
  </si>
  <si>
    <t xml:space="preserve">Solaris Merit Neiva - Banco de preguntas de práctica</t>
  </si>
  <si>
    <t xml:space="preserve">Concurso: Proceso de Selección No. 2782 de 2026 - Empresas Sociales del Estado 2</t>
  </si>
  <si>
    <t xml:space="preserve">Entidad: E.S.E. Hospital Universitario Hernando Moncaleano Perdomo (Neiva, Huila)</t>
  </si>
  <si>
    <t xml:space="preserve">Acuerdo de convocatoria: Acuerdo CNSC N° 36 del 9 de abril de 2026 - Anexo Técnico E.S.E. 2 Orden Territorial</t>
  </si>
  <si>
    <t xml:space="preserve">Niveles cubiertos: Profesional y Técnico</t>
  </si>
  <si>
    <t xml:space="preserve">AVISO IMPORTANTE</t>
  </si>
  <si>
    <t xml:space="preserve">Estas preguntas son de PRÁCTICA y fueron elaboradas a partir de la normativa pública citada en cada fila.</t>
  </si>
  <si>
    <t xml:space="preserve">NO son preguntas reales de una prueba de la CNSC: las pruebas tienen carácter reservado (Ley 909 de 2004, art. 31 num. 3).</t>
  </si>
  <si>
    <t xml:space="preserve">Este material no está afiliado, avalado ni patrocinado por la CNSC ni por la E.S.E. Hospital Universitario Hernando Moncaleano Perdomo.</t>
  </si>
  <si>
    <t xml:space="preserve">CÓMO EDITAR ESTE ARCHIVO</t>
  </si>
  <si>
    <t xml:space="preserve">1. Hoja Funcionales: una fila por pregunta. Tres filas con el mismo caso_id comparten el mismo texto_caso (formato de caso con tres enunciados).</t>
  </si>
  <si>
    <t xml:space="preserve">2. Columna respuesta: escriba únicamente a, b o c en minúscula.</t>
  </si>
  <si>
    <t xml:space="preserve">3. Columna porque_no: explique por qué las otras dos opciones no sirven.</t>
  </si>
  <si>
    <t xml:space="preserve">4. Columna fuente: cite siempre la norma y el artículo. Verifique vigencia antes de publicar.</t>
  </si>
  <si>
    <t xml:space="preserve">5. Columna activa: SI la pregunta entra al simulador, NO la deja fuera sin borrarla.</t>
  </si>
  <si>
    <t xml:space="preserve">6. Para agregar preguntas, continúe la numeración (F0121, F0122, ...) sin dejar filas vacías.</t>
  </si>
  <si>
    <t xml:space="preserve">7. La hoja Resumen se recalcula sola al abrir el archivo en Excel.</t>
  </si>
  <si>
    <t xml:space="preserve">PESOS DEL CONCURSO (Acuerdo 36, art. 16)</t>
  </si>
  <si>
    <t xml:space="preserve">Competencias funcionales: eliminatoria, 60%, puntaje mínimo aprobatorio 65.00</t>
  </si>
  <si>
    <t xml:space="preserve">Competencias comportamentales: clasificatoria, 20%</t>
  </si>
  <si>
    <t xml:space="preserve">Valoración de antecedentes: clasificatoria, 20%</t>
  </si>
  <si>
    <t xml:space="preserve">Vacantes reservadas para personas con discapacidad: 60% / 30% / 10% (VA solo factor educación)</t>
  </si>
  <si>
    <t xml:space="preserve">NOTA DE VIGENCIA NORMATIVA (verificada a septiembre de 2026)</t>
  </si>
  <si>
    <t xml:space="preserve">La Resolución 1732 de 2026 derogaba la Resolución 3100 de 2019, pero fue revocada íntegramente por la Resolución 2080 de 2026;</t>
  </si>
  <si>
    <t xml:space="preserve">por tanto, la Resolución 3100 de 2019 y sus modificaciones siguen vigentes y son la base de las preguntas de habilitación.</t>
  </si>
  <si>
    <t xml:space="preserve">EJE DE PRECISIÓN DEL VERBO</t>
  </si>
  <si>
    <t xml:space="preserve">En este eje las tres opciones son plausibles en su contenido: lo que decide la respuesta es el verbo.</t>
  </si>
  <si>
    <t xml:space="preserve">Pares trabajados: notificar/comunicar/publicar, confirmar/modificar/revocar, revocar/anular/suspender,</t>
  </si>
  <si>
    <t xml:space="preserve">inadmitir/excluir/declarar desierto, habilitar/acreditar/certificar/reportar novedad, referir/contrarreferir/trasladar,</t>
  </si>
  <si>
    <t xml:space="preserve">notificar/reportar/informar, caducar/prescribir, sancionar/expedir/promulgar/proferir, derogar/subrogar/modificar/decaimiento,</t>
  </si>
  <si>
    <t xml:space="preserve">convocar/citar/emplazar/requerir, adoptar/viabilizar, delegar/desconcentrar/encargar y suspender/cancelar/sancionar.</t>
  </si>
  <si>
    <t xml:space="preserve">HOJA COMPORTAMENTALES</t>
  </si>
  <si>
    <t xml:space="preserve">Columnas: id, competencia, situacion, a, b, c, puntos_a, puntos_b, puntos_c, activa.</t>
  </si>
  <si>
    <t xml:space="preserve">Cada opción se puntúa de 1 a 3 según el Decreto 815 de 2018: 3 la conducta esperada, 2 la aceptable, 1 la inadecuada.</t>
  </si>
  <si>
    <t xml:space="preserve">El simulador calcula el porcentaje sobre el máximo posible de la sesión.</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</si>
</sst>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3"/>
      <color rgb="FF0E1E40"/>
      <name val="Arial"/>
      <family val="0"/>
      <charset val="1"/>
    </font>
    <font>
      <b val="true"/>
      <sz val="11"/>
      <name val="Arial"/>
      <family val="0"/>
      <charset val="1"/>
    </font>
    <font>
      <b val="true"/>
      <sz val="10"/>
      <name val="Arial"/>
      <family val="0"/>
      <charset val="1"/>
    </font>
    <font>
      <b val="true"/>
      <sz val="11"/>
      <color rgb="FF0E1E40"/>
      <name val="Arial"/>
      <family val="0"/>
      <charset val="1"/>
    </font>
    <font>
      <sz val="11"/>
      <color rgb="FF000000"/>
      <name val="Arial"/>
      <family val="0"/>
      <charset val="1"/>
    </font>
  </fonts>
  <fills count="3">
    <fill>
      <patternFill patternType="none"/>
    </fill>
    <fill>
      <patternFill patternType="gray125"/>
    </fill>
    <fill>
      <patternFill patternType="solid">
        <fgColor rgb="FF0E1E40"/>
        <bgColor rgb="FF33333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E1E4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8"/>
    <col collapsed="false" customWidth="true" hidden="false" outlineLevel="0" max="3" min="3" style="1" width="34"/>
    <col collapsed="false" customWidth="true" hidden="false" outlineLevel="0" max="4" min="4" style="1" width="12"/>
    <col collapsed="false" customWidth="true" hidden="false" outlineLevel="0" max="5" min="5" style="1" width="9"/>
    <col collapsed="false" customWidth="true" hidden="false" outlineLevel="0" max="6" min="6" style="1" width="10"/>
    <col collapsed="false" customWidth="true" hidden="false" outlineLevel="0" max="7" min="7" style="1" width="62"/>
    <col collapsed="false" customWidth="true" hidden="false" outlineLevel="0" max="8" min="8" style="1" width="58"/>
    <col collapsed="false" customWidth="true" hidden="false" outlineLevel="0" max="11" min="9" style="1" width="46"/>
    <col collapsed="false" customWidth="true" hidden="false" outlineLevel="0" max="12" min="12" style="1" width="10"/>
    <col collapsed="false" customWidth="true" hidden="false" outlineLevel="0" max="13" min="13" style="1" width="62"/>
    <col collapsed="false" customWidth="true" hidden="false" outlineLevel="0" max="14" min="14" style="1" width="58"/>
    <col collapsed="false" customWidth="true" hidden="false" outlineLevel="0" max="15" min="15" style="1" width="38"/>
    <col collapsed="false" customWidth="true" hidden="false" outlineLevel="0" max="16" min="16" style="1" width="7"/>
  </cols>
  <sheetData>
    <row r="1" customFormat="false" ht="27.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customFormat="false" ht="45.75" hidden="false" customHeight="true" outlineLevel="0" collapsed="false">
      <c r="A2" s="3" t="s">
        <v>16</v>
      </c>
      <c r="B2" s="3" t="s">
        <v>17</v>
      </c>
      <c r="C2" s="3" t="s">
        <v>18</v>
      </c>
      <c r="D2" s="3" t="s">
        <v>19</v>
      </c>
      <c r="E2" s="3" t="s">
        <v>20</v>
      </c>
      <c r="F2" s="3" t="s">
        <v>21</v>
      </c>
      <c r="G2" s="3" t="s">
        <v>22</v>
      </c>
      <c r="H2" s="3" t="s">
        <v>23</v>
      </c>
      <c r="I2" s="3" t="s">
        <v>24</v>
      </c>
      <c r="J2" s="3" t="s">
        <v>25</v>
      </c>
      <c r="K2" s="3" t="s">
        <v>26</v>
      </c>
      <c r="L2" s="3" t="s">
        <v>9</v>
      </c>
      <c r="M2" s="3" t="s">
        <v>27</v>
      </c>
      <c r="N2" s="3" t="s">
        <v>28</v>
      </c>
      <c r="O2" s="3" t="s">
        <v>29</v>
      </c>
      <c r="P2" s="3" t="s">
        <v>30</v>
      </c>
    </row>
    <row r="3" customFormat="false" ht="45.75" hidden="false" customHeight="true" outlineLevel="0" collapsed="false">
      <c r="A3" s="3" t="s">
        <v>31</v>
      </c>
      <c r="B3" s="3" t="s">
        <v>17</v>
      </c>
      <c r="C3" s="3" t="s">
        <v>18</v>
      </c>
      <c r="D3" s="3" t="s">
        <v>19</v>
      </c>
      <c r="E3" s="3" t="s">
        <v>20</v>
      </c>
      <c r="F3" s="3" t="s">
        <v>21</v>
      </c>
      <c r="G3" s="3" t="s">
        <v>22</v>
      </c>
      <c r="H3" s="3" t="s">
        <v>32</v>
      </c>
      <c r="I3" s="3" t="s">
        <v>33</v>
      </c>
      <c r="J3" s="3" t="s">
        <v>34</v>
      </c>
      <c r="K3" s="3" t="s">
        <v>35</v>
      </c>
      <c r="L3" s="3" t="s">
        <v>10</v>
      </c>
      <c r="M3" s="3" t="s">
        <v>36</v>
      </c>
      <c r="N3" s="3" t="s">
        <v>37</v>
      </c>
      <c r="O3" s="3" t="s">
        <v>38</v>
      </c>
      <c r="P3" s="3" t="s">
        <v>30</v>
      </c>
    </row>
    <row r="4" customFormat="false" ht="45.75" hidden="false" customHeight="true" outlineLevel="0" collapsed="false">
      <c r="A4" s="3" t="s">
        <v>39</v>
      </c>
      <c r="B4" s="3" t="s">
        <v>17</v>
      </c>
      <c r="C4" s="3" t="s">
        <v>18</v>
      </c>
      <c r="D4" s="3" t="s">
        <v>19</v>
      </c>
      <c r="E4" s="3" t="s">
        <v>20</v>
      </c>
      <c r="F4" s="3" t="s">
        <v>21</v>
      </c>
      <c r="G4" s="3" t="s">
        <v>22</v>
      </c>
      <c r="H4" s="3" t="s">
        <v>40</v>
      </c>
      <c r="I4" s="3" t="s">
        <v>41</v>
      </c>
      <c r="J4" s="3" t="s">
        <v>42</v>
      </c>
      <c r="K4" s="3" t="s">
        <v>43</v>
      </c>
      <c r="L4" s="3" t="s">
        <v>8</v>
      </c>
      <c r="M4" s="3" t="s">
        <v>44</v>
      </c>
      <c r="N4" s="3" t="s">
        <v>45</v>
      </c>
      <c r="O4" s="3" t="s">
        <v>46</v>
      </c>
      <c r="P4" s="3" t="s">
        <v>30</v>
      </c>
    </row>
    <row r="5" customFormat="false" ht="45.75" hidden="false" customHeight="true" outlineLevel="0" collapsed="false">
      <c r="A5" s="3" t="s">
        <v>47</v>
      </c>
      <c r="B5" s="3" t="s">
        <v>17</v>
      </c>
      <c r="C5" s="3" t="s">
        <v>18</v>
      </c>
      <c r="D5" s="3" t="s">
        <v>19</v>
      </c>
      <c r="E5" s="3" t="s">
        <v>48</v>
      </c>
      <c r="F5" s="3" t="s">
        <v>49</v>
      </c>
      <c r="G5" s="3" t="s">
        <v>50</v>
      </c>
      <c r="H5" s="3" t="s">
        <v>51</v>
      </c>
      <c r="I5" s="3" t="s">
        <v>52</v>
      </c>
      <c r="J5" s="3" t="s">
        <v>53</v>
      </c>
      <c r="K5" s="3" t="s">
        <v>54</v>
      </c>
      <c r="L5" s="3" t="s">
        <v>9</v>
      </c>
      <c r="M5" s="3" t="s">
        <v>55</v>
      </c>
      <c r="N5" s="3" t="s">
        <v>56</v>
      </c>
      <c r="O5" s="3" t="s">
        <v>57</v>
      </c>
      <c r="P5" s="3" t="s">
        <v>30</v>
      </c>
    </row>
    <row r="6" customFormat="false" ht="34.5" hidden="false" customHeight="true" outlineLevel="0" collapsed="false">
      <c r="A6" s="3" t="s">
        <v>58</v>
      </c>
      <c r="B6" s="3" t="s">
        <v>17</v>
      </c>
      <c r="C6" s="3" t="s">
        <v>18</v>
      </c>
      <c r="D6" s="3" t="s">
        <v>19</v>
      </c>
      <c r="E6" s="3" t="s">
        <v>48</v>
      </c>
      <c r="F6" s="3" t="s">
        <v>49</v>
      </c>
      <c r="G6" s="3" t="s">
        <v>50</v>
      </c>
      <c r="H6" s="3" t="s">
        <v>59</v>
      </c>
      <c r="I6" s="3" t="s">
        <v>60</v>
      </c>
      <c r="J6" s="3" t="s">
        <v>61</v>
      </c>
      <c r="K6" s="3" t="s">
        <v>62</v>
      </c>
      <c r="L6" s="3" t="s">
        <v>9</v>
      </c>
      <c r="M6" s="3" t="s">
        <v>63</v>
      </c>
      <c r="N6" s="3" t="s">
        <v>64</v>
      </c>
      <c r="O6" s="3" t="s">
        <v>65</v>
      </c>
      <c r="P6" s="3" t="s">
        <v>30</v>
      </c>
    </row>
    <row r="7" customFormat="false" ht="34.5" hidden="false" customHeight="true" outlineLevel="0" collapsed="false">
      <c r="A7" s="3" t="s">
        <v>66</v>
      </c>
      <c r="B7" s="3" t="s">
        <v>17</v>
      </c>
      <c r="C7" s="3" t="s">
        <v>18</v>
      </c>
      <c r="D7" s="3" t="s">
        <v>19</v>
      </c>
      <c r="E7" s="3" t="s">
        <v>48</v>
      </c>
      <c r="F7" s="3" t="s">
        <v>49</v>
      </c>
      <c r="G7" s="3" t="s">
        <v>50</v>
      </c>
      <c r="H7" s="3" t="s">
        <v>67</v>
      </c>
      <c r="I7" s="3" t="s">
        <v>68</v>
      </c>
      <c r="J7" s="3" t="s">
        <v>69</v>
      </c>
      <c r="K7" s="3" t="s">
        <v>70</v>
      </c>
      <c r="L7" s="3" t="s">
        <v>9</v>
      </c>
      <c r="M7" s="3" t="s">
        <v>71</v>
      </c>
      <c r="N7" s="3" t="s">
        <v>72</v>
      </c>
      <c r="O7" s="3" t="s">
        <v>73</v>
      </c>
      <c r="P7" s="3" t="s">
        <v>30</v>
      </c>
    </row>
    <row r="8" customFormat="false" ht="23.25" hidden="false" customHeight="true" outlineLevel="0" collapsed="false">
      <c r="A8" s="3" t="s">
        <v>74</v>
      </c>
      <c r="B8" s="3" t="s">
        <v>17</v>
      </c>
      <c r="C8" s="3" t="s">
        <v>18</v>
      </c>
      <c r="D8" s="3" t="s">
        <v>75</v>
      </c>
      <c r="E8" s="3" t="s">
        <v>76</v>
      </c>
      <c r="F8" s="3" t="s">
        <v>77</v>
      </c>
      <c r="G8" s="3" t="s">
        <v>78</v>
      </c>
      <c r="H8" s="3" t="s">
        <v>79</v>
      </c>
      <c r="I8" s="3" t="s">
        <v>80</v>
      </c>
      <c r="J8" s="3" t="s">
        <v>81</v>
      </c>
      <c r="K8" s="3" t="s">
        <v>82</v>
      </c>
      <c r="L8" s="3" t="s">
        <v>9</v>
      </c>
      <c r="M8" s="3" t="s">
        <v>83</v>
      </c>
      <c r="N8" s="3" t="s">
        <v>84</v>
      </c>
      <c r="O8" s="3" t="s">
        <v>85</v>
      </c>
      <c r="P8" s="3" t="s">
        <v>30</v>
      </c>
    </row>
    <row r="9" customFormat="false" ht="23.25" hidden="false" customHeight="true" outlineLevel="0" collapsed="false">
      <c r="A9" s="3" t="s">
        <v>86</v>
      </c>
      <c r="B9" s="3" t="s">
        <v>17</v>
      </c>
      <c r="C9" s="3" t="s">
        <v>18</v>
      </c>
      <c r="D9" s="3" t="s">
        <v>75</v>
      </c>
      <c r="E9" s="3" t="s">
        <v>76</v>
      </c>
      <c r="F9" s="3" t="s">
        <v>77</v>
      </c>
      <c r="G9" s="3" t="s">
        <v>78</v>
      </c>
      <c r="H9" s="3" t="s">
        <v>87</v>
      </c>
      <c r="I9" s="3" t="s">
        <v>88</v>
      </c>
      <c r="J9" s="3" t="s">
        <v>89</v>
      </c>
      <c r="K9" s="3" t="s">
        <v>90</v>
      </c>
      <c r="L9" s="3" t="s">
        <v>8</v>
      </c>
      <c r="M9" s="3" t="s">
        <v>91</v>
      </c>
      <c r="N9" s="3" t="s">
        <v>92</v>
      </c>
      <c r="O9" s="3" t="s">
        <v>93</v>
      </c>
      <c r="P9" s="3" t="s">
        <v>30</v>
      </c>
    </row>
    <row r="10" customFormat="false" ht="34.5" hidden="false" customHeight="true" outlineLevel="0" collapsed="false">
      <c r="A10" s="3" t="s">
        <v>94</v>
      </c>
      <c r="B10" s="3" t="s">
        <v>17</v>
      </c>
      <c r="C10" s="3" t="s">
        <v>18</v>
      </c>
      <c r="D10" s="3" t="s">
        <v>75</v>
      </c>
      <c r="E10" s="3" t="s">
        <v>76</v>
      </c>
      <c r="F10" s="3" t="s">
        <v>77</v>
      </c>
      <c r="G10" s="3" t="s">
        <v>78</v>
      </c>
      <c r="H10" s="3" t="s">
        <v>95</v>
      </c>
      <c r="I10" s="3" t="s">
        <v>96</v>
      </c>
      <c r="J10" s="3" t="s">
        <v>97</v>
      </c>
      <c r="K10" s="3" t="s">
        <v>98</v>
      </c>
      <c r="L10" s="3" t="s">
        <v>9</v>
      </c>
      <c r="M10" s="3" t="s">
        <v>99</v>
      </c>
      <c r="N10" s="3" t="s">
        <v>100</v>
      </c>
      <c r="O10" s="3" t="s">
        <v>101</v>
      </c>
      <c r="P10" s="3" t="s">
        <v>30</v>
      </c>
    </row>
    <row r="11" customFormat="false" ht="23.25" hidden="false" customHeight="true" outlineLevel="0" collapsed="false">
      <c r="A11" s="3" t="s">
        <v>102</v>
      </c>
      <c r="B11" s="3" t="s">
        <v>17</v>
      </c>
      <c r="C11" s="3" t="s">
        <v>18</v>
      </c>
      <c r="D11" s="3" t="s">
        <v>19</v>
      </c>
      <c r="E11" s="3" t="s">
        <v>103</v>
      </c>
      <c r="F11" s="3" t="s">
        <v>104</v>
      </c>
      <c r="G11" s="3" t="s">
        <v>105</v>
      </c>
      <c r="H11" s="3" t="s">
        <v>106</v>
      </c>
      <c r="I11" s="3" t="s">
        <v>107</v>
      </c>
      <c r="J11" s="3" t="s">
        <v>108</v>
      </c>
      <c r="K11" s="3" t="s">
        <v>109</v>
      </c>
      <c r="L11" s="3" t="s">
        <v>9</v>
      </c>
      <c r="M11" s="3" t="s">
        <v>110</v>
      </c>
      <c r="N11" s="3" t="s">
        <v>111</v>
      </c>
      <c r="O11" s="3" t="s">
        <v>112</v>
      </c>
      <c r="P11" s="3" t="s">
        <v>30</v>
      </c>
    </row>
    <row r="12" customFormat="false" ht="23.25" hidden="false" customHeight="true" outlineLevel="0" collapsed="false">
      <c r="A12" s="3" t="s">
        <v>113</v>
      </c>
      <c r="B12" s="3" t="s">
        <v>17</v>
      </c>
      <c r="C12" s="3" t="s">
        <v>18</v>
      </c>
      <c r="D12" s="3" t="s">
        <v>19</v>
      </c>
      <c r="E12" s="3" t="s">
        <v>103</v>
      </c>
      <c r="F12" s="3" t="s">
        <v>104</v>
      </c>
      <c r="G12" s="3" t="s">
        <v>105</v>
      </c>
      <c r="H12" s="3" t="s">
        <v>114</v>
      </c>
      <c r="I12" s="3" t="s">
        <v>115</v>
      </c>
      <c r="J12" s="3" t="s">
        <v>116</v>
      </c>
      <c r="K12" s="3" t="s">
        <v>117</v>
      </c>
      <c r="L12" s="3" t="s">
        <v>9</v>
      </c>
      <c r="M12" s="3" t="s">
        <v>118</v>
      </c>
      <c r="N12" s="3" t="s">
        <v>119</v>
      </c>
      <c r="O12" s="3" t="s">
        <v>120</v>
      </c>
      <c r="P12" s="3" t="s">
        <v>30</v>
      </c>
    </row>
    <row r="13" customFormat="false" ht="34.5" hidden="false" customHeight="true" outlineLevel="0" collapsed="false">
      <c r="A13" s="3" t="s">
        <v>121</v>
      </c>
      <c r="B13" s="3" t="s">
        <v>17</v>
      </c>
      <c r="C13" s="3" t="s">
        <v>18</v>
      </c>
      <c r="D13" s="3" t="s">
        <v>19</v>
      </c>
      <c r="E13" s="3" t="s">
        <v>103</v>
      </c>
      <c r="F13" s="3" t="s">
        <v>104</v>
      </c>
      <c r="G13" s="3" t="s">
        <v>105</v>
      </c>
      <c r="H13" s="3" t="s">
        <v>122</v>
      </c>
      <c r="I13" s="3" t="s">
        <v>123</v>
      </c>
      <c r="J13" s="3" t="s">
        <v>124</v>
      </c>
      <c r="K13" s="3" t="s">
        <v>125</v>
      </c>
      <c r="L13" s="3" t="s">
        <v>9</v>
      </c>
      <c r="M13" s="3" t="s">
        <v>126</v>
      </c>
      <c r="N13" s="3" t="s">
        <v>127</v>
      </c>
      <c r="O13" s="3" t="s">
        <v>128</v>
      </c>
      <c r="P13" s="3" t="s">
        <v>30</v>
      </c>
    </row>
    <row r="14" customFormat="false" ht="34.5" hidden="false" customHeight="true" outlineLevel="0" collapsed="false">
      <c r="A14" s="3" t="s">
        <v>129</v>
      </c>
      <c r="B14" s="3" t="s">
        <v>17</v>
      </c>
      <c r="C14" s="3" t="s">
        <v>130</v>
      </c>
      <c r="D14" s="3" t="s">
        <v>19</v>
      </c>
      <c r="E14" s="3" t="s">
        <v>131</v>
      </c>
      <c r="F14" s="3" t="s">
        <v>132</v>
      </c>
      <c r="G14" s="3" t="s">
        <v>133</v>
      </c>
      <c r="H14" s="3" t="s">
        <v>134</v>
      </c>
      <c r="I14" s="3" t="s">
        <v>135</v>
      </c>
      <c r="J14" s="3" t="s">
        <v>136</v>
      </c>
      <c r="K14" s="3" t="s">
        <v>137</v>
      </c>
      <c r="L14" s="3" t="s">
        <v>8</v>
      </c>
      <c r="M14" s="3" t="s">
        <v>138</v>
      </c>
      <c r="N14" s="3" t="s">
        <v>139</v>
      </c>
      <c r="O14" s="3" t="s">
        <v>140</v>
      </c>
      <c r="P14" s="3" t="s">
        <v>30</v>
      </c>
    </row>
    <row r="15" customFormat="false" ht="34.5" hidden="false" customHeight="true" outlineLevel="0" collapsed="false">
      <c r="A15" s="3" t="s">
        <v>141</v>
      </c>
      <c r="B15" s="3" t="s">
        <v>17</v>
      </c>
      <c r="C15" s="3" t="s">
        <v>130</v>
      </c>
      <c r="D15" s="3" t="s">
        <v>19</v>
      </c>
      <c r="E15" s="3" t="s">
        <v>131</v>
      </c>
      <c r="F15" s="3" t="s">
        <v>132</v>
      </c>
      <c r="G15" s="3" t="s">
        <v>133</v>
      </c>
      <c r="H15" s="3" t="s">
        <v>142</v>
      </c>
      <c r="I15" s="3" t="s">
        <v>143</v>
      </c>
      <c r="J15" s="3" t="s">
        <v>144</v>
      </c>
      <c r="K15" s="3" t="s">
        <v>145</v>
      </c>
      <c r="L15" s="3" t="s">
        <v>9</v>
      </c>
      <c r="M15" s="3" t="s">
        <v>146</v>
      </c>
      <c r="N15" s="3" t="s">
        <v>147</v>
      </c>
      <c r="O15" s="3" t="s">
        <v>148</v>
      </c>
      <c r="P15" s="3" t="s">
        <v>30</v>
      </c>
    </row>
    <row r="16" customFormat="false" ht="45.75" hidden="false" customHeight="true" outlineLevel="0" collapsed="false">
      <c r="A16" s="3" t="s">
        <v>149</v>
      </c>
      <c r="B16" s="3" t="s">
        <v>17</v>
      </c>
      <c r="C16" s="3" t="s">
        <v>130</v>
      </c>
      <c r="D16" s="3" t="s">
        <v>19</v>
      </c>
      <c r="E16" s="3" t="s">
        <v>131</v>
      </c>
      <c r="F16" s="3" t="s">
        <v>132</v>
      </c>
      <c r="G16" s="3" t="s">
        <v>133</v>
      </c>
      <c r="H16" s="3" t="s">
        <v>150</v>
      </c>
      <c r="I16" s="3" t="s">
        <v>151</v>
      </c>
      <c r="J16" s="3" t="s">
        <v>152</v>
      </c>
      <c r="K16" s="3" t="s">
        <v>153</v>
      </c>
      <c r="L16" s="3" t="s">
        <v>9</v>
      </c>
      <c r="M16" s="3" t="s">
        <v>154</v>
      </c>
      <c r="N16" s="3" t="s">
        <v>155</v>
      </c>
      <c r="O16" s="3" t="s">
        <v>156</v>
      </c>
      <c r="P16" s="3" t="s">
        <v>30</v>
      </c>
    </row>
    <row r="17" customFormat="false" ht="34.5" hidden="false" customHeight="true" outlineLevel="0" collapsed="false">
      <c r="A17" s="3" t="s">
        <v>157</v>
      </c>
      <c r="B17" s="3" t="s">
        <v>17</v>
      </c>
      <c r="C17" s="3" t="s">
        <v>130</v>
      </c>
      <c r="D17" s="3" t="s">
        <v>19</v>
      </c>
      <c r="E17" s="3" t="s">
        <v>158</v>
      </c>
      <c r="F17" s="3" t="s">
        <v>159</v>
      </c>
      <c r="G17" s="3" t="s">
        <v>160</v>
      </c>
      <c r="H17" s="3" t="s">
        <v>161</v>
      </c>
      <c r="I17" s="3" t="s">
        <v>162</v>
      </c>
      <c r="J17" s="3" t="s">
        <v>163</v>
      </c>
      <c r="K17" s="3" t="s">
        <v>164</v>
      </c>
      <c r="L17" s="3" t="s">
        <v>9</v>
      </c>
      <c r="M17" s="3" t="s">
        <v>165</v>
      </c>
      <c r="N17" s="3" t="s">
        <v>166</v>
      </c>
      <c r="O17" s="3" t="s">
        <v>167</v>
      </c>
      <c r="P17" s="3" t="s">
        <v>30</v>
      </c>
    </row>
    <row r="18" customFormat="false" ht="34.5" hidden="false" customHeight="true" outlineLevel="0" collapsed="false">
      <c r="A18" s="3" t="s">
        <v>168</v>
      </c>
      <c r="B18" s="3" t="s">
        <v>17</v>
      </c>
      <c r="C18" s="3" t="s">
        <v>130</v>
      </c>
      <c r="D18" s="3" t="s">
        <v>19</v>
      </c>
      <c r="E18" s="3" t="s">
        <v>158</v>
      </c>
      <c r="F18" s="3" t="s">
        <v>159</v>
      </c>
      <c r="G18" s="3" t="s">
        <v>160</v>
      </c>
      <c r="H18" s="3" t="s">
        <v>169</v>
      </c>
      <c r="I18" s="3" t="s">
        <v>170</v>
      </c>
      <c r="J18" s="3" t="s">
        <v>171</v>
      </c>
      <c r="K18" s="3" t="s">
        <v>172</v>
      </c>
      <c r="L18" s="3" t="s">
        <v>9</v>
      </c>
      <c r="M18" s="3" t="s">
        <v>173</v>
      </c>
      <c r="N18" s="3" t="s">
        <v>174</v>
      </c>
      <c r="O18" s="3" t="s">
        <v>175</v>
      </c>
      <c r="P18" s="3" t="s">
        <v>30</v>
      </c>
    </row>
    <row r="19" customFormat="false" ht="34.5" hidden="false" customHeight="true" outlineLevel="0" collapsed="false">
      <c r="A19" s="3" t="s">
        <v>176</v>
      </c>
      <c r="B19" s="3" t="s">
        <v>17</v>
      </c>
      <c r="C19" s="3" t="s">
        <v>130</v>
      </c>
      <c r="D19" s="3" t="s">
        <v>19</v>
      </c>
      <c r="E19" s="3" t="s">
        <v>158</v>
      </c>
      <c r="F19" s="3" t="s">
        <v>159</v>
      </c>
      <c r="G19" s="3" t="s">
        <v>160</v>
      </c>
      <c r="H19" s="3" t="s">
        <v>177</v>
      </c>
      <c r="I19" s="3" t="s">
        <v>178</v>
      </c>
      <c r="J19" s="3" t="s">
        <v>179</v>
      </c>
      <c r="K19" s="3" t="s">
        <v>180</v>
      </c>
      <c r="L19" s="3" t="s">
        <v>9</v>
      </c>
      <c r="M19" s="3" t="s">
        <v>181</v>
      </c>
      <c r="N19" s="3" t="s">
        <v>182</v>
      </c>
      <c r="O19" s="3" t="s">
        <v>183</v>
      </c>
      <c r="P19" s="3" t="s">
        <v>30</v>
      </c>
    </row>
    <row r="20" customFormat="false" ht="23.25" hidden="false" customHeight="true" outlineLevel="0" collapsed="false">
      <c r="A20" s="3" t="s">
        <v>184</v>
      </c>
      <c r="B20" s="3" t="s">
        <v>17</v>
      </c>
      <c r="C20" s="3" t="s">
        <v>130</v>
      </c>
      <c r="D20" s="3" t="s">
        <v>75</v>
      </c>
      <c r="E20" s="3" t="s">
        <v>185</v>
      </c>
      <c r="F20" s="3" t="s">
        <v>186</v>
      </c>
      <c r="G20" s="3" t="s">
        <v>187</v>
      </c>
      <c r="H20" s="3" t="s">
        <v>188</v>
      </c>
      <c r="I20" s="3" t="s">
        <v>189</v>
      </c>
      <c r="J20" s="3" t="s">
        <v>190</v>
      </c>
      <c r="K20" s="3" t="s">
        <v>191</v>
      </c>
      <c r="L20" s="3" t="s">
        <v>9</v>
      </c>
      <c r="M20" s="3" t="s">
        <v>192</v>
      </c>
      <c r="N20" s="3" t="s">
        <v>193</v>
      </c>
      <c r="O20" s="3" t="s">
        <v>194</v>
      </c>
      <c r="P20" s="3" t="s">
        <v>30</v>
      </c>
    </row>
    <row r="21" customFormat="false" ht="34.5" hidden="false" customHeight="true" outlineLevel="0" collapsed="false">
      <c r="A21" s="3" t="s">
        <v>195</v>
      </c>
      <c r="B21" s="3" t="s">
        <v>17</v>
      </c>
      <c r="C21" s="3" t="s">
        <v>130</v>
      </c>
      <c r="D21" s="3" t="s">
        <v>75</v>
      </c>
      <c r="E21" s="3" t="s">
        <v>185</v>
      </c>
      <c r="F21" s="3" t="s">
        <v>186</v>
      </c>
      <c r="G21" s="3" t="s">
        <v>187</v>
      </c>
      <c r="H21" s="3" t="s">
        <v>196</v>
      </c>
      <c r="I21" s="3" t="s">
        <v>197</v>
      </c>
      <c r="J21" s="3" t="s">
        <v>198</v>
      </c>
      <c r="K21" s="3" t="s">
        <v>199</v>
      </c>
      <c r="L21" s="3" t="s">
        <v>8</v>
      </c>
      <c r="M21" s="3" t="s">
        <v>200</v>
      </c>
      <c r="N21" s="3" t="s">
        <v>201</v>
      </c>
      <c r="O21" s="3" t="s">
        <v>202</v>
      </c>
      <c r="P21" s="3" t="s">
        <v>30</v>
      </c>
    </row>
    <row r="22" customFormat="false" ht="23.25" hidden="false" customHeight="true" outlineLevel="0" collapsed="false">
      <c r="A22" s="3" t="s">
        <v>203</v>
      </c>
      <c r="B22" s="3" t="s">
        <v>17</v>
      </c>
      <c r="C22" s="3" t="s">
        <v>130</v>
      </c>
      <c r="D22" s="3" t="s">
        <v>75</v>
      </c>
      <c r="E22" s="3" t="s">
        <v>185</v>
      </c>
      <c r="F22" s="3" t="s">
        <v>186</v>
      </c>
      <c r="G22" s="3" t="s">
        <v>187</v>
      </c>
      <c r="H22" s="3" t="s">
        <v>204</v>
      </c>
      <c r="I22" s="3" t="s">
        <v>205</v>
      </c>
      <c r="J22" s="3" t="s">
        <v>206</v>
      </c>
      <c r="K22" s="3" t="s">
        <v>207</v>
      </c>
      <c r="L22" s="3" t="s">
        <v>9</v>
      </c>
      <c r="M22" s="3" t="s">
        <v>208</v>
      </c>
      <c r="N22" s="3" t="s">
        <v>209</v>
      </c>
      <c r="O22" s="3" t="s">
        <v>210</v>
      </c>
      <c r="P22" s="3" t="s">
        <v>30</v>
      </c>
    </row>
    <row r="23" customFormat="false" ht="23.25" hidden="false" customHeight="true" outlineLevel="0" collapsed="false">
      <c r="A23" s="3" t="s">
        <v>211</v>
      </c>
      <c r="B23" s="3" t="s">
        <v>17</v>
      </c>
      <c r="C23" s="3" t="s">
        <v>130</v>
      </c>
      <c r="D23" s="3" t="s">
        <v>19</v>
      </c>
      <c r="E23" s="3" t="s">
        <v>212</v>
      </c>
      <c r="F23" s="3" t="s">
        <v>213</v>
      </c>
      <c r="G23" s="3" t="s">
        <v>214</v>
      </c>
      <c r="H23" s="3" t="s">
        <v>215</v>
      </c>
      <c r="I23" s="3" t="s">
        <v>216</v>
      </c>
      <c r="J23" s="3" t="s">
        <v>217</v>
      </c>
      <c r="K23" s="3" t="s">
        <v>218</v>
      </c>
      <c r="L23" s="3" t="s">
        <v>9</v>
      </c>
      <c r="M23" s="3" t="s">
        <v>219</v>
      </c>
      <c r="N23" s="3" t="s">
        <v>220</v>
      </c>
      <c r="O23" s="3" t="s">
        <v>221</v>
      </c>
      <c r="P23" s="3" t="s">
        <v>30</v>
      </c>
    </row>
    <row r="24" customFormat="false" ht="34.5" hidden="false" customHeight="true" outlineLevel="0" collapsed="false">
      <c r="A24" s="3" t="s">
        <v>222</v>
      </c>
      <c r="B24" s="3" t="s">
        <v>17</v>
      </c>
      <c r="C24" s="3" t="s">
        <v>130</v>
      </c>
      <c r="D24" s="3" t="s">
        <v>19</v>
      </c>
      <c r="E24" s="3" t="s">
        <v>212</v>
      </c>
      <c r="F24" s="3" t="s">
        <v>213</v>
      </c>
      <c r="G24" s="3" t="s">
        <v>214</v>
      </c>
      <c r="H24" s="3" t="s">
        <v>223</v>
      </c>
      <c r="I24" s="3" t="s">
        <v>224</v>
      </c>
      <c r="J24" s="3" t="s">
        <v>225</v>
      </c>
      <c r="K24" s="3" t="s">
        <v>226</v>
      </c>
      <c r="L24" s="3" t="s">
        <v>9</v>
      </c>
      <c r="M24" s="3" t="s">
        <v>227</v>
      </c>
      <c r="N24" s="3" t="s">
        <v>228</v>
      </c>
      <c r="O24" s="3" t="s">
        <v>194</v>
      </c>
      <c r="P24" s="3" t="s">
        <v>30</v>
      </c>
    </row>
    <row r="25" customFormat="false" ht="34.5" hidden="false" customHeight="true" outlineLevel="0" collapsed="false">
      <c r="A25" s="3" t="s">
        <v>229</v>
      </c>
      <c r="B25" s="3" t="s">
        <v>17</v>
      </c>
      <c r="C25" s="3" t="s">
        <v>130</v>
      </c>
      <c r="D25" s="3" t="s">
        <v>19</v>
      </c>
      <c r="E25" s="3" t="s">
        <v>212</v>
      </c>
      <c r="F25" s="3" t="s">
        <v>213</v>
      </c>
      <c r="G25" s="3" t="s">
        <v>214</v>
      </c>
      <c r="H25" s="3" t="s">
        <v>230</v>
      </c>
      <c r="I25" s="3" t="s">
        <v>231</v>
      </c>
      <c r="J25" s="3" t="s">
        <v>232</v>
      </c>
      <c r="K25" s="3" t="s">
        <v>233</v>
      </c>
      <c r="L25" s="3" t="s">
        <v>9</v>
      </c>
      <c r="M25" s="3" t="s">
        <v>234</v>
      </c>
      <c r="N25" s="3" t="s">
        <v>235</v>
      </c>
      <c r="O25" s="3" t="s">
        <v>236</v>
      </c>
      <c r="P25" s="3" t="s">
        <v>30</v>
      </c>
    </row>
    <row r="26" customFormat="false" ht="34.5" hidden="false" customHeight="true" outlineLevel="0" collapsed="false">
      <c r="A26" s="3" t="s">
        <v>237</v>
      </c>
      <c r="B26" s="3" t="s">
        <v>17</v>
      </c>
      <c r="C26" s="3" t="s">
        <v>238</v>
      </c>
      <c r="D26" s="3" t="s">
        <v>19</v>
      </c>
      <c r="E26" s="3" t="s">
        <v>239</v>
      </c>
      <c r="F26" s="3" t="s">
        <v>240</v>
      </c>
      <c r="G26" s="3" t="s">
        <v>241</v>
      </c>
      <c r="H26" s="3" t="s">
        <v>242</v>
      </c>
      <c r="I26" s="3" t="s">
        <v>243</v>
      </c>
      <c r="J26" s="3" t="s">
        <v>244</v>
      </c>
      <c r="K26" s="3" t="s">
        <v>245</v>
      </c>
      <c r="L26" s="3" t="s">
        <v>9</v>
      </c>
      <c r="M26" s="3" t="s">
        <v>246</v>
      </c>
      <c r="N26" s="3" t="s">
        <v>247</v>
      </c>
      <c r="O26" s="3" t="s">
        <v>248</v>
      </c>
      <c r="P26" s="3" t="s">
        <v>30</v>
      </c>
    </row>
    <row r="27" customFormat="false" ht="34.5" hidden="false" customHeight="true" outlineLevel="0" collapsed="false">
      <c r="A27" s="3" t="s">
        <v>249</v>
      </c>
      <c r="B27" s="3" t="s">
        <v>17</v>
      </c>
      <c r="C27" s="3" t="s">
        <v>238</v>
      </c>
      <c r="D27" s="3" t="s">
        <v>19</v>
      </c>
      <c r="E27" s="3" t="s">
        <v>239</v>
      </c>
      <c r="F27" s="3" t="s">
        <v>240</v>
      </c>
      <c r="G27" s="3" t="s">
        <v>241</v>
      </c>
      <c r="H27" s="3" t="s">
        <v>250</v>
      </c>
      <c r="I27" s="3" t="s">
        <v>251</v>
      </c>
      <c r="J27" s="3" t="s">
        <v>252</v>
      </c>
      <c r="K27" s="3" t="s">
        <v>253</v>
      </c>
      <c r="L27" s="3" t="s">
        <v>8</v>
      </c>
      <c r="M27" s="3" t="s">
        <v>254</v>
      </c>
      <c r="N27" s="3" t="s">
        <v>255</v>
      </c>
      <c r="O27" s="3" t="s">
        <v>256</v>
      </c>
      <c r="P27" s="3" t="s">
        <v>30</v>
      </c>
    </row>
    <row r="28" customFormat="false" ht="34.5" hidden="false" customHeight="true" outlineLevel="0" collapsed="false">
      <c r="A28" s="3" t="s">
        <v>257</v>
      </c>
      <c r="B28" s="3" t="s">
        <v>17</v>
      </c>
      <c r="C28" s="3" t="s">
        <v>238</v>
      </c>
      <c r="D28" s="3" t="s">
        <v>19</v>
      </c>
      <c r="E28" s="3" t="s">
        <v>239</v>
      </c>
      <c r="F28" s="3" t="s">
        <v>240</v>
      </c>
      <c r="G28" s="3" t="s">
        <v>241</v>
      </c>
      <c r="H28" s="3" t="s">
        <v>258</v>
      </c>
      <c r="I28" s="3" t="s">
        <v>259</v>
      </c>
      <c r="J28" s="3" t="s">
        <v>260</v>
      </c>
      <c r="K28" s="3" t="s">
        <v>261</v>
      </c>
      <c r="L28" s="3" t="s">
        <v>9</v>
      </c>
      <c r="M28" s="3" t="s">
        <v>262</v>
      </c>
      <c r="N28" s="3" t="s">
        <v>263</v>
      </c>
      <c r="O28" s="3" t="s">
        <v>264</v>
      </c>
      <c r="P28" s="3" t="s">
        <v>30</v>
      </c>
    </row>
    <row r="29" customFormat="false" ht="34.5" hidden="false" customHeight="true" outlineLevel="0" collapsed="false">
      <c r="A29" s="3" t="s">
        <v>265</v>
      </c>
      <c r="B29" s="3" t="s">
        <v>17</v>
      </c>
      <c r="C29" s="3" t="s">
        <v>238</v>
      </c>
      <c r="D29" s="3" t="s">
        <v>19</v>
      </c>
      <c r="E29" s="3" t="s">
        <v>266</v>
      </c>
      <c r="F29" s="3" t="s">
        <v>267</v>
      </c>
      <c r="G29" s="3" t="s">
        <v>268</v>
      </c>
      <c r="H29" s="3" t="s">
        <v>269</v>
      </c>
      <c r="I29" s="3" t="s">
        <v>270</v>
      </c>
      <c r="J29" s="3" t="s">
        <v>271</v>
      </c>
      <c r="K29" s="3" t="s">
        <v>272</v>
      </c>
      <c r="L29" s="3" t="s">
        <v>8</v>
      </c>
      <c r="M29" s="3" t="s">
        <v>273</v>
      </c>
      <c r="N29" s="3" t="s">
        <v>274</v>
      </c>
      <c r="O29" s="3" t="s">
        <v>256</v>
      </c>
      <c r="P29" s="3" t="s">
        <v>30</v>
      </c>
    </row>
    <row r="30" customFormat="false" ht="34.5" hidden="false" customHeight="true" outlineLevel="0" collapsed="false">
      <c r="A30" s="3" t="s">
        <v>275</v>
      </c>
      <c r="B30" s="3" t="s">
        <v>17</v>
      </c>
      <c r="C30" s="3" t="s">
        <v>238</v>
      </c>
      <c r="D30" s="3" t="s">
        <v>19</v>
      </c>
      <c r="E30" s="3" t="s">
        <v>266</v>
      </c>
      <c r="F30" s="3" t="s">
        <v>267</v>
      </c>
      <c r="G30" s="3" t="s">
        <v>268</v>
      </c>
      <c r="H30" s="3" t="s">
        <v>276</v>
      </c>
      <c r="I30" s="3" t="s">
        <v>277</v>
      </c>
      <c r="J30" s="3" t="s">
        <v>278</v>
      </c>
      <c r="K30" s="3" t="s">
        <v>279</v>
      </c>
      <c r="L30" s="3" t="s">
        <v>9</v>
      </c>
      <c r="M30" s="3" t="s">
        <v>280</v>
      </c>
      <c r="N30" s="3" t="s">
        <v>281</v>
      </c>
      <c r="O30" s="3" t="s">
        <v>256</v>
      </c>
      <c r="P30" s="3" t="s">
        <v>30</v>
      </c>
    </row>
    <row r="31" customFormat="false" ht="34.5" hidden="false" customHeight="true" outlineLevel="0" collapsed="false">
      <c r="A31" s="3" t="s">
        <v>282</v>
      </c>
      <c r="B31" s="3" t="s">
        <v>17</v>
      </c>
      <c r="C31" s="3" t="s">
        <v>238</v>
      </c>
      <c r="D31" s="3" t="s">
        <v>19</v>
      </c>
      <c r="E31" s="3" t="s">
        <v>266</v>
      </c>
      <c r="F31" s="3" t="s">
        <v>267</v>
      </c>
      <c r="G31" s="3" t="s">
        <v>268</v>
      </c>
      <c r="H31" s="3" t="s">
        <v>283</v>
      </c>
      <c r="I31" s="3" t="s">
        <v>284</v>
      </c>
      <c r="J31" s="3" t="s">
        <v>285</v>
      </c>
      <c r="K31" s="3" t="s">
        <v>286</v>
      </c>
      <c r="L31" s="3" t="s">
        <v>9</v>
      </c>
      <c r="M31" s="3" t="s">
        <v>287</v>
      </c>
      <c r="N31" s="3" t="s">
        <v>288</v>
      </c>
      <c r="O31" s="3" t="s">
        <v>289</v>
      </c>
      <c r="P31" s="3" t="s">
        <v>30</v>
      </c>
    </row>
    <row r="32" customFormat="false" ht="34.5" hidden="false" customHeight="true" outlineLevel="0" collapsed="false">
      <c r="A32" s="3" t="s">
        <v>290</v>
      </c>
      <c r="B32" s="3" t="s">
        <v>17</v>
      </c>
      <c r="C32" s="3" t="s">
        <v>238</v>
      </c>
      <c r="D32" s="3" t="s">
        <v>75</v>
      </c>
      <c r="E32" s="3" t="s">
        <v>291</v>
      </c>
      <c r="F32" s="3" t="s">
        <v>292</v>
      </c>
      <c r="G32" s="3" t="s">
        <v>293</v>
      </c>
      <c r="H32" s="3" t="s">
        <v>294</v>
      </c>
      <c r="I32" s="3" t="s">
        <v>295</v>
      </c>
      <c r="J32" s="3" t="s">
        <v>296</v>
      </c>
      <c r="K32" s="3" t="s">
        <v>297</v>
      </c>
      <c r="L32" s="3" t="s">
        <v>8</v>
      </c>
      <c r="M32" s="3" t="s">
        <v>298</v>
      </c>
      <c r="N32" s="3" t="s">
        <v>299</v>
      </c>
      <c r="O32" s="3" t="s">
        <v>289</v>
      </c>
      <c r="P32" s="3" t="s">
        <v>30</v>
      </c>
    </row>
    <row r="33" customFormat="false" ht="23.25" hidden="false" customHeight="true" outlineLevel="0" collapsed="false">
      <c r="A33" s="3" t="s">
        <v>300</v>
      </c>
      <c r="B33" s="3" t="s">
        <v>17</v>
      </c>
      <c r="C33" s="3" t="s">
        <v>238</v>
      </c>
      <c r="D33" s="3" t="s">
        <v>75</v>
      </c>
      <c r="E33" s="3" t="s">
        <v>291</v>
      </c>
      <c r="F33" s="3" t="s">
        <v>292</v>
      </c>
      <c r="G33" s="3" t="s">
        <v>293</v>
      </c>
      <c r="H33" s="3" t="s">
        <v>301</v>
      </c>
      <c r="I33" s="3" t="s">
        <v>302</v>
      </c>
      <c r="J33" s="3" t="s">
        <v>303</v>
      </c>
      <c r="K33" s="3" t="s">
        <v>304</v>
      </c>
      <c r="L33" s="3" t="s">
        <v>9</v>
      </c>
      <c r="M33" s="3" t="s">
        <v>305</v>
      </c>
      <c r="N33" s="3" t="s">
        <v>306</v>
      </c>
      <c r="O33" s="3" t="s">
        <v>307</v>
      </c>
      <c r="P33" s="3" t="s">
        <v>30</v>
      </c>
    </row>
    <row r="34" customFormat="false" ht="34.5" hidden="false" customHeight="true" outlineLevel="0" collapsed="false">
      <c r="A34" s="3" t="s">
        <v>308</v>
      </c>
      <c r="B34" s="3" t="s">
        <v>17</v>
      </c>
      <c r="C34" s="3" t="s">
        <v>238</v>
      </c>
      <c r="D34" s="3" t="s">
        <v>75</v>
      </c>
      <c r="E34" s="3" t="s">
        <v>291</v>
      </c>
      <c r="F34" s="3" t="s">
        <v>292</v>
      </c>
      <c r="G34" s="3" t="s">
        <v>293</v>
      </c>
      <c r="H34" s="3" t="s">
        <v>309</v>
      </c>
      <c r="I34" s="3" t="s">
        <v>310</v>
      </c>
      <c r="J34" s="3" t="s">
        <v>311</v>
      </c>
      <c r="K34" s="3" t="s">
        <v>312</v>
      </c>
      <c r="L34" s="3" t="s">
        <v>8</v>
      </c>
      <c r="M34" s="3" t="s">
        <v>313</v>
      </c>
      <c r="N34" s="3" t="s">
        <v>314</v>
      </c>
      <c r="O34" s="3" t="s">
        <v>315</v>
      </c>
      <c r="P34" s="3" t="s">
        <v>30</v>
      </c>
    </row>
    <row r="35" customFormat="false" ht="23.25" hidden="false" customHeight="true" outlineLevel="0" collapsed="false">
      <c r="A35" s="3" t="s">
        <v>316</v>
      </c>
      <c r="B35" s="3" t="s">
        <v>17</v>
      </c>
      <c r="C35" s="3" t="s">
        <v>238</v>
      </c>
      <c r="D35" s="3" t="s">
        <v>19</v>
      </c>
      <c r="E35" s="3" t="s">
        <v>317</v>
      </c>
      <c r="F35" s="3" t="s">
        <v>318</v>
      </c>
      <c r="G35" s="3" t="s">
        <v>319</v>
      </c>
      <c r="H35" s="3" t="s">
        <v>320</v>
      </c>
      <c r="I35" s="3" t="s">
        <v>321</v>
      </c>
      <c r="J35" s="3" t="s">
        <v>322</v>
      </c>
      <c r="K35" s="3" t="s">
        <v>323</v>
      </c>
      <c r="L35" s="3" t="s">
        <v>8</v>
      </c>
      <c r="M35" s="3" t="s">
        <v>324</v>
      </c>
      <c r="N35" s="3" t="s">
        <v>325</v>
      </c>
      <c r="O35" s="3" t="s">
        <v>326</v>
      </c>
      <c r="P35" s="3" t="s">
        <v>30</v>
      </c>
    </row>
    <row r="36" customFormat="false" ht="23.25" hidden="false" customHeight="true" outlineLevel="0" collapsed="false">
      <c r="A36" s="3" t="s">
        <v>327</v>
      </c>
      <c r="B36" s="3" t="s">
        <v>17</v>
      </c>
      <c r="C36" s="3" t="s">
        <v>238</v>
      </c>
      <c r="D36" s="3" t="s">
        <v>19</v>
      </c>
      <c r="E36" s="3" t="s">
        <v>317</v>
      </c>
      <c r="F36" s="3" t="s">
        <v>318</v>
      </c>
      <c r="G36" s="3" t="s">
        <v>319</v>
      </c>
      <c r="H36" s="3" t="s">
        <v>328</v>
      </c>
      <c r="I36" s="3" t="s">
        <v>329</v>
      </c>
      <c r="J36" s="3" t="s">
        <v>330</v>
      </c>
      <c r="K36" s="3" t="s">
        <v>331</v>
      </c>
      <c r="L36" s="3" t="s">
        <v>8</v>
      </c>
      <c r="M36" s="3" t="s">
        <v>332</v>
      </c>
      <c r="N36" s="3" t="s">
        <v>333</v>
      </c>
      <c r="O36" s="3" t="s">
        <v>256</v>
      </c>
      <c r="P36" s="3" t="s">
        <v>30</v>
      </c>
    </row>
    <row r="37" customFormat="false" ht="34.5" hidden="false" customHeight="true" outlineLevel="0" collapsed="false">
      <c r="A37" s="3" t="s">
        <v>334</v>
      </c>
      <c r="B37" s="3" t="s">
        <v>17</v>
      </c>
      <c r="C37" s="3" t="s">
        <v>238</v>
      </c>
      <c r="D37" s="3" t="s">
        <v>19</v>
      </c>
      <c r="E37" s="3" t="s">
        <v>317</v>
      </c>
      <c r="F37" s="3" t="s">
        <v>318</v>
      </c>
      <c r="G37" s="3" t="s">
        <v>319</v>
      </c>
      <c r="H37" s="3" t="s">
        <v>335</v>
      </c>
      <c r="I37" s="3" t="s">
        <v>336</v>
      </c>
      <c r="J37" s="3" t="s">
        <v>337</v>
      </c>
      <c r="K37" s="3" t="s">
        <v>338</v>
      </c>
      <c r="L37" s="3" t="s">
        <v>8</v>
      </c>
      <c r="M37" s="3" t="s">
        <v>339</v>
      </c>
      <c r="N37" s="3" t="s">
        <v>340</v>
      </c>
      <c r="O37" s="3" t="s">
        <v>341</v>
      </c>
      <c r="P37" s="3" t="s">
        <v>30</v>
      </c>
    </row>
    <row r="38" customFormat="false" ht="34.5" hidden="false" customHeight="true" outlineLevel="0" collapsed="false">
      <c r="A38" s="3" t="s">
        <v>342</v>
      </c>
      <c r="B38" s="3" t="s">
        <v>17</v>
      </c>
      <c r="C38" s="3" t="s">
        <v>343</v>
      </c>
      <c r="D38" s="3" t="s">
        <v>19</v>
      </c>
      <c r="E38" s="3" t="s">
        <v>344</v>
      </c>
      <c r="F38" s="3" t="s">
        <v>345</v>
      </c>
      <c r="G38" s="3" t="s">
        <v>346</v>
      </c>
      <c r="H38" s="3" t="s">
        <v>347</v>
      </c>
      <c r="I38" s="3" t="s">
        <v>348</v>
      </c>
      <c r="J38" s="3" t="s">
        <v>349</v>
      </c>
      <c r="K38" s="3" t="s">
        <v>350</v>
      </c>
      <c r="L38" s="3" t="s">
        <v>9</v>
      </c>
      <c r="M38" s="3" t="s">
        <v>351</v>
      </c>
      <c r="N38" s="3" t="s">
        <v>352</v>
      </c>
      <c r="O38" s="3" t="s">
        <v>353</v>
      </c>
      <c r="P38" s="3" t="s">
        <v>30</v>
      </c>
    </row>
    <row r="39" customFormat="false" ht="34.5" hidden="false" customHeight="true" outlineLevel="0" collapsed="false">
      <c r="A39" s="3" t="s">
        <v>354</v>
      </c>
      <c r="B39" s="3" t="s">
        <v>17</v>
      </c>
      <c r="C39" s="3" t="s">
        <v>343</v>
      </c>
      <c r="D39" s="3" t="s">
        <v>19</v>
      </c>
      <c r="E39" s="3" t="s">
        <v>344</v>
      </c>
      <c r="F39" s="3" t="s">
        <v>345</v>
      </c>
      <c r="G39" s="3" t="s">
        <v>346</v>
      </c>
      <c r="H39" s="3" t="s">
        <v>355</v>
      </c>
      <c r="I39" s="3" t="s">
        <v>356</v>
      </c>
      <c r="J39" s="3" t="s">
        <v>357</v>
      </c>
      <c r="K39" s="3" t="s">
        <v>358</v>
      </c>
      <c r="L39" s="3" t="s">
        <v>9</v>
      </c>
      <c r="M39" s="3" t="s">
        <v>359</v>
      </c>
      <c r="N39" s="3" t="s">
        <v>360</v>
      </c>
      <c r="O39" s="3" t="s">
        <v>361</v>
      </c>
      <c r="P39" s="3" t="s">
        <v>30</v>
      </c>
    </row>
    <row r="40" customFormat="false" ht="34.5" hidden="false" customHeight="true" outlineLevel="0" collapsed="false">
      <c r="A40" s="3" t="s">
        <v>362</v>
      </c>
      <c r="B40" s="3" t="s">
        <v>17</v>
      </c>
      <c r="C40" s="3" t="s">
        <v>343</v>
      </c>
      <c r="D40" s="3" t="s">
        <v>19</v>
      </c>
      <c r="E40" s="3" t="s">
        <v>344</v>
      </c>
      <c r="F40" s="3" t="s">
        <v>345</v>
      </c>
      <c r="G40" s="3" t="s">
        <v>346</v>
      </c>
      <c r="H40" s="3" t="s">
        <v>363</v>
      </c>
      <c r="I40" s="3" t="s">
        <v>364</v>
      </c>
      <c r="J40" s="3" t="s">
        <v>365</v>
      </c>
      <c r="K40" s="3" t="s">
        <v>366</v>
      </c>
      <c r="L40" s="3" t="s">
        <v>9</v>
      </c>
      <c r="M40" s="3" t="s">
        <v>367</v>
      </c>
      <c r="N40" s="3" t="s">
        <v>368</v>
      </c>
      <c r="O40" s="3" t="s">
        <v>361</v>
      </c>
      <c r="P40" s="3" t="s">
        <v>30</v>
      </c>
    </row>
    <row r="41" customFormat="false" ht="34.5" hidden="false" customHeight="true" outlineLevel="0" collapsed="false">
      <c r="A41" s="3" t="s">
        <v>369</v>
      </c>
      <c r="B41" s="3" t="s">
        <v>17</v>
      </c>
      <c r="C41" s="3" t="s">
        <v>343</v>
      </c>
      <c r="D41" s="3" t="s">
        <v>19</v>
      </c>
      <c r="E41" s="3" t="s">
        <v>370</v>
      </c>
      <c r="F41" s="3" t="s">
        <v>371</v>
      </c>
      <c r="G41" s="3" t="s">
        <v>372</v>
      </c>
      <c r="H41" s="3" t="s">
        <v>373</v>
      </c>
      <c r="I41" s="3" t="s">
        <v>374</v>
      </c>
      <c r="J41" s="3" t="s">
        <v>375</v>
      </c>
      <c r="K41" s="3" t="s">
        <v>376</v>
      </c>
      <c r="L41" s="3" t="s">
        <v>9</v>
      </c>
      <c r="M41" s="3" t="s">
        <v>377</v>
      </c>
      <c r="N41" s="3" t="s">
        <v>378</v>
      </c>
      <c r="O41" s="3" t="s">
        <v>379</v>
      </c>
      <c r="P41" s="3" t="s">
        <v>30</v>
      </c>
    </row>
    <row r="42" customFormat="false" ht="23.25" hidden="false" customHeight="true" outlineLevel="0" collapsed="false">
      <c r="A42" s="3" t="s">
        <v>380</v>
      </c>
      <c r="B42" s="3" t="s">
        <v>17</v>
      </c>
      <c r="C42" s="3" t="s">
        <v>343</v>
      </c>
      <c r="D42" s="3" t="s">
        <v>19</v>
      </c>
      <c r="E42" s="3" t="s">
        <v>370</v>
      </c>
      <c r="F42" s="3" t="s">
        <v>371</v>
      </c>
      <c r="G42" s="3" t="s">
        <v>372</v>
      </c>
      <c r="H42" s="3" t="s">
        <v>381</v>
      </c>
      <c r="I42" s="3" t="s">
        <v>382</v>
      </c>
      <c r="J42" s="3" t="s">
        <v>383</v>
      </c>
      <c r="K42" s="3" t="s">
        <v>384</v>
      </c>
      <c r="L42" s="3" t="s">
        <v>8</v>
      </c>
      <c r="M42" s="3" t="s">
        <v>385</v>
      </c>
      <c r="N42" s="3" t="s">
        <v>386</v>
      </c>
      <c r="O42" s="3" t="s">
        <v>379</v>
      </c>
      <c r="P42" s="3" t="s">
        <v>30</v>
      </c>
    </row>
    <row r="43" customFormat="false" ht="23.25" hidden="false" customHeight="true" outlineLevel="0" collapsed="false">
      <c r="A43" s="3" t="s">
        <v>387</v>
      </c>
      <c r="B43" s="3" t="s">
        <v>17</v>
      </c>
      <c r="C43" s="3" t="s">
        <v>343</v>
      </c>
      <c r="D43" s="3" t="s">
        <v>19</v>
      </c>
      <c r="E43" s="3" t="s">
        <v>370</v>
      </c>
      <c r="F43" s="3" t="s">
        <v>371</v>
      </c>
      <c r="G43" s="3" t="s">
        <v>372</v>
      </c>
      <c r="H43" s="3" t="s">
        <v>388</v>
      </c>
      <c r="I43" s="3" t="s">
        <v>389</v>
      </c>
      <c r="J43" s="3" t="s">
        <v>390</v>
      </c>
      <c r="K43" s="3" t="s">
        <v>391</v>
      </c>
      <c r="L43" s="3" t="s">
        <v>9</v>
      </c>
      <c r="M43" s="3" t="s">
        <v>392</v>
      </c>
      <c r="N43" s="3" t="s">
        <v>393</v>
      </c>
      <c r="O43" s="3" t="s">
        <v>394</v>
      </c>
      <c r="P43" s="3" t="s">
        <v>30</v>
      </c>
    </row>
    <row r="44" customFormat="false" ht="23.25" hidden="false" customHeight="true" outlineLevel="0" collapsed="false">
      <c r="A44" s="3" t="s">
        <v>395</v>
      </c>
      <c r="B44" s="3" t="s">
        <v>17</v>
      </c>
      <c r="C44" s="3" t="s">
        <v>343</v>
      </c>
      <c r="D44" s="3" t="s">
        <v>75</v>
      </c>
      <c r="E44" s="3" t="s">
        <v>396</v>
      </c>
      <c r="F44" s="3" t="s">
        <v>397</v>
      </c>
      <c r="G44" s="3" t="s">
        <v>398</v>
      </c>
      <c r="H44" s="3" t="s">
        <v>399</v>
      </c>
      <c r="I44" s="3" t="s">
        <v>400</v>
      </c>
      <c r="J44" s="3" t="s">
        <v>401</v>
      </c>
      <c r="K44" s="3" t="s">
        <v>402</v>
      </c>
      <c r="L44" s="3" t="s">
        <v>8</v>
      </c>
      <c r="M44" s="3" t="s">
        <v>403</v>
      </c>
      <c r="N44" s="3" t="s">
        <v>404</v>
      </c>
      <c r="O44" s="3" t="s">
        <v>405</v>
      </c>
      <c r="P44" s="3" t="s">
        <v>30</v>
      </c>
    </row>
    <row r="45" customFormat="false" ht="34.5" hidden="false" customHeight="true" outlineLevel="0" collapsed="false">
      <c r="A45" s="3" t="s">
        <v>406</v>
      </c>
      <c r="B45" s="3" t="s">
        <v>17</v>
      </c>
      <c r="C45" s="3" t="s">
        <v>343</v>
      </c>
      <c r="D45" s="3" t="s">
        <v>75</v>
      </c>
      <c r="E45" s="3" t="s">
        <v>396</v>
      </c>
      <c r="F45" s="3" t="s">
        <v>397</v>
      </c>
      <c r="G45" s="3" t="s">
        <v>398</v>
      </c>
      <c r="H45" s="3" t="s">
        <v>407</v>
      </c>
      <c r="I45" s="3" t="s">
        <v>408</v>
      </c>
      <c r="J45" s="3" t="s">
        <v>409</v>
      </c>
      <c r="K45" s="3" t="s">
        <v>410</v>
      </c>
      <c r="L45" s="3" t="s">
        <v>9</v>
      </c>
      <c r="M45" s="3" t="s">
        <v>411</v>
      </c>
      <c r="N45" s="3" t="s">
        <v>412</v>
      </c>
      <c r="O45" s="3" t="s">
        <v>413</v>
      </c>
      <c r="P45" s="3" t="s">
        <v>30</v>
      </c>
    </row>
    <row r="46" customFormat="false" ht="34.5" hidden="false" customHeight="true" outlineLevel="0" collapsed="false">
      <c r="A46" s="3" t="s">
        <v>414</v>
      </c>
      <c r="B46" s="3" t="s">
        <v>17</v>
      </c>
      <c r="C46" s="3" t="s">
        <v>343</v>
      </c>
      <c r="D46" s="3" t="s">
        <v>75</v>
      </c>
      <c r="E46" s="3" t="s">
        <v>396</v>
      </c>
      <c r="F46" s="3" t="s">
        <v>397</v>
      </c>
      <c r="G46" s="3" t="s">
        <v>398</v>
      </c>
      <c r="H46" s="3" t="s">
        <v>415</v>
      </c>
      <c r="I46" s="3" t="s">
        <v>416</v>
      </c>
      <c r="J46" s="3" t="s">
        <v>417</v>
      </c>
      <c r="K46" s="3" t="s">
        <v>418</v>
      </c>
      <c r="L46" s="3" t="s">
        <v>8</v>
      </c>
      <c r="M46" s="3" t="s">
        <v>419</v>
      </c>
      <c r="N46" s="3" t="s">
        <v>420</v>
      </c>
      <c r="O46" s="3" t="s">
        <v>421</v>
      </c>
      <c r="P46" s="3" t="s">
        <v>30</v>
      </c>
    </row>
    <row r="47" customFormat="false" ht="23.25" hidden="false" customHeight="true" outlineLevel="0" collapsed="false">
      <c r="A47" s="3" t="s">
        <v>422</v>
      </c>
      <c r="B47" s="3" t="s">
        <v>17</v>
      </c>
      <c r="C47" s="3" t="s">
        <v>343</v>
      </c>
      <c r="D47" s="3" t="s">
        <v>19</v>
      </c>
      <c r="E47" s="3" t="s">
        <v>423</v>
      </c>
      <c r="F47" s="3" t="s">
        <v>424</v>
      </c>
      <c r="G47" s="3" t="s">
        <v>425</v>
      </c>
      <c r="H47" s="3" t="s">
        <v>426</v>
      </c>
      <c r="I47" s="3" t="s">
        <v>427</v>
      </c>
      <c r="J47" s="3" t="s">
        <v>428</v>
      </c>
      <c r="K47" s="3" t="s">
        <v>429</v>
      </c>
      <c r="L47" s="3" t="s">
        <v>9</v>
      </c>
      <c r="M47" s="3" t="s">
        <v>430</v>
      </c>
      <c r="N47" s="3" t="s">
        <v>431</v>
      </c>
      <c r="O47" s="3" t="s">
        <v>432</v>
      </c>
      <c r="P47" s="3" t="s">
        <v>30</v>
      </c>
    </row>
    <row r="48" customFormat="false" ht="23.25" hidden="false" customHeight="true" outlineLevel="0" collapsed="false">
      <c r="A48" s="3" t="s">
        <v>433</v>
      </c>
      <c r="B48" s="3" t="s">
        <v>17</v>
      </c>
      <c r="C48" s="3" t="s">
        <v>343</v>
      </c>
      <c r="D48" s="3" t="s">
        <v>19</v>
      </c>
      <c r="E48" s="3" t="s">
        <v>423</v>
      </c>
      <c r="F48" s="3" t="s">
        <v>424</v>
      </c>
      <c r="G48" s="3" t="s">
        <v>425</v>
      </c>
      <c r="H48" s="3" t="s">
        <v>434</v>
      </c>
      <c r="I48" s="3" t="s">
        <v>435</v>
      </c>
      <c r="J48" s="3" t="s">
        <v>436</v>
      </c>
      <c r="K48" s="3" t="s">
        <v>437</v>
      </c>
      <c r="L48" s="3" t="s">
        <v>9</v>
      </c>
      <c r="M48" s="3" t="s">
        <v>438</v>
      </c>
      <c r="N48" s="3" t="s">
        <v>439</v>
      </c>
      <c r="O48" s="3" t="s">
        <v>440</v>
      </c>
      <c r="P48" s="3" t="s">
        <v>30</v>
      </c>
    </row>
    <row r="49" customFormat="false" ht="23.25" hidden="false" customHeight="true" outlineLevel="0" collapsed="false">
      <c r="A49" s="3" t="s">
        <v>441</v>
      </c>
      <c r="B49" s="3" t="s">
        <v>17</v>
      </c>
      <c r="C49" s="3" t="s">
        <v>343</v>
      </c>
      <c r="D49" s="3" t="s">
        <v>19</v>
      </c>
      <c r="E49" s="3" t="s">
        <v>423</v>
      </c>
      <c r="F49" s="3" t="s">
        <v>424</v>
      </c>
      <c r="G49" s="3" t="s">
        <v>425</v>
      </c>
      <c r="H49" s="3" t="s">
        <v>442</v>
      </c>
      <c r="I49" s="3" t="s">
        <v>443</v>
      </c>
      <c r="J49" s="3" t="s">
        <v>444</v>
      </c>
      <c r="K49" s="3" t="s">
        <v>445</v>
      </c>
      <c r="L49" s="3" t="s">
        <v>9</v>
      </c>
      <c r="M49" s="3" t="s">
        <v>446</v>
      </c>
      <c r="N49" s="3" t="s">
        <v>447</v>
      </c>
      <c r="O49" s="3" t="s">
        <v>448</v>
      </c>
      <c r="P49" s="3" t="s">
        <v>30</v>
      </c>
    </row>
    <row r="50" customFormat="false" ht="34.5" hidden="false" customHeight="true" outlineLevel="0" collapsed="false">
      <c r="A50" s="3" t="s">
        <v>449</v>
      </c>
      <c r="B50" s="3" t="s">
        <v>17</v>
      </c>
      <c r="C50" s="3" t="s">
        <v>450</v>
      </c>
      <c r="D50" s="3" t="s">
        <v>19</v>
      </c>
      <c r="E50" s="3" t="s">
        <v>451</v>
      </c>
      <c r="F50" s="3" t="s">
        <v>452</v>
      </c>
      <c r="G50" s="3" t="s">
        <v>453</v>
      </c>
      <c r="H50" s="3" t="s">
        <v>454</v>
      </c>
      <c r="I50" s="3" t="s">
        <v>455</v>
      </c>
      <c r="J50" s="3" t="s">
        <v>456</v>
      </c>
      <c r="K50" s="3" t="s">
        <v>457</v>
      </c>
      <c r="L50" s="3" t="s">
        <v>9</v>
      </c>
      <c r="M50" s="3" t="s">
        <v>458</v>
      </c>
      <c r="N50" s="3" t="s">
        <v>459</v>
      </c>
      <c r="O50" s="3" t="s">
        <v>460</v>
      </c>
      <c r="P50" s="3" t="s">
        <v>30</v>
      </c>
    </row>
    <row r="51" customFormat="false" ht="34.5" hidden="false" customHeight="true" outlineLevel="0" collapsed="false">
      <c r="A51" s="3" t="s">
        <v>461</v>
      </c>
      <c r="B51" s="3" t="s">
        <v>17</v>
      </c>
      <c r="C51" s="3" t="s">
        <v>450</v>
      </c>
      <c r="D51" s="3" t="s">
        <v>19</v>
      </c>
      <c r="E51" s="3" t="s">
        <v>451</v>
      </c>
      <c r="F51" s="3" t="s">
        <v>452</v>
      </c>
      <c r="G51" s="3" t="s">
        <v>453</v>
      </c>
      <c r="H51" s="3" t="s">
        <v>462</v>
      </c>
      <c r="I51" s="3" t="s">
        <v>463</v>
      </c>
      <c r="J51" s="3" t="s">
        <v>464</v>
      </c>
      <c r="K51" s="3" t="s">
        <v>465</v>
      </c>
      <c r="L51" s="3" t="s">
        <v>9</v>
      </c>
      <c r="M51" s="3" t="s">
        <v>466</v>
      </c>
      <c r="N51" s="3" t="s">
        <v>467</v>
      </c>
      <c r="O51" s="3" t="s">
        <v>468</v>
      </c>
      <c r="P51" s="3" t="s">
        <v>30</v>
      </c>
    </row>
    <row r="52" customFormat="false" ht="34.5" hidden="false" customHeight="true" outlineLevel="0" collapsed="false">
      <c r="A52" s="3" t="s">
        <v>469</v>
      </c>
      <c r="B52" s="3" t="s">
        <v>17</v>
      </c>
      <c r="C52" s="3" t="s">
        <v>450</v>
      </c>
      <c r="D52" s="3" t="s">
        <v>19</v>
      </c>
      <c r="E52" s="3" t="s">
        <v>451</v>
      </c>
      <c r="F52" s="3" t="s">
        <v>452</v>
      </c>
      <c r="G52" s="3" t="s">
        <v>453</v>
      </c>
      <c r="H52" s="3" t="s">
        <v>470</v>
      </c>
      <c r="I52" s="3" t="s">
        <v>471</v>
      </c>
      <c r="J52" s="3" t="s">
        <v>472</v>
      </c>
      <c r="K52" s="3" t="s">
        <v>473</v>
      </c>
      <c r="L52" s="3" t="s">
        <v>9</v>
      </c>
      <c r="M52" s="3" t="s">
        <v>474</v>
      </c>
      <c r="N52" s="3" t="s">
        <v>475</v>
      </c>
      <c r="O52" s="3" t="s">
        <v>476</v>
      </c>
      <c r="P52" s="3" t="s">
        <v>30</v>
      </c>
    </row>
    <row r="53" customFormat="false" ht="23.25" hidden="false" customHeight="true" outlineLevel="0" collapsed="false">
      <c r="A53" s="3" t="s">
        <v>477</v>
      </c>
      <c r="B53" s="3" t="s">
        <v>17</v>
      </c>
      <c r="C53" s="3" t="s">
        <v>450</v>
      </c>
      <c r="D53" s="3" t="s">
        <v>75</v>
      </c>
      <c r="E53" s="3" t="s">
        <v>478</v>
      </c>
      <c r="F53" s="3" t="s">
        <v>479</v>
      </c>
      <c r="G53" s="3" t="s">
        <v>480</v>
      </c>
      <c r="H53" s="3" t="s">
        <v>481</v>
      </c>
      <c r="I53" s="3" t="s">
        <v>482</v>
      </c>
      <c r="J53" s="3" t="s">
        <v>483</v>
      </c>
      <c r="K53" s="3" t="s">
        <v>484</v>
      </c>
      <c r="L53" s="3" t="s">
        <v>9</v>
      </c>
      <c r="M53" s="3" t="s">
        <v>485</v>
      </c>
      <c r="N53" s="3" t="s">
        <v>486</v>
      </c>
      <c r="O53" s="3" t="s">
        <v>487</v>
      </c>
      <c r="P53" s="3" t="s">
        <v>30</v>
      </c>
    </row>
    <row r="54" customFormat="false" ht="23.25" hidden="false" customHeight="true" outlineLevel="0" collapsed="false">
      <c r="A54" s="3" t="s">
        <v>488</v>
      </c>
      <c r="B54" s="3" t="s">
        <v>17</v>
      </c>
      <c r="C54" s="3" t="s">
        <v>450</v>
      </c>
      <c r="D54" s="3" t="s">
        <v>75</v>
      </c>
      <c r="E54" s="3" t="s">
        <v>478</v>
      </c>
      <c r="F54" s="3" t="s">
        <v>479</v>
      </c>
      <c r="G54" s="3" t="s">
        <v>480</v>
      </c>
      <c r="H54" s="3" t="s">
        <v>489</v>
      </c>
      <c r="I54" s="3" t="s">
        <v>490</v>
      </c>
      <c r="J54" s="3" t="s">
        <v>491</v>
      </c>
      <c r="K54" s="3" t="s">
        <v>492</v>
      </c>
      <c r="L54" s="3" t="s">
        <v>8</v>
      </c>
      <c r="M54" s="3" t="s">
        <v>493</v>
      </c>
      <c r="N54" s="3" t="s">
        <v>494</v>
      </c>
      <c r="O54" s="3" t="s">
        <v>495</v>
      </c>
      <c r="P54" s="3" t="s">
        <v>30</v>
      </c>
    </row>
    <row r="55" customFormat="false" ht="34.5" hidden="false" customHeight="true" outlineLevel="0" collapsed="false">
      <c r="A55" s="3" t="s">
        <v>496</v>
      </c>
      <c r="B55" s="3" t="s">
        <v>17</v>
      </c>
      <c r="C55" s="3" t="s">
        <v>450</v>
      </c>
      <c r="D55" s="3" t="s">
        <v>75</v>
      </c>
      <c r="E55" s="3" t="s">
        <v>478</v>
      </c>
      <c r="F55" s="3" t="s">
        <v>479</v>
      </c>
      <c r="G55" s="3" t="s">
        <v>480</v>
      </c>
      <c r="H55" s="3" t="s">
        <v>497</v>
      </c>
      <c r="I55" s="3" t="s">
        <v>498</v>
      </c>
      <c r="J55" s="3" t="s">
        <v>499</v>
      </c>
      <c r="K55" s="3" t="s">
        <v>500</v>
      </c>
      <c r="L55" s="3" t="s">
        <v>9</v>
      </c>
      <c r="M55" s="3" t="s">
        <v>501</v>
      </c>
      <c r="N55" s="3" t="s">
        <v>502</v>
      </c>
      <c r="O55" s="3" t="s">
        <v>503</v>
      </c>
      <c r="P55" s="3" t="s">
        <v>30</v>
      </c>
    </row>
    <row r="56" customFormat="false" ht="34.5" hidden="false" customHeight="true" outlineLevel="0" collapsed="false">
      <c r="A56" s="3" t="s">
        <v>504</v>
      </c>
      <c r="B56" s="3" t="s">
        <v>17</v>
      </c>
      <c r="C56" s="3" t="s">
        <v>450</v>
      </c>
      <c r="D56" s="3" t="s">
        <v>19</v>
      </c>
      <c r="E56" s="3" t="s">
        <v>505</v>
      </c>
      <c r="F56" s="3" t="s">
        <v>506</v>
      </c>
      <c r="G56" s="3" t="s">
        <v>507</v>
      </c>
      <c r="H56" s="3" t="s">
        <v>508</v>
      </c>
      <c r="I56" s="3" t="s">
        <v>509</v>
      </c>
      <c r="J56" s="3" t="s">
        <v>510</v>
      </c>
      <c r="K56" s="3" t="s">
        <v>511</v>
      </c>
      <c r="L56" s="3" t="s">
        <v>8</v>
      </c>
      <c r="M56" s="3" t="s">
        <v>512</v>
      </c>
      <c r="N56" s="3" t="s">
        <v>513</v>
      </c>
      <c r="O56" s="3" t="s">
        <v>514</v>
      </c>
      <c r="P56" s="3" t="s">
        <v>30</v>
      </c>
    </row>
    <row r="57" customFormat="false" ht="34.5" hidden="false" customHeight="true" outlineLevel="0" collapsed="false">
      <c r="A57" s="3" t="s">
        <v>515</v>
      </c>
      <c r="B57" s="3" t="s">
        <v>17</v>
      </c>
      <c r="C57" s="3" t="s">
        <v>450</v>
      </c>
      <c r="D57" s="3" t="s">
        <v>19</v>
      </c>
      <c r="E57" s="3" t="s">
        <v>505</v>
      </c>
      <c r="F57" s="3" t="s">
        <v>506</v>
      </c>
      <c r="G57" s="3" t="s">
        <v>507</v>
      </c>
      <c r="H57" s="3" t="s">
        <v>516</v>
      </c>
      <c r="I57" s="3" t="s">
        <v>517</v>
      </c>
      <c r="J57" s="3" t="s">
        <v>518</v>
      </c>
      <c r="K57" s="3" t="s">
        <v>519</v>
      </c>
      <c r="L57" s="3" t="s">
        <v>8</v>
      </c>
      <c r="M57" s="3" t="s">
        <v>520</v>
      </c>
      <c r="N57" s="3" t="s">
        <v>521</v>
      </c>
      <c r="O57" s="3" t="s">
        <v>522</v>
      </c>
      <c r="P57" s="3" t="s">
        <v>30</v>
      </c>
    </row>
    <row r="58" customFormat="false" ht="34.5" hidden="false" customHeight="true" outlineLevel="0" collapsed="false">
      <c r="A58" s="3" t="s">
        <v>523</v>
      </c>
      <c r="B58" s="3" t="s">
        <v>17</v>
      </c>
      <c r="C58" s="3" t="s">
        <v>450</v>
      </c>
      <c r="D58" s="3" t="s">
        <v>19</v>
      </c>
      <c r="E58" s="3" t="s">
        <v>505</v>
      </c>
      <c r="F58" s="3" t="s">
        <v>506</v>
      </c>
      <c r="G58" s="3" t="s">
        <v>507</v>
      </c>
      <c r="H58" s="3" t="s">
        <v>524</v>
      </c>
      <c r="I58" s="3" t="s">
        <v>525</v>
      </c>
      <c r="J58" s="3" t="s">
        <v>526</v>
      </c>
      <c r="K58" s="3" t="s">
        <v>527</v>
      </c>
      <c r="L58" s="3" t="s">
        <v>8</v>
      </c>
      <c r="M58" s="3" t="s">
        <v>528</v>
      </c>
      <c r="N58" s="3" t="s">
        <v>529</v>
      </c>
      <c r="O58" s="3" t="s">
        <v>530</v>
      </c>
      <c r="P58" s="3" t="s">
        <v>30</v>
      </c>
    </row>
    <row r="59" customFormat="false" ht="34.5" hidden="false" customHeight="true" outlineLevel="0" collapsed="false">
      <c r="A59" s="3" t="s">
        <v>531</v>
      </c>
      <c r="B59" s="3" t="s">
        <v>17</v>
      </c>
      <c r="C59" s="3" t="s">
        <v>450</v>
      </c>
      <c r="D59" s="3" t="s">
        <v>75</v>
      </c>
      <c r="E59" s="3" t="s">
        <v>532</v>
      </c>
      <c r="F59" s="3" t="s">
        <v>533</v>
      </c>
      <c r="G59" s="3" t="s">
        <v>534</v>
      </c>
      <c r="H59" s="3" t="s">
        <v>535</v>
      </c>
      <c r="I59" s="3" t="s">
        <v>536</v>
      </c>
      <c r="J59" s="3" t="s">
        <v>537</v>
      </c>
      <c r="K59" s="3" t="s">
        <v>538</v>
      </c>
      <c r="L59" s="3" t="s">
        <v>8</v>
      </c>
      <c r="M59" s="3" t="s">
        <v>539</v>
      </c>
      <c r="N59" s="3" t="s">
        <v>540</v>
      </c>
      <c r="O59" s="3" t="s">
        <v>541</v>
      </c>
      <c r="P59" s="3" t="s">
        <v>30</v>
      </c>
    </row>
    <row r="60" customFormat="false" ht="23.25" hidden="false" customHeight="true" outlineLevel="0" collapsed="false">
      <c r="A60" s="3" t="s">
        <v>542</v>
      </c>
      <c r="B60" s="3" t="s">
        <v>17</v>
      </c>
      <c r="C60" s="3" t="s">
        <v>450</v>
      </c>
      <c r="D60" s="3" t="s">
        <v>75</v>
      </c>
      <c r="E60" s="3" t="s">
        <v>532</v>
      </c>
      <c r="F60" s="3" t="s">
        <v>533</v>
      </c>
      <c r="G60" s="3" t="s">
        <v>534</v>
      </c>
      <c r="H60" s="3" t="s">
        <v>543</v>
      </c>
      <c r="I60" s="3" t="s">
        <v>544</v>
      </c>
      <c r="J60" s="3" t="s">
        <v>545</v>
      </c>
      <c r="K60" s="3" t="s">
        <v>546</v>
      </c>
      <c r="L60" s="3" t="s">
        <v>8</v>
      </c>
      <c r="M60" s="3" t="s">
        <v>547</v>
      </c>
      <c r="N60" s="3" t="s">
        <v>548</v>
      </c>
      <c r="O60" s="3" t="s">
        <v>549</v>
      </c>
      <c r="P60" s="3" t="s">
        <v>30</v>
      </c>
    </row>
    <row r="61" customFormat="false" ht="23.25" hidden="false" customHeight="true" outlineLevel="0" collapsed="false">
      <c r="A61" s="3" t="s">
        <v>550</v>
      </c>
      <c r="B61" s="3" t="s">
        <v>17</v>
      </c>
      <c r="C61" s="3" t="s">
        <v>450</v>
      </c>
      <c r="D61" s="3" t="s">
        <v>75</v>
      </c>
      <c r="E61" s="3" t="s">
        <v>532</v>
      </c>
      <c r="F61" s="3" t="s">
        <v>533</v>
      </c>
      <c r="G61" s="3" t="s">
        <v>534</v>
      </c>
      <c r="H61" s="3" t="s">
        <v>551</v>
      </c>
      <c r="I61" s="3" t="s">
        <v>552</v>
      </c>
      <c r="J61" s="3" t="s">
        <v>553</v>
      </c>
      <c r="K61" s="3" t="s">
        <v>554</v>
      </c>
      <c r="L61" s="3" t="s">
        <v>9</v>
      </c>
      <c r="M61" s="3" t="s">
        <v>555</v>
      </c>
      <c r="N61" s="3" t="s">
        <v>556</v>
      </c>
      <c r="O61" s="3" t="s">
        <v>557</v>
      </c>
      <c r="P61" s="3" t="s">
        <v>30</v>
      </c>
    </row>
    <row r="62" customFormat="false" ht="34.5" hidden="false" customHeight="true" outlineLevel="0" collapsed="false">
      <c r="A62" s="3" t="s">
        <v>558</v>
      </c>
      <c r="B62" s="3" t="s">
        <v>17</v>
      </c>
      <c r="C62" s="3" t="s">
        <v>559</v>
      </c>
      <c r="D62" s="3" t="s">
        <v>19</v>
      </c>
      <c r="E62" s="3" t="s">
        <v>560</v>
      </c>
      <c r="F62" s="3" t="s">
        <v>561</v>
      </c>
      <c r="G62" s="3" t="s">
        <v>562</v>
      </c>
      <c r="H62" s="3" t="s">
        <v>563</v>
      </c>
      <c r="I62" s="3" t="s">
        <v>564</v>
      </c>
      <c r="J62" s="3" t="s">
        <v>565</v>
      </c>
      <c r="K62" s="3" t="s">
        <v>566</v>
      </c>
      <c r="L62" s="3" t="s">
        <v>9</v>
      </c>
      <c r="M62" s="3" t="s">
        <v>567</v>
      </c>
      <c r="N62" s="3" t="s">
        <v>568</v>
      </c>
      <c r="O62" s="3" t="s">
        <v>569</v>
      </c>
      <c r="P62" s="3" t="s">
        <v>30</v>
      </c>
    </row>
    <row r="63" customFormat="false" ht="34.5" hidden="false" customHeight="true" outlineLevel="0" collapsed="false">
      <c r="A63" s="3" t="s">
        <v>570</v>
      </c>
      <c r="B63" s="3" t="s">
        <v>17</v>
      </c>
      <c r="C63" s="3" t="s">
        <v>559</v>
      </c>
      <c r="D63" s="3" t="s">
        <v>19</v>
      </c>
      <c r="E63" s="3" t="s">
        <v>560</v>
      </c>
      <c r="F63" s="3" t="s">
        <v>561</v>
      </c>
      <c r="G63" s="3" t="s">
        <v>562</v>
      </c>
      <c r="H63" s="3" t="s">
        <v>571</v>
      </c>
      <c r="I63" s="3" t="s">
        <v>572</v>
      </c>
      <c r="J63" s="3" t="s">
        <v>573</v>
      </c>
      <c r="K63" s="3" t="s">
        <v>574</v>
      </c>
      <c r="L63" s="3" t="s">
        <v>9</v>
      </c>
      <c r="M63" s="3" t="s">
        <v>575</v>
      </c>
      <c r="N63" s="3" t="s">
        <v>576</v>
      </c>
      <c r="O63" s="3" t="s">
        <v>577</v>
      </c>
      <c r="P63" s="3" t="s">
        <v>30</v>
      </c>
    </row>
    <row r="64" customFormat="false" ht="34.5" hidden="false" customHeight="true" outlineLevel="0" collapsed="false">
      <c r="A64" s="3" t="s">
        <v>578</v>
      </c>
      <c r="B64" s="3" t="s">
        <v>17</v>
      </c>
      <c r="C64" s="3" t="s">
        <v>559</v>
      </c>
      <c r="D64" s="3" t="s">
        <v>19</v>
      </c>
      <c r="E64" s="3" t="s">
        <v>560</v>
      </c>
      <c r="F64" s="3" t="s">
        <v>561</v>
      </c>
      <c r="G64" s="3" t="s">
        <v>562</v>
      </c>
      <c r="H64" s="3" t="s">
        <v>579</v>
      </c>
      <c r="I64" s="3" t="s">
        <v>580</v>
      </c>
      <c r="J64" s="3" t="s">
        <v>581</v>
      </c>
      <c r="K64" s="3" t="s">
        <v>582</v>
      </c>
      <c r="L64" s="3" t="s">
        <v>9</v>
      </c>
      <c r="M64" s="3" t="s">
        <v>583</v>
      </c>
      <c r="N64" s="3" t="s">
        <v>584</v>
      </c>
      <c r="O64" s="3" t="s">
        <v>585</v>
      </c>
      <c r="P64" s="3" t="s">
        <v>30</v>
      </c>
    </row>
    <row r="65" customFormat="false" ht="23.25" hidden="false" customHeight="true" outlineLevel="0" collapsed="false">
      <c r="A65" s="3" t="s">
        <v>586</v>
      </c>
      <c r="B65" s="3" t="s">
        <v>17</v>
      </c>
      <c r="C65" s="3" t="s">
        <v>559</v>
      </c>
      <c r="D65" s="3" t="s">
        <v>75</v>
      </c>
      <c r="E65" s="3" t="s">
        <v>587</v>
      </c>
      <c r="F65" s="3" t="s">
        <v>588</v>
      </c>
      <c r="G65" s="3" t="s">
        <v>589</v>
      </c>
      <c r="H65" s="3" t="s">
        <v>590</v>
      </c>
      <c r="I65" s="3" t="s">
        <v>591</v>
      </c>
      <c r="J65" s="3" t="s">
        <v>592</v>
      </c>
      <c r="K65" s="3" t="s">
        <v>593</v>
      </c>
      <c r="L65" s="3" t="s">
        <v>9</v>
      </c>
      <c r="M65" s="3" t="s">
        <v>594</v>
      </c>
      <c r="N65" s="3" t="s">
        <v>595</v>
      </c>
      <c r="O65" s="3" t="s">
        <v>596</v>
      </c>
      <c r="P65" s="3" t="s">
        <v>30</v>
      </c>
    </row>
    <row r="66" customFormat="false" ht="23.25" hidden="false" customHeight="true" outlineLevel="0" collapsed="false">
      <c r="A66" s="3" t="s">
        <v>597</v>
      </c>
      <c r="B66" s="3" t="s">
        <v>17</v>
      </c>
      <c r="C66" s="3" t="s">
        <v>559</v>
      </c>
      <c r="D66" s="3" t="s">
        <v>75</v>
      </c>
      <c r="E66" s="3" t="s">
        <v>587</v>
      </c>
      <c r="F66" s="3" t="s">
        <v>588</v>
      </c>
      <c r="G66" s="3" t="s">
        <v>589</v>
      </c>
      <c r="H66" s="3" t="s">
        <v>598</v>
      </c>
      <c r="I66" s="3" t="s">
        <v>599</v>
      </c>
      <c r="J66" s="3" t="s">
        <v>600</v>
      </c>
      <c r="K66" s="3" t="s">
        <v>601</v>
      </c>
      <c r="L66" s="3" t="s">
        <v>8</v>
      </c>
      <c r="M66" s="3" t="s">
        <v>602</v>
      </c>
      <c r="N66" s="3" t="s">
        <v>603</v>
      </c>
      <c r="O66" s="3" t="s">
        <v>604</v>
      </c>
      <c r="P66" s="3" t="s">
        <v>30</v>
      </c>
    </row>
    <row r="67" customFormat="false" ht="23.25" hidden="false" customHeight="true" outlineLevel="0" collapsed="false">
      <c r="A67" s="3" t="s">
        <v>605</v>
      </c>
      <c r="B67" s="3" t="s">
        <v>17</v>
      </c>
      <c r="C67" s="3" t="s">
        <v>559</v>
      </c>
      <c r="D67" s="3" t="s">
        <v>75</v>
      </c>
      <c r="E67" s="3" t="s">
        <v>587</v>
      </c>
      <c r="F67" s="3" t="s">
        <v>588</v>
      </c>
      <c r="G67" s="3" t="s">
        <v>589</v>
      </c>
      <c r="H67" s="3" t="s">
        <v>606</v>
      </c>
      <c r="I67" s="3" t="s">
        <v>607</v>
      </c>
      <c r="J67" s="3" t="s">
        <v>608</v>
      </c>
      <c r="K67" s="3" t="s">
        <v>609</v>
      </c>
      <c r="L67" s="3" t="s">
        <v>9</v>
      </c>
      <c r="M67" s="3" t="s">
        <v>610</v>
      </c>
      <c r="N67" s="3" t="s">
        <v>611</v>
      </c>
      <c r="O67" s="3" t="s">
        <v>394</v>
      </c>
      <c r="P67" s="3" t="s">
        <v>30</v>
      </c>
    </row>
    <row r="68" customFormat="false" ht="23.25" hidden="false" customHeight="true" outlineLevel="0" collapsed="false">
      <c r="A68" s="3" t="s">
        <v>612</v>
      </c>
      <c r="B68" s="3" t="s">
        <v>17</v>
      </c>
      <c r="C68" s="3" t="s">
        <v>559</v>
      </c>
      <c r="D68" s="3" t="s">
        <v>19</v>
      </c>
      <c r="E68" s="3" t="s">
        <v>613</v>
      </c>
      <c r="F68" s="3" t="s">
        <v>614</v>
      </c>
      <c r="G68" s="3" t="s">
        <v>615</v>
      </c>
      <c r="H68" s="3" t="s">
        <v>616</v>
      </c>
      <c r="I68" s="3" t="s">
        <v>617</v>
      </c>
      <c r="J68" s="3" t="s">
        <v>618</v>
      </c>
      <c r="K68" s="3" t="s">
        <v>619</v>
      </c>
      <c r="L68" s="3" t="s">
        <v>8</v>
      </c>
      <c r="M68" s="3" t="s">
        <v>620</v>
      </c>
      <c r="N68" s="3" t="s">
        <v>621</v>
      </c>
      <c r="O68" s="3" t="s">
        <v>622</v>
      </c>
      <c r="P68" s="3" t="s">
        <v>30</v>
      </c>
    </row>
    <row r="69" customFormat="false" ht="23.25" hidden="false" customHeight="true" outlineLevel="0" collapsed="false">
      <c r="A69" s="3" t="s">
        <v>623</v>
      </c>
      <c r="B69" s="3" t="s">
        <v>17</v>
      </c>
      <c r="C69" s="3" t="s">
        <v>559</v>
      </c>
      <c r="D69" s="3" t="s">
        <v>19</v>
      </c>
      <c r="E69" s="3" t="s">
        <v>613</v>
      </c>
      <c r="F69" s="3" t="s">
        <v>614</v>
      </c>
      <c r="G69" s="3" t="s">
        <v>615</v>
      </c>
      <c r="H69" s="3" t="s">
        <v>624</v>
      </c>
      <c r="I69" s="3" t="s">
        <v>625</v>
      </c>
      <c r="J69" s="3" t="s">
        <v>626</v>
      </c>
      <c r="K69" s="3" t="s">
        <v>627</v>
      </c>
      <c r="L69" s="3" t="s">
        <v>9</v>
      </c>
      <c r="M69" s="3" t="s">
        <v>628</v>
      </c>
      <c r="N69" s="3" t="s">
        <v>629</v>
      </c>
      <c r="O69" s="3" t="s">
        <v>630</v>
      </c>
      <c r="P69" s="3" t="s">
        <v>30</v>
      </c>
    </row>
    <row r="70" customFormat="false" ht="23.25" hidden="false" customHeight="true" outlineLevel="0" collapsed="false">
      <c r="A70" s="3" t="s">
        <v>631</v>
      </c>
      <c r="B70" s="3" t="s">
        <v>17</v>
      </c>
      <c r="C70" s="3" t="s">
        <v>559</v>
      </c>
      <c r="D70" s="3" t="s">
        <v>19</v>
      </c>
      <c r="E70" s="3" t="s">
        <v>613</v>
      </c>
      <c r="F70" s="3" t="s">
        <v>614</v>
      </c>
      <c r="G70" s="3" t="s">
        <v>615</v>
      </c>
      <c r="H70" s="3" t="s">
        <v>632</v>
      </c>
      <c r="I70" s="3" t="s">
        <v>633</v>
      </c>
      <c r="J70" s="3" t="s">
        <v>634</v>
      </c>
      <c r="K70" s="3" t="s">
        <v>635</v>
      </c>
      <c r="L70" s="3" t="s">
        <v>9</v>
      </c>
      <c r="M70" s="3" t="s">
        <v>636</v>
      </c>
      <c r="N70" s="3" t="s">
        <v>637</v>
      </c>
      <c r="O70" s="3" t="s">
        <v>638</v>
      </c>
      <c r="P70" s="3" t="s">
        <v>30</v>
      </c>
    </row>
    <row r="71" customFormat="false" ht="34.5" hidden="false" customHeight="true" outlineLevel="0" collapsed="false">
      <c r="A71" s="3" t="s">
        <v>639</v>
      </c>
      <c r="B71" s="3" t="s">
        <v>17</v>
      </c>
      <c r="C71" s="3" t="s">
        <v>640</v>
      </c>
      <c r="D71" s="3" t="s">
        <v>19</v>
      </c>
      <c r="E71" s="3" t="s">
        <v>641</v>
      </c>
      <c r="F71" s="3" t="s">
        <v>642</v>
      </c>
      <c r="G71" s="3" t="s">
        <v>643</v>
      </c>
      <c r="H71" s="3" t="s">
        <v>644</v>
      </c>
      <c r="I71" s="3" t="s">
        <v>645</v>
      </c>
      <c r="J71" s="3" t="s">
        <v>646</v>
      </c>
      <c r="K71" s="3" t="s">
        <v>647</v>
      </c>
      <c r="L71" s="3" t="s">
        <v>8</v>
      </c>
      <c r="M71" s="3" t="s">
        <v>648</v>
      </c>
      <c r="N71" s="3" t="s">
        <v>649</v>
      </c>
      <c r="O71" s="3" t="s">
        <v>650</v>
      </c>
      <c r="P71" s="3" t="s">
        <v>30</v>
      </c>
    </row>
    <row r="72" customFormat="false" ht="34.5" hidden="false" customHeight="true" outlineLevel="0" collapsed="false">
      <c r="A72" s="3" t="s">
        <v>651</v>
      </c>
      <c r="B72" s="3" t="s">
        <v>17</v>
      </c>
      <c r="C72" s="3" t="s">
        <v>640</v>
      </c>
      <c r="D72" s="3" t="s">
        <v>19</v>
      </c>
      <c r="E72" s="3" t="s">
        <v>641</v>
      </c>
      <c r="F72" s="3" t="s">
        <v>642</v>
      </c>
      <c r="G72" s="3" t="s">
        <v>643</v>
      </c>
      <c r="H72" s="3" t="s">
        <v>652</v>
      </c>
      <c r="I72" s="3" t="s">
        <v>653</v>
      </c>
      <c r="J72" s="3" t="s">
        <v>654</v>
      </c>
      <c r="K72" s="3" t="s">
        <v>655</v>
      </c>
      <c r="L72" s="3" t="s">
        <v>9</v>
      </c>
      <c r="M72" s="3" t="s">
        <v>656</v>
      </c>
      <c r="N72" s="3" t="s">
        <v>657</v>
      </c>
      <c r="O72" s="3" t="s">
        <v>658</v>
      </c>
      <c r="P72" s="3" t="s">
        <v>30</v>
      </c>
    </row>
    <row r="73" customFormat="false" ht="34.5" hidden="false" customHeight="true" outlineLevel="0" collapsed="false">
      <c r="A73" s="3" t="s">
        <v>659</v>
      </c>
      <c r="B73" s="3" t="s">
        <v>17</v>
      </c>
      <c r="C73" s="3" t="s">
        <v>640</v>
      </c>
      <c r="D73" s="3" t="s">
        <v>19</v>
      </c>
      <c r="E73" s="3" t="s">
        <v>641</v>
      </c>
      <c r="F73" s="3" t="s">
        <v>642</v>
      </c>
      <c r="G73" s="3" t="s">
        <v>643</v>
      </c>
      <c r="H73" s="3" t="s">
        <v>660</v>
      </c>
      <c r="I73" s="3" t="s">
        <v>661</v>
      </c>
      <c r="J73" s="3" t="s">
        <v>662</v>
      </c>
      <c r="K73" s="3" t="s">
        <v>663</v>
      </c>
      <c r="L73" s="3" t="s">
        <v>9</v>
      </c>
      <c r="M73" s="3" t="s">
        <v>664</v>
      </c>
      <c r="N73" s="3" t="s">
        <v>665</v>
      </c>
      <c r="O73" s="3" t="s">
        <v>666</v>
      </c>
      <c r="P73" s="3" t="s">
        <v>30</v>
      </c>
    </row>
    <row r="74" customFormat="false" ht="23.25" hidden="false" customHeight="true" outlineLevel="0" collapsed="false">
      <c r="A74" s="3" t="s">
        <v>667</v>
      </c>
      <c r="B74" s="3" t="s">
        <v>17</v>
      </c>
      <c r="C74" s="3" t="s">
        <v>640</v>
      </c>
      <c r="D74" s="3" t="s">
        <v>75</v>
      </c>
      <c r="E74" s="3" t="s">
        <v>668</v>
      </c>
      <c r="F74" s="3" t="s">
        <v>669</v>
      </c>
      <c r="G74" s="3" t="s">
        <v>670</v>
      </c>
      <c r="H74" s="3" t="s">
        <v>671</v>
      </c>
      <c r="I74" s="3" t="s">
        <v>672</v>
      </c>
      <c r="J74" s="3" t="s">
        <v>673</v>
      </c>
      <c r="K74" s="3" t="s">
        <v>674</v>
      </c>
      <c r="L74" s="3" t="s">
        <v>9</v>
      </c>
      <c r="M74" s="3" t="s">
        <v>675</v>
      </c>
      <c r="N74" s="3" t="s">
        <v>676</v>
      </c>
      <c r="O74" s="3" t="s">
        <v>677</v>
      </c>
      <c r="P74" s="3" t="s">
        <v>30</v>
      </c>
    </row>
    <row r="75" customFormat="false" ht="34.5" hidden="false" customHeight="true" outlineLevel="0" collapsed="false">
      <c r="A75" s="3" t="s">
        <v>678</v>
      </c>
      <c r="B75" s="3" t="s">
        <v>17</v>
      </c>
      <c r="C75" s="3" t="s">
        <v>640</v>
      </c>
      <c r="D75" s="3" t="s">
        <v>75</v>
      </c>
      <c r="E75" s="3" t="s">
        <v>668</v>
      </c>
      <c r="F75" s="3" t="s">
        <v>669</v>
      </c>
      <c r="G75" s="3" t="s">
        <v>670</v>
      </c>
      <c r="H75" s="3" t="s">
        <v>679</v>
      </c>
      <c r="I75" s="3" t="s">
        <v>680</v>
      </c>
      <c r="J75" s="3" t="s">
        <v>681</v>
      </c>
      <c r="K75" s="3" t="s">
        <v>682</v>
      </c>
      <c r="L75" s="3" t="s">
        <v>9</v>
      </c>
      <c r="M75" s="3" t="s">
        <v>683</v>
      </c>
      <c r="N75" s="3" t="s">
        <v>684</v>
      </c>
      <c r="O75" s="3" t="s">
        <v>307</v>
      </c>
      <c r="P75" s="3" t="s">
        <v>30</v>
      </c>
    </row>
    <row r="76" customFormat="false" ht="34.5" hidden="false" customHeight="true" outlineLevel="0" collapsed="false">
      <c r="A76" s="3" t="s">
        <v>685</v>
      </c>
      <c r="B76" s="3" t="s">
        <v>17</v>
      </c>
      <c r="C76" s="3" t="s">
        <v>640</v>
      </c>
      <c r="D76" s="3" t="s">
        <v>75</v>
      </c>
      <c r="E76" s="3" t="s">
        <v>668</v>
      </c>
      <c r="F76" s="3" t="s">
        <v>669</v>
      </c>
      <c r="G76" s="3" t="s">
        <v>670</v>
      </c>
      <c r="H76" s="3" t="s">
        <v>686</v>
      </c>
      <c r="I76" s="3" t="s">
        <v>687</v>
      </c>
      <c r="J76" s="3" t="s">
        <v>688</v>
      </c>
      <c r="K76" s="3" t="s">
        <v>689</v>
      </c>
      <c r="L76" s="3" t="s">
        <v>9</v>
      </c>
      <c r="M76" s="3" t="s">
        <v>690</v>
      </c>
      <c r="N76" s="3" t="s">
        <v>691</v>
      </c>
      <c r="O76" s="3" t="s">
        <v>692</v>
      </c>
      <c r="P76" s="3" t="s">
        <v>30</v>
      </c>
    </row>
    <row r="77" customFormat="false" ht="23.25" hidden="false" customHeight="true" outlineLevel="0" collapsed="false">
      <c r="A77" s="3" t="s">
        <v>693</v>
      </c>
      <c r="B77" s="3" t="s">
        <v>17</v>
      </c>
      <c r="C77" s="3" t="s">
        <v>640</v>
      </c>
      <c r="D77" s="3" t="s">
        <v>19</v>
      </c>
      <c r="E77" s="3" t="s">
        <v>694</v>
      </c>
      <c r="F77" s="3" t="s">
        <v>695</v>
      </c>
      <c r="G77" s="3" t="s">
        <v>696</v>
      </c>
      <c r="H77" s="3" t="s">
        <v>697</v>
      </c>
      <c r="I77" s="3" t="s">
        <v>698</v>
      </c>
      <c r="J77" s="3" t="s">
        <v>699</v>
      </c>
      <c r="K77" s="3" t="s">
        <v>700</v>
      </c>
      <c r="L77" s="3" t="s">
        <v>9</v>
      </c>
      <c r="M77" s="3" t="s">
        <v>701</v>
      </c>
      <c r="N77" s="3" t="s">
        <v>702</v>
      </c>
      <c r="O77" s="3" t="s">
        <v>112</v>
      </c>
      <c r="P77" s="3" t="s">
        <v>30</v>
      </c>
    </row>
    <row r="78" customFormat="false" ht="23.25" hidden="false" customHeight="true" outlineLevel="0" collapsed="false">
      <c r="A78" s="3" t="s">
        <v>703</v>
      </c>
      <c r="B78" s="3" t="s">
        <v>17</v>
      </c>
      <c r="C78" s="3" t="s">
        <v>640</v>
      </c>
      <c r="D78" s="3" t="s">
        <v>19</v>
      </c>
      <c r="E78" s="3" t="s">
        <v>694</v>
      </c>
      <c r="F78" s="3" t="s">
        <v>695</v>
      </c>
      <c r="G78" s="3" t="s">
        <v>696</v>
      </c>
      <c r="H78" s="3" t="s">
        <v>704</v>
      </c>
      <c r="I78" s="3" t="s">
        <v>705</v>
      </c>
      <c r="J78" s="3" t="s">
        <v>706</v>
      </c>
      <c r="K78" s="3" t="s">
        <v>707</v>
      </c>
      <c r="L78" s="3" t="s">
        <v>8</v>
      </c>
      <c r="M78" s="3" t="s">
        <v>708</v>
      </c>
      <c r="N78" s="3" t="s">
        <v>709</v>
      </c>
      <c r="O78" s="3" t="s">
        <v>666</v>
      </c>
      <c r="P78" s="3" t="s">
        <v>30</v>
      </c>
    </row>
    <row r="79" customFormat="false" ht="23.25" hidden="false" customHeight="true" outlineLevel="0" collapsed="false">
      <c r="A79" s="3" t="s">
        <v>710</v>
      </c>
      <c r="B79" s="3" t="s">
        <v>17</v>
      </c>
      <c r="C79" s="3" t="s">
        <v>640</v>
      </c>
      <c r="D79" s="3" t="s">
        <v>19</v>
      </c>
      <c r="E79" s="3" t="s">
        <v>694</v>
      </c>
      <c r="F79" s="3" t="s">
        <v>695</v>
      </c>
      <c r="G79" s="3" t="s">
        <v>696</v>
      </c>
      <c r="H79" s="3" t="s">
        <v>711</v>
      </c>
      <c r="I79" s="3" t="s">
        <v>712</v>
      </c>
      <c r="J79" s="3" t="s">
        <v>713</v>
      </c>
      <c r="K79" s="3" t="s">
        <v>714</v>
      </c>
      <c r="L79" s="3" t="s">
        <v>8</v>
      </c>
      <c r="M79" s="3" t="s">
        <v>715</v>
      </c>
      <c r="N79" s="3" t="s">
        <v>716</v>
      </c>
      <c r="O79" s="3" t="s">
        <v>315</v>
      </c>
      <c r="P79" s="3" t="s">
        <v>30</v>
      </c>
    </row>
    <row r="80" customFormat="false" ht="34.5" hidden="false" customHeight="true" outlineLevel="0" collapsed="false">
      <c r="A80" s="3" t="s">
        <v>717</v>
      </c>
      <c r="B80" s="3" t="s">
        <v>17</v>
      </c>
      <c r="C80" s="3" t="s">
        <v>718</v>
      </c>
      <c r="D80" s="3" t="s">
        <v>19</v>
      </c>
      <c r="E80" s="3" t="s">
        <v>719</v>
      </c>
      <c r="F80" s="3" t="s">
        <v>720</v>
      </c>
      <c r="G80" s="3" t="s">
        <v>721</v>
      </c>
      <c r="H80" s="3" t="s">
        <v>722</v>
      </c>
      <c r="I80" s="3" t="s">
        <v>723</v>
      </c>
      <c r="J80" s="3" t="s">
        <v>724</v>
      </c>
      <c r="K80" s="3" t="s">
        <v>725</v>
      </c>
      <c r="L80" s="3" t="s">
        <v>8</v>
      </c>
      <c r="M80" s="3" t="s">
        <v>726</v>
      </c>
      <c r="N80" s="3" t="s">
        <v>727</v>
      </c>
      <c r="O80" s="3" t="s">
        <v>728</v>
      </c>
      <c r="P80" s="3" t="s">
        <v>30</v>
      </c>
    </row>
    <row r="81" customFormat="false" ht="34.5" hidden="false" customHeight="true" outlineLevel="0" collapsed="false">
      <c r="A81" s="3" t="s">
        <v>729</v>
      </c>
      <c r="B81" s="3" t="s">
        <v>17</v>
      </c>
      <c r="C81" s="3" t="s">
        <v>718</v>
      </c>
      <c r="D81" s="3" t="s">
        <v>19</v>
      </c>
      <c r="E81" s="3" t="s">
        <v>719</v>
      </c>
      <c r="F81" s="3" t="s">
        <v>720</v>
      </c>
      <c r="G81" s="3" t="s">
        <v>721</v>
      </c>
      <c r="H81" s="3" t="s">
        <v>730</v>
      </c>
      <c r="I81" s="3" t="s">
        <v>731</v>
      </c>
      <c r="J81" s="3" t="s">
        <v>732</v>
      </c>
      <c r="K81" s="3" t="s">
        <v>733</v>
      </c>
      <c r="L81" s="3" t="s">
        <v>8</v>
      </c>
      <c r="M81" s="3" t="s">
        <v>734</v>
      </c>
      <c r="N81" s="3" t="s">
        <v>735</v>
      </c>
      <c r="O81" s="3" t="s">
        <v>736</v>
      </c>
      <c r="P81" s="3" t="s">
        <v>30</v>
      </c>
    </row>
    <row r="82" customFormat="false" ht="34.5" hidden="false" customHeight="true" outlineLevel="0" collapsed="false">
      <c r="A82" s="3" t="s">
        <v>737</v>
      </c>
      <c r="B82" s="3" t="s">
        <v>17</v>
      </c>
      <c r="C82" s="3" t="s">
        <v>718</v>
      </c>
      <c r="D82" s="3" t="s">
        <v>19</v>
      </c>
      <c r="E82" s="3" t="s">
        <v>719</v>
      </c>
      <c r="F82" s="3" t="s">
        <v>720</v>
      </c>
      <c r="G82" s="3" t="s">
        <v>721</v>
      </c>
      <c r="H82" s="3" t="s">
        <v>738</v>
      </c>
      <c r="I82" s="3" t="s">
        <v>739</v>
      </c>
      <c r="J82" s="3" t="s">
        <v>740</v>
      </c>
      <c r="K82" s="3" t="s">
        <v>741</v>
      </c>
      <c r="L82" s="3" t="s">
        <v>8</v>
      </c>
      <c r="M82" s="3" t="s">
        <v>742</v>
      </c>
      <c r="N82" s="3" t="s">
        <v>743</v>
      </c>
      <c r="O82" s="3" t="s">
        <v>736</v>
      </c>
      <c r="P82" s="3" t="s">
        <v>30</v>
      </c>
    </row>
    <row r="83" customFormat="false" ht="23.25" hidden="false" customHeight="true" outlineLevel="0" collapsed="false">
      <c r="A83" s="3" t="s">
        <v>744</v>
      </c>
      <c r="B83" s="3" t="s">
        <v>17</v>
      </c>
      <c r="C83" s="3" t="s">
        <v>718</v>
      </c>
      <c r="D83" s="3" t="s">
        <v>75</v>
      </c>
      <c r="E83" s="3" t="s">
        <v>745</v>
      </c>
      <c r="F83" s="3" t="s">
        <v>746</v>
      </c>
      <c r="G83" s="3" t="s">
        <v>747</v>
      </c>
      <c r="H83" s="3" t="s">
        <v>748</v>
      </c>
      <c r="I83" s="3" t="s">
        <v>749</v>
      </c>
      <c r="J83" s="3" t="s">
        <v>750</v>
      </c>
      <c r="K83" s="3" t="s">
        <v>751</v>
      </c>
      <c r="L83" s="3" t="s">
        <v>8</v>
      </c>
      <c r="M83" s="3" t="s">
        <v>752</v>
      </c>
      <c r="N83" s="3" t="s">
        <v>753</v>
      </c>
      <c r="O83" s="3" t="s">
        <v>736</v>
      </c>
      <c r="P83" s="3" t="s">
        <v>30</v>
      </c>
    </row>
    <row r="84" customFormat="false" ht="23.25" hidden="false" customHeight="true" outlineLevel="0" collapsed="false">
      <c r="A84" s="3" t="s">
        <v>754</v>
      </c>
      <c r="B84" s="3" t="s">
        <v>17</v>
      </c>
      <c r="C84" s="3" t="s">
        <v>718</v>
      </c>
      <c r="D84" s="3" t="s">
        <v>75</v>
      </c>
      <c r="E84" s="3" t="s">
        <v>745</v>
      </c>
      <c r="F84" s="3" t="s">
        <v>746</v>
      </c>
      <c r="G84" s="3" t="s">
        <v>747</v>
      </c>
      <c r="H84" s="3" t="s">
        <v>755</v>
      </c>
      <c r="I84" s="3" t="s">
        <v>756</v>
      </c>
      <c r="J84" s="3" t="s">
        <v>757</v>
      </c>
      <c r="K84" s="3" t="s">
        <v>758</v>
      </c>
      <c r="L84" s="3" t="s">
        <v>9</v>
      </c>
      <c r="M84" s="3" t="s">
        <v>759</v>
      </c>
      <c r="N84" s="3" t="s">
        <v>760</v>
      </c>
      <c r="O84" s="3" t="s">
        <v>736</v>
      </c>
      <c r="P84" s="3" t="s">
        <v>30</v>
      </c>
    </row>
    <row r="85" customFormat="false" ht="23.25" hidden="false" customHeight="true" outlineLevel="0" collapsed="false">
      <c r="A85" s="3" t="s">
        <v>761</v>
      </c>
      <c r="B85" s="3" t="s">
        <v>17</v>
      </c>
      <c r="C85" s="3" t="s">
        <v>718</v>
      </c>
      <c r="D85" s="3" t="s">
        <v>75</v>
      </c>
      <c r="E85" s="3" t="s">
        <v>745</v>
      </c>
      <c r="F85" s="3" t="s">
        <v>746</v>
      </c>
      <c r="G85" s="3" t="s">
        <v>747</v>
      </c>
      <c r="H85" s="3" t="s">
        <v>762</v>
      </c>
      <c r="I85" s="3" t="s">
        <v>763</v>
      </c>
      <c r="J85" s="3" t="s">
        <v>764</v>
      </c>
      <c r="K85" s="3" t="s">
        <v>765</v>
      </c>
      <c r="L85" s="3" t="s">
        <v>8</v>
      </c>
      <c r="M85" s="3" t="s">
        <v>766</v>
      </c>
      <c r="N85" s="3" t="s">
        <v>767</v>
      </c>
      <c r="O85" s="3" t="s">
        <v>768</v>
      </c>
      <c r="P85" s="3" t="s">
        <v>30</v>
      </c>
    </row>
    <row r="86" customFormat="false" ht="23.25" hidden="false" customHeight="true" outlineLevel="0" collapsed="false">
      <c r="A86" s="3" t="s">
        <v>769</v>
      </c>
      <c r="B86" s="3" t="s">
        <v>17</v>
      </c>
      <c r="C86" s="3" t="s">
        <v>718</v>
      </c>
      <c r="D86" s="3" t="s">
        <v>19</v>
      </c>
      <c r="E86" s="3" t="s">
        <v>770</v>
      </c>
      <c r="F86" s="3" t="s">
        <v>771</v>
      </c>
      <c r="G86" s="3" t="s">
        <v>772</v>
      </c>
      <c r="H86" s="3" t="s">
        <v>773</v>
      </c>
      <c r="I86" s="3" t="s">
        <v>774</v>
      </c>
      <c r="J86" s="3" t="s">
        <v>775</v>
      </c>
      <c r="K86" s="3" t="s">
        <v>776</v>
      </c>
      <c r="L86" s="3" t="s">
        <v>9</v>
      </c>
      <c r="M86" s="3" t="s">
        <v>777</v>
      </c>
      <c r="N86" s="3" t="s">
        <v>778</v>
      </c>
      <c r="O86" s="3" t="s">
        <v>779</v>
      </c>
      <c r="P86" s="3" t="s">
        <v>30</v>
      </c>
    </row>
    <row r="87" customFormat="false" ht="34.5" hidden="false" customHeight="true" outlineLevel="0" collapsed="false">
      <c r="A87" s="3" t="s">
        <v>780</v>
      </c>
      <c r="B87" s="3" t="s">
        <v>17</v>
      </c>
      <c r="C87" s="3" t="s">
        <v>718</v>
      </c>
      <c r="D87" s="3" t="s">
        <v>19</v>
      </c>
      <c r="E87" s="3" t="s">
        <v>770</v>
      </c>
      <c r="F87" s="3" t="s">
        <v>771</v>
      </c>
      <c r="G87" s="3" t="s">
        <v>772</v>
      </c>
      <c r="H87" s="3" t="s">
        <v>781</v>
      </c>
      <c r="I87" s="3" t="s">
        <v>782</v>
      </c>
      <c r="J87" s="3" t="s">
        <v>783</v>
      </c>
      <c r="K87" s="3" t="s">
        <v>784</v>
      </c>
      <c r="L87" s="3" t="s">
        <v>8</v>
      </c>
      <c r="M87" s="3" t="s">
        <v>785</v>
      </c>
      <c r="N87" s="3" t="s">
        <v>786</v>
      </c>
      <c r="O87" s="3" t="s">
        <v>307</v>
      </c>
      <c r="P87" s="3" t="s">
        <v>30</v>
      </c>
    </row>
    <row r="88" customFormat="false" ht="34.5" hidden="false" customHeight="true" outlineLevel="0" collapsed="false">
      <c r="A88" s="3" t="s">
        <v>787</v>
      </c>
      <c r="B88" s="3" t="s">
        <v>17</v>
      </c>
      <c r="C88" s="3" t="s">
        <v>718</v>
      </c>
      <c r="D88" s="3" t="s">
        <v>19</v>
      </c>
      <c r="E88" s="3" t="s">
        <v>770</v>
      </c>
      <c r="F88" s="3" t="s">
        <v>771</v>
      </c>
      <c r="G88" s="3" t="s">
        <v>772</v>
      </c>
      <c r="H88" s="3" t="s">
        <v>788</v>
      </c>
      <c r="I88" s="3" t="s">
        <v>789</v>
      </c>
      <c r="J88" s="3" t="s">
        <v>790</v>
      </c>
      <c r="K88" s="3" t="s">
        <v>791</v>
      </c>
      <c r="L88" s="3" t="s">
        <v>9</v>
      </c>
      <c r="M88" s="3" t="s">
        <v>792</v>
      </c>
      <c r="N88" s="3" t="s">
        <v>793</v>
      </c>
      <c r="O88" s="3" t="s">
        <v>183</v>
      </c>
      <c r="P88" s="3" t="s">
        <v>30</v>
      </c>
    </row>
    <row r="89" customFormat="false" ht="23.25" hidden="false" customHeight="true" outlineLevel="0" collapsed="false">
      <c r="A89" s="3" t="s">
        <v>794</v>
      </c>
      <c r="B89" s="3" t="s">
        <v>17</v>
      </c>
      <c r="C89" s="3" t="s">
        <v>795</v>
      </c>
      <c r="D89" s="3" t="s">
        <v>19</v>
      </c>
      <c r="E89" s="3" t="s">
        <v>796</v>
      </c>
      <c r="F89" s="3" t="s">
        <v>797</v>
      </c>
      <c r="G89" s="3" t="s">
        <v>798</v>
      </c>
      <c r="H89" s="3" t="s">
        <v>799</v>
      </c>
      <c r="I89" s="3" t="s">
        <v>800</v>
      </c>
      <c r="J89" s="3" t="s">
        <v>801</v>
      </c>
      <c r="K89" s="3" t="s">
        <v>802</v>
      </c>
      <c r="L89" s="3" t="s">
        <v>8</v>
      </c>
      <c r="M89" s="3" t="s">
        <v>803</v>
      </c>
      <c r="N89" s="3" t="s">
        <v>804</v>
      </c>
      <c r="O89" s="3" t="s">
        <v>805</v>
      </c>
      <c r="P89" s="3" t="s">
        <v>30</v>
      </c>
    </row>
    <row r="90" customFormat="false" ht="23.25" hidden="false" customHeight="true" outlineLevel="0" collapsed="false">
      <c r="A90" s="3" t="s">
        <v>806</v>
      </c>
      <c r="B90" s="3" t="s">
        <v>17</v>
      </c>
      <c r="C90" s="3" t="s">
        <v>795</v>
      </c>
      <c r="D90" s="3" t="s">
        <v>19</v>
      </c>
      <c r="E90" s="3" t="s">
        <v>796</v>
      </c>
      <c r="F90" s="3" t="s">
        <v>797</v>
      </c>
      <c r="G90" s="3" t="s">
        <v>798</v>
      </c>
      <c r="H90" s="3" t="s">
        <v>807</v>
      </c>
      <c r="I90" s="3" t="s">
        <v>808</v>
      </c>
      <c r="J90" s="3" t="s">
        <v>809</v>
      </c>
      <c r="K90" s="3" t="s">
        <v>810</v>
      </c>
      <c r="L90" s="3" t="s">
        <v>9</v>
      </c>
      <c r="M90" s="3" t="s">
        <v>811</v>
      </c>
      <c r="N90" s="3" t="s">
        <v>812</v>
      </c>
      <c r="O90" s="3" t="s">
        <v>813</v>
      </c>
      <c r="P90" s="3" t="s">
        <v>30</v>
      </c>
    </row>
    <row r="91" customFormat="false" ht="23.25" hidden="false" customHeight="true" outlineLevel="0" collapsed="false">
      <c r="A91" s="3" t="s">
        <v>814</v>
      </c>
      <c r="B91" s="3" t="s">
        <v>17</v>
      </c>
      <c r="C91" s="3" t="s">
        <v>795</v>
      </c>
      <c r="D91" s="3" t="s">
        <v>19</v>
      </c>
      <c r="E91" s="3" t="s">
        <v>796</v>
      </c>
      <c r="F91" s="3" t="s">
        <v>797</v>
      </c>
      <c r="G91" s="3" t="s">
        <v>798</v>
      </c>
      <c r="H91" s="3" t="s">
        <v>815</v>
      </c>
      <c r="I91" s="3" t="s">
        <v>816</v>
      </c>
      <c r="J91" s="3" t="s">
        <v>817</v>
      </c>
      <c r="K91" s="3" t="s">
        <v>818</v>
      </c>
      <c r="L91" s="3" t="s">
        <v>8</v>
      </c>
      <c r="M91" s="3" t="s">
        <v>819</v>
      </c>
      <c r="N91" s="3" t="s">
        <v>820</v>
      </c>
      <c r="O91" s="3" t="s">
        <v>821</v>
      </c>
      <c r="P91" s="3" t="s">
        <v>30</v>
      </c>
    </row>
    <row r="92" customFormat="false" ht="23.25" hidden="false" customHeight="true" outlineLevel="0" collapsed="false">
      <c r="A92" s="3" t="s">
        <v>822</v>
      </c>
      <c r="B92" s="3" t="s">
        <v>17</v>
      </c>
      <c r="C92" s="3" t="s">
        <v>795</v>
      </c>
      <c r="D92" s="3" t="s">
        <v>19</v>
      </c>
      <c r="E92" s="3" t="s">
        <v>823</v>
      </c>
      <c r="F92" s="3" t="s">
        <v>824</v>
      </c>
      <c r="G92" s="3" t="s">
        <v>825</v>
      </c>
      <c r="H92" s="3" t="s">
        <v>826</v>
      </c>
      <c r="I92" s="3" t="s">
        <v>827</v>
      </c>
      <c r="J92" s="3" t="s">
        <v>828</v>
      </c>
      <c r="K92" s="3" t="s">
        <v>829</v>
      </c>
      <c r="L92" s="3" t="s">
        <v>8</v>
      </c>
      <c r="M92" s="3" t="s">
        <v>830</v>
      </c>
      <c r="N92" s="3" t="s">
        <v>831</v>
      </c>
      <c r="O92" s="3" t="s">
        <v>832</v>
      </c>
      <c r="P92" s="3" t="s">
        <v>30</v>
      </c>
    </row>
    <row r="93" customFormat="false" ht="23.25" hidden="false" customHeight="true" outlineLevel="0" collapsed="false">
      <c r="A93" s="3" t="s">
        <v>833</v>
      </c>
      <c r="B93" s="3" t="s">
        <v>17</v>
      </c>
      <c r="C93" s="3" t="s">
        <v>795</v>
      </c>
      <c r="D93" s="3" t="s">
        <v>19</v>
      </c>
      <c r="E93" s="3" t="s">
        <v>823</v>
      </c>
      <c r="F93" s="3" t="s">
        <v>824</v>
      </c>
      <c r="G93" s="3" t="s">
        <v>825</v>
      </c>
      <c r="H93" s="3" t="s">
        <v>834</v>
      </c>
      <c r="I93" s="3" t="s">
        <v>835</v>
      </c>
      <c r="J93" s="3" t="s">
        <v>836</v>
      </c>
      <c r="K93" s="3" t="s">
        <v>837</v>
      </c>
      <c r="L93" s="3" t="s">
        <v>9</v>
      </c>
      <c r="M93" s="3" t="s">
        <v>838</v>
      </c>
      <c r="N93" s="3" t="s">
        <v>839</v>
      </c>
      <c r="O93" s="3" t="s">
        <v>840</v>
      </c>
      <c r="P93" s="3" t="s">
        <v>30</v>
      </c>
    </row>
    <row r="94" customFormat="false" ht="23.25" hidden="false" customHeight="true" outlineLevel="0" collapsed="false">
      <c r="A94" s="3" t="s">
        <v>841</v>
      </c>
      <c r="B94" s="3" t="s">
        <v>17</v>
      </c>
      <c r="C94" s="3" t="s">
        <v>795</v>
      </c>
      <c r="D94" s="3" t="s">
        <v>19</v>
      </c>
      <c r="E94" s="3" t="s">
        <v>823</v>
      </c>
      <c r="F94" s="3" t="s">
        <v>824</v>
      </c>
      <c r="G94" s="3" t="s">
        <v>825</v>
      </c>
      <c r="H94" s="3" t="s">
        <v>842</v>
      </c>
      <c r="I94" s="3" t="s">
        <v>843</v>
      </c>
      <c r="J94" s="3" t="s">
        <v>844</v>
      </c>
      <c r="K94" s="3" t="s">
        <v>845</v>
      </c>
      <c r="L94" s="3" t="s">
        <v>9</v>
      </c>
      <c r="M94" s="3" t="s">
        <v>846</v>
      </c>
      <c r="N94" s="3" t="s">
        <v>847</v>
      </c>
      <c r="O94" s="3" t="s">
        <v>848</v>
      </c>
      <c r="P94" s="3" t="s">
        <v>30</v>
      </c>
    </row>
    <row r="95" customFormat="false" ht="23.25" hidden="false" customHeight="true" outlineLevel="0" collapsed="false">
      <c r="A95" s="3" t="s">
        <v>849</v>
      </c>
      <c r="B95" s="3" t="s">
        <v>17</v>
      </c>
      <c r="C95" s="3" t="s">
        <v>795</v>
      </c>
      <c r="D95" s="3" t="s">
        <v>75</v>
      </c>
      <c r="E95" s="3" t="s">
        <v>850</v>
      </c>
      <c r="F95" s="3" t="s">
        <v>851</v>
      </c>
      <c r="G95" s="3" t="s">
        <v>852</v>
      </c>
      <c r="H95" s="3" t="s">
        <v>853</v>
      </c>
      <c r="I95" s="3" t="s">
        <v>854</v>
      </c>
      <c r="J95" s="3" t="s">
        <v>855</v>
      </c>
      <c r="K95" s="3" t="s">
        <v>856</v>
      </c>
      <c r="L95" s="3" t="s">
        <v>8</v>
      </c>
      <c r="M95" s="3" t="s">
        <v>857</v>
      </c>
      <c r="N95" s="3" t="s">
        <v>858</v>
      </c>
      <c r="O95" s="3" t="s">
        <v>859</v>
      </c>
      <c r="P95" s="3" t="s">
        <v>30</v>
      </c>
    </row>
    <row r="96" customFormat="false" ht="23.25" hidden="false" customHeight="true" outlineLevel="0" collapsed="false">
      <c r="A96" s="3" t="s">
        <v>860</v>
      </c>
      <c r="B96" s="3" t="s">
        <v>17</v>
      </c>
      <c r="C96" s="3" t="s">
        <v>795</v>
      </c>
      <c r="D96" s="3" t="s">
        <v>75</v>
      </c>
      <c r="E96" s="3" t="s">
        <v>850</v>
      </c>
      <c r="F96" s="3" t="s">
        <v>851</v>
      </c>
      <c r="G96" s="3" t="s">
        <v>852</v>
      </c>
      <c r="H96" s="3" t="s">
        <v>861</v>
      </c>
      <c r="I96" s="3" t="s">
        <v>862</v>
      </c>
      <c r="J96" s="3" t="s">
        <v>863</v>
      </c>
      <c r="K96" s="3" t="s">
        <v>864</v>
      </c>
      <c r="L96" s="3" t="s">
        <v>8</v>
      </c>
      <c r="M96" s="3" t="s">
        <v>865</v>
      </c>
      <c r="N96" s="3" t="s">
        <v>866</v>
      </c>
      <c r="O96" s="3" t="s">
        <v>859</v>
      </c>
      <c r="P96" s="3" t="s">
        <v>30</v>
      </c>
    </row>
    <row r="97" customFormat="false" ht="34.5" hidden="false" customHeight="true" outlineLevel="0" collapsed="false">
      <c r="A97" s="3" t="s">
        <v>867</v>
      </c>
      <c r="B97" s="3" t="s">
        <v>17</v>
      </c>
      <c r="C97" s="3" t="s">
        <v>795</v>
      </c>
      <c r="D97" s="3" t="s">
        <v>75</v>
      </c>
      <c r="E97" s="3" t="s">
        <v>850</v>
      </c>
      <c r="F97" s="3" t="s">
        <v>851</v>
      </c>
      <c r="G97" s="3" t="s">
        <v>852</v>
      </c>
      <c r="H97" s="3" t="s">
        <v>868</v>
      </c>
      <c r="I97" s="3" t="s">
        <v>869</v>
      </c>
      <c r="J97" s="3" t="s">
        <v>870</v>
      </c>
      <c r="K97" s="3" t="s">
        <v>871</v>
      </c>
      <c r="L97" s="3" t="s">
        <v>8</v>
      </c>
      <c r="M97" s="3" t="s">
        <v>872</v>
      </c>
      <c r="N97" s="3" t="s">
        <v>873</v>
      </c>
      <c r="O97" s="3" t="s">
        <v>874</v>
      </c>
      <c r="P97" s="3" t="s">
        <v>30</v>
      </c>
    </row>
    <row r="98" customFormat="false" ht="34.5" hidden="false" customHeight="true" outlineLevel="0" collapsed="false">
      <c r="A98" s="3" t="s">
        <v>875</v>
      </c>
      <c r="B98" s="3" t="s">
        <v>17</v>
      </c>
      <c r="C98" s="3" t="s">
        <v>876</v>
      </c>
      <c r="D98" s="3" t="s">
        <v>19</v>
      </c>
      <c r="E98" s="3" t="s">
        <v>877</v>
      </c>
      <c r="F98" s="3" t="s">
        <v>878</v>
      </c>
      <c r="G98" s="3" t="s">
        <v>879</v>
      </c>
      <c r="H98" s="3" t="s">
        <v>880</v>
      </c>
      <c r="I98" s="3" t="s">
        <v>881</v>
      </c>
      <c r="J98" s="3" t="s">
        <v>882</v>
      </c>
      <c r="K98" s="3" t="s">
        <v>883</v>
      </c>
      <c r="L98" s="3" t="s">
        <v>8</v>
      </c>
      <c r="M98" s="3" t="s">
        <v>884</v>
      </c>
      <c r="N98" s="3" t="s">
        <v>885</v>
      </c>
      <c r="O98" s="3" t="s">
        <v>886</v>
      </c>
      <c r="P98" s="3" t="s">
        <v>30</v>
      </c>
    </row>
    <row r="99" customFormat="false" ht="23.25" hidden="false" customHeight="true" outlineLevel="0" collapsed="false">
      <c r="A99" s="3" t="s">
        <v>887</v>
      </c>
      <c r="B99" s="3" t="s">
        <v>17</v>
      </c>
      <c r="C99" s="3" t="s">
        <v>876</v>
      </c>
      <c r="D99" s="3" t="s">
        <v>19</v>
      </c>
      <c r="E99" s="3" t="s">
        <v>877</v>
      </c>
      <c r="F99" s="3" t="s">
        <v>878</v>
      </c>
      <c r="G99" s="3" t="s">
        <v>879</v>
      </c>
      <c r="H99" s="3" t="s">
        <v>888</v>
      </c>
      <c r="I99" s="3" t="s">
        <v>889</v>
      </c>
      <c r="J99" s="3" t="s">
        <v>890</v>
      </c>
      <c r="K99" s="3" t="s">
        <v>891</v>
      </c>
      <c r="L99" s="3" t="s">
        <v>9</v>
      </c>
      <c r="M99" s="3" t="s">
        <v>892</v>
      </c>
      <c r="N99" s="3" t="s">
        <v>893</v>
      </c>
      <c r="O99" s="3" t="s">
        <v>894</v>
      </c>
      <c r="P99" s="3" t="s">
        <v>30</v>
      </c>
    </row>
    <row r="100" customFormat="false" ht="23.25" hidden="false" customHeight="true" outlineLevel="0" collapsed="false">
      <c r="A100" s="3" t="s">
        <v>895</v>
      </c>
      <c r="B100" s="3" t="s">
        <v>17</v>
      </c>
      <c r="C100" s="3" t="s">
        <v>876</v>
      </c>
      <c r="D100" s="3" t="s">
        <v>19</v>
      </c>
      <c r="E100" s="3" t="s">
        <v>877</v>
      </c>
      <c r="F100" s="3" t="s">
        <v>878</v>
      </c>
      <c r="G100" s="3" t="s">
        <v>879</v>
      </c>
      <c r="H100" s="3" t="s">
        <v>896</v>
      </c>
      <c r="I100" s="3" t="s">
        <v>897</v>
      </c>
      <c r="J100" s="3" t="s">
        <v>898</v>
      </c>
      <c r="K100" s="3" t="s">
        <v>899</v>
      </c>
      <c r="L100" s="3" t="s">
        <v>9</v>
      </c>
      <c r="M100" s="3" t="s">
        <v>900</v>
      </c>
      <c r="N100" s="3" t="s">
        <v>901</v>
      </c>
      <c r="O100" s="3" t="s">
        <v>902</v>
      </c>
      <c r="P100" s="3" t="s">
        <v>30</v>
      </c>
    </row>
    <row r="101" customFormat="false" ht="23.25" hidden="false" customHeight="true" outlineLevel="0" collapsed="false">
      <c r="A101" s="3" t="s">
        <v>903</v>
      </c>
      <c r="B101" s="3" t="s">
        <v>17</v>
      </c>
      <c r="C101" s="3" t="s">
        <v>876</v>
      </c>
      <c r="D101" s="3" t="s">
        <v>19</v>
      </c>
      <c r="E101" s="3" t="s">
        <v>904</v>
      </c>
      <c r="F101" s="3" t="s">
        <v>905</v>
      </c>
      <c r="G101" s="3" t="s">
        <v>906</v>
      </c>
      <c r="H101" s="3" t="s">
        <v>907</v>
      </c>
      <c r="I101" s="3" t="s">
        <v>908</v>
      </c>
      <c r="J101" s="3" t="s">
        <v>909</v>
      </c>
      <c r="K101" s="3" t="s">
        <v>910</v>
      </c>
      <c r="L101" s="3" t="s">
        <v>8</v>
      </c>
      <c r="M101" s="3" t="s">
        <v>911</v>
      </c>
      <c r="N101" s="3" t="s">
        <v>912</v>
      </c>
      <c r="O101" s="3" t="s">
        <v>913</v>
      </c>
      <c r="P101" s="3" t="s">
        <v>30</v>
      </c>
    </row>
    <row r="102" customFormat="false" ht="34.5" hidden="false" customHeight="true" outlineLevel="0" collapsed="false">
      <c r="A102" s="3" t="s">
        <v>914</v>
      </c>
      <c r="B102" s="3" t="s">
        <v>17</v>
      </c>
      <c r="C102" s="3" t="s">
        <v>876</v>
      </c>
      <c r="D102" s="3" t="s">
        <v>19</v>
      </c>
      <c r="E102" s="3" t="s">
        <v>904</v>
      </c>
      <c r="F102" s="3" t="s">
        <v>905</v>
      </c>
      <c r="G102" s="3" t="s">
        <v>906</v>
      </c>
      <c r="H102" s="3" t="s">
        <v>915</v>
      </c>
      <c r="I102" s="3" t="s">
        <v>916</v>
      </c>
      <c r="J102" s="3" t="s">
        <v>917</v>
      </c>
      <c r="K102" s="3" t="s">
        <v>918</v>
      </c>
      <c r="L102" s="3" t="s">
        <v>8</v>
      </c>
      <c r="M102" s="3" t="s">
        <v>919</v>
      </c>
      <c r="N102" s="3" t="s">
        <v>920</v>
      </c>
      <c r="O102" s="3" t="s">
        <v>921</v>
      </c>
      <c r="P102" s="3" t="s">
        <v>30</v>
      </c>
    </row>
    <row r="103" customFormat="false" ht="23.25" hidden="false" customHeight="true" outlineLevel="0" collapsed="false">
      <c r="A103" s="3" t="s">
        <v>922</v>
      </c>
      <c r="B103" s="3" t="s">
        <v>17</v>
      </c>
      <c r="C103" s="3" t="s">
        <v>876</v>
      </c>
      <c r="D103" s="3" t="s">
        <v>19</v>
      </c>
      <c r="E103" s="3" t="s">
        <v>904</v>
      </c>
      <c r="F103" s="3" t="s">
        <v>905</v>
      </c>
      <c r="G103" s="3" t="s">
        <v>906</v>
      </c>
      <c r="H103" s="3" t="s">
        <v>923</v>
      </c>
      <c r="I103" s="3" t="s">
        <v>924</v>
      </c>
      <c r="J103" s="3" t="s">
        <v>925</v>
      </c>
      <c r="K103" s="3" t="s">
        <v>926</v>
      </c>
      <c r="L103" s="3" t="s">
        <v>9</v>
      </c>
      <c r="M103" s="3" t="s">
        <v>927</v>
      </c>
      <c r="N103" s="3" t="s">
        <v>928</v>
      </c>
      <c r="O103" s="3" t="s">
        <v>929</v>
      </c>
      <c r="P103" s="3" t="s">
        <v>30</v>
      </c>
    </row>
    <row r="104" customFormat="false" ht="23.25" hidden="false" customHeight="true" outlineLevel="0" collapsed="false">
      <c r="A104" s="3" t="s">
        <v>930</v>
      </c>
      <c r="B104" s="3" t="s">
        <v>17</v>
      </c>
      <c r="C104" s="3" t="s">
        <v>876</v>
      </c>
      <c r="D104" s="3" t="s">
        <v>75</v>
      </c>
      <c r="E104" s="3" t="s">
        <v>931</v>
      </c>
      <c r="F104" s="3" t="s">
        <v>932</v>
      </c>
      <c r="G104" s="3" t="s">
        <v>933</v>
      </c>
      <c r="H104" s="3" t="s">
        <v>934</v>
      </c>
      <c r="I104" s="3" t="s">
        <v>935</v>
      </c>
      <c r="J104" s="3" t="s">
        <v>936</v>
      </c>
      <c r="K104" s="3" t="s">
        <v>937</v>
      </c>
      <c r="L104" s="3" t="s">
        <v>8</v>
      </c>
      <c r="M104" s="3" t="s">
        <v>938</v>
      </c>
      <c r="N104" s="3" t="s">
        <v>939</v>
      </c>
      <c r="O104" s="3" t="s">
        <v>940</v>
      </c>
      <c r="P104" s="3" t="s">
        <v>30</v>
      </c>
    </row>
    <row r="105" customFormat="false" ht="23.25" hidden="false" customHeight="true" outlineLevel="0" collapsed="false">
      <c r="A105" s="3" t="s">
        <v>941</v>
      </c>
      <c r="B105" s="3" t="s">
        <v>17</v>
      </c>
      <c r="C105" s="3" t="s">
        <v>876</v>
      </c>
      <c r="D105" s="3" t="s">
        <v>75</v>
      </c>
      <c r="E105" s="3" t="s">
        <v>931</v>
      </c>
      <c r="F105" s="3" t="s">
        <v>932</v>
      </c>
      <c r="G105" s="3" t="s">
        <v>933</v>
      </c>
      <c r="H105" s="3" t="s">
        <v>942</v>
      </c>
      <c r="I105" s="3" t="s">
        <v>943</v>
      </c>
      <c r="J105" s="3" t="s">
        <v>944</v>
      </c>
      <c r="K105" s="3" t="s">
        <v>945</v>
      </c>
      <c r="L105" s="3" t="s">
        <v>8</v>
      </c>
      <c r="M105" s="3" t="s">
        <v>946</v>
      </c>
      <c r="N105" s="3" t="s">
        <v>947</v>
      </c>
      <c r="O105" s="3" t="s">
        <v>948</v>
      </c>
      <c r="P105" s="3" t="s">
        <v>30</v>
      </c>
    </row>
    <row r="106" customFormat="false" ht="23.25" hidden="false" customHeight="true" outlineLevel="0" collapsed="false">
      <c r="A106" s="3" t="s">
        <v>949</v>
      </c>
      <c r="B106" s="3" t="s">
        <v>17</v>
      </c>
      <c r="C106" s="3" t="s">
        <v>876</v>
      </c>
      <c r="D106" s="3" t="s">
        <v>75</v>
      </c>
      <c r="E106" s="3" t="s">
        <v>931</v>
      </c>
      <c r="F106" s="3" t="s">
        <v>932</v>
      </c>
      <c r="G106" s="3" t="s">
        <v>933</v>
      </c>
      <c r="H106" s="3" t="s">
        <v>950</v>
      </c>
      <c r="I106" s="3" t="s">
        <v>951</v>
      </c>
      <c r="J106" s="3" t="s">
        <v>952</v>
      </c>
      <c r="K106" s="3" t="s">
        <v>953</v>
      </c>
      <c r="L106" s="3" t="s">
        <v>8</v>
      </c>
      <c r="M106" s="3" t="s">
        <v>954</v>
      </c>
      <c r="N106" s="3" t="s">
        <v>955</v>
      </c>
      <c r="O106" s="3" t="s">
        <v>956</v>
      </c>
      <c r="P106" s="3" t="s">
        <v>30</v>
      </c>
    </row>
    <row r="107" customFormat="false" ht="34.5" hidden="false" customHeight="true" outlineLevel="0" collapsed="false">
      <c r="A107" s="3" t="s">
        <v>957</v>
      </c>
      <c r="B107" s="3" t="s">
        <v>17</v>
      </c>
      <c r="C107" s="3" t="s">
        <v>958</v>
      </c>
      <c r="D107" s="3" t="s">
        <v>19</v>
      </c>
      <c r="E107" s="3" t="s">
        <v>959</v>
      </c>
      <c r="F107" s="3" t="s">
        <v>960</v>
      </c>
      <c r="G107" s="3" t="s">
        <v>961</v>
      </c>
      <c r="H107" s="3" t="s">
        <v>962</v>
      </c>
      <c r="I107" s="3" t="s">
        <v>963</v>
      </c>
      <c r="J107" s="3" t="s">
        <v>964</v>
      </c>
      <c r="K107" s="3" t="s">
        <v>965</v>
      </c>
      <c r="L107" s="3" t="s">
        <v>8</v>
      </c>
      <c r="M107" s="3" t="s">
        <v>966</v>
      </c>
      <c r="N107" s="3" t="s">
        <v>967</v>
      </c>
      <c r="O107" s="3" t="s">
        <v>968</v>
      </c>
      <c r="P107" s="3" t="s">
        <v>30</v>
      </c>
    </row>
    <row r="108" customFormat="false" ht="34.5" hidden="false" customHeight="true" outlineLevel="0" collapsed="false">
      <c r="A108" s="3" t="s">
        <v>969</v>
      </c>
      <c r="B108" s="3" t="s">
        <v>17</v>
      </c>
      <c r="C108" s="3" t="s">
        <v>958</v>
      </c>
      <c r="D108" s="3" t="s">
        <v>19</v>
      </c>
      <c r="E108" s="3" t="s">
        <v>959</v>
      </c>
      <c r="F108" s="3" t="s">
        <v>960</v>
      </c>
      <c r="G108" s="3" t="s">
        <v>961</v>
      </c>
      <c r="H108" s="3" t="s">
        <v>970</v>
      </c>
      <c r="I108" s="3" t="s">
        <v>971</v>
      </c>
      <c r="J108" s="3" t="s">
        <v>972</v>
      </c>
      <c r="K108" s="3" t="s">
        <v>973</v>
      </c>
      <c r="L108" s="3" t="s">
        <v>8</v>
      </c>
      <c r="M108" s="3" t="s">
        <v>974</v>
      </c>
      <c r="N108" s="3" t="s">
        <v>975</v>
      </c>
      <c r="O108" s="3" t="s">
        <v>976</v>
      </c>
      <c r="P108" s="3" t="s">
        <v>30</v>
      </c>
    </row>
    <row r="109" customFormat="false" ht="34.5" hidden="false" customHeight="true" outlineLevel="0" collapsed="false">
      <c r="A109" s="3" t="s">
        <v>977</v>
      </c>
      <c r="B109" s="3" t="s">
        <v>17</v>
      </c>
      <c r="C109" s="3" t="s">
        <v>958</v>
      </c>
      <c r="D109" s="3" t="s">
        <v>19</v>
      </c>
      <c r="E109" s="3" t="s">
        <v>959</v>
      </c>
      <c r="F109" s="3" t="s">
        <v>960</v>
      </c>
      <c r="G109" s="3" t="s">
        <v>961</v>
      </c>
      <c r="H109" s="3" t="s">
        <v>978</v>
      </c>
      <c r="I109" s="3" t="s">
        <v>979</v>
      </c>
      <c r="J109" s="3" t="s">
        <v>980</v>
      </c>
      <c r="K109" s="3" t="s">
        <v>981</v>
      </c>
      <c r="L109" s="3" t="s">
        <v>9</v>
      </c>
      <c r="M109" s="3" t="s">
        <v>982</v>
      </c>
      <c r="N109" s="3" t="s">
        <v>983</v>
      </c>
      <c r="O109" s="3" t="s">
        <v>984</v>
      </c>
      <c r="P109" s="3" t="s">
        <v>30</v>
      </c>
    </row>
    <row r="110" customFormat="false" ht="23.25" hidden="false" customHeight="true" outlineLevel="0" collapsed="false">
      <c r="A110" s="3" t="s">
        <v>985</v>
      </c>
      <c r="B110" s="3" t="s">
        <v>17</v>
      </c>
      <c r="C110" s="3" t="s">
        <v>958</v>
      </c>
      <c r="D110" s="3" t="s">
        <v>19</v>
      </c>
      <c r="E110" s="3" t="s">
        <v>986</v>
      </c>
      <c r="F110" s="3" t="s">
        <v>987</v>
      </c>
      <c r="G110" s="3" t="s">
        <v>988</v>
      </c>
      <c r="H110" s="3" t="s">
        <v>989</v>
      </c>
      <c r="I110" s="3" t="s">
        <v>990</v>
      </c>
      <c r="J110" s="3" t="s">
        <v>991</v>
      </c>
      <c r="K110" s="3" t="s">
        <v>992</v>
      </c>
      <c r="L110" s="3" t="s">
        <v>8</v>
      </c>
      <c r="M110" s="3" t="s">
        <v>993</v>
      </c>
      <c r="N110" s="3" t="s">
        <v>994</v>
      </c>
      <c r="O110" s="3" t="s">
        <v>995</v>
      </c>
      <c r="P110" s="3" t="s">
        <v>30</v>
      </c>
    </row>
    <row r="111" customFormat="false" ht="23.25" hidden="false" customHeight="true" outlineLevel="0" collapsed="false">
      <c r="A111" s="3" t="s">
        <v>996</v>
      </c>
      <c r="B111" s="3" t="s">
        <v>17</v>
      </c>
      <c r="C111" s="3" t="s">
        <v>958</v>
      </c>
      <c r="D111" s="3" t="s">
        <v>19</v>
      </c>
      <c r="E111" s="3" t="s">
        <v>986</v>
      </c>
      <c r="F111" s="3" t="s">
        <v>987</v>
      </c>
      <c r="G111" s="3" t="s">
        <v>988</v>
      </c>
      <c r="H111" s="3" t="s">
        <v>997</v>
      </c>
      <c r="I111" s="3" t="s">
        <v>998</v>
      </c>
      <c r="J111" s="3" t="s">
        <v>999</v>
      </c>
      <c r="K111" s="3" t="s">
        <v>1000</v>
      </c>
      <c r="L111" s="3" t="s">
        <v>8</v>
      </c>
      <c r="M111" s="3" t="s">
        <v>1001</v>
      </c>
      <c r="N111" s="3" t="s">
        <v>1002</v>
      </c>
      <c r="O111" s="3" t="s">
        <v>1003</v>
      </c>
      <c r="P111" s="3" t="s">
        <v>30</v>
      </c>
    </row>
    <row r="112" customFormat="false" ht="23.25" hidden="false" customHeight="true" outlineLevel="0" collapsed="false">
      <c r="A112" s="3" t="s">
        <v>1004</v>
      </c>
      <c r="B112" s="3" t="s">
        <v>17</v>
      </c>
      <c r="C112" s="3" t="s">
        <v>958</v>
      </c>
      <c r="D112" s="3" t="s">
        <v>19</v>
      </c>
      <c r="E112" s="3" t="s">
        <v>986</v>
      </c>
      <c r="F112" s="3" t="s">
        <v>987</v>
      </c>
      <c r="G112" s="3" t="s">
        <v>988</v>
      </c>
      <c r="H112" s="3" t="s">
        <v>1005</v>
      </c>
      <c r="I112" s="3" t="s">
        <v>1006</v>
      </c>
      <c r="J112" s="3" t="s">
        <v>1007</v>
      </c>
      <c r="K112" s="3" t="s">
        <v>1008</v>
      </c>
      <c r="L112" s="3" t="s">
        <v>9</v>
      </c>
      <c r="M112" s="3" t="s">
        <v>1009</v>
      </c>
      <c r="N112" s="3" t="s">
        <v>1010</v>
      </c>
      <c r="O112" s="3" t="s">
        <v>1011</v>
      </c>
      <c r="P112" s="3" t="s">
        <v>30</v>
      </c>
    </row>
    <row r="113" customFormat="false" ht="23.25" hidden="false" customHeight="true" outlineLevel="0" collapsed="false">
      <c r="A113" s="3" t="s">
        <v>1012</v>
      </c>
      <c r="B113" s="3" t="s">
        <v>17</v>
      </c>
      <c r="C113" s="3" t="s">
        <v>958</v>
      </c>
      <c r="D113" s="3" t="s">
        <v>75</v>
      </c>
      <c r="E113" s="3" t="s">
        <v>1013</v>
      </c>
      <c r="F113" s="3" t="s">
        <v>1014</v>
      </c>
      <c r="G113" s="3" t="s">
        <v>1015</v>
      </c>
      <c r="H113" s="3" t="s">
        <v>1016</v>
      </c>
      <c r="I113" s="3" t="s">
        <v>1017</v>
      </c>
      <c r="J113" s="3" t="s">
        <v>197</v>
      </c>
      <c r="K113" s="3" t="s">
        <v>1018</v>
      </c>
      <c r="L113" s="3" t="s">
        <v>8</v>
      </c>
      <c r="M113" s="3" t="s">
        <v>1019</v>
      </c>
      <c r="N113" s="3" t="s">
        <v>1020</v>
      </c>
      <c r="O113" s="3" t="s">
        <v>1021</v>
      </c>
      <c r="P113" s="3" t="s">
        <v>30</v>
      </c>
    </row>
    <row r="114" customFormat="false" ht="23.25" hidden="false" customHeight="true" outlineLevel="0" collapsed="false">
      <c r="A114" s="3" t="s">
        <v>1022</v>
      </c>
      <c r="B114" s="3" t="s">
        <v>17</v>
      </c>
      <c r="C114" s="3" t="s">
        <v>958</v>
      </c>
      <c r="D114" s="3" t="s">
        <v>75</v>
      </c>
      <c r="E114" s="3" t="s">
        <v>1013</v>
      </c>
      <c r="F114" s="3" t="s">
        <v>1014</v>
      </c>
      <c r="G114" s="3" t="s">
        <v>1015</v>
      </c>
      <c r="H114" s="3" t="s">
        <v>1023</v>
      </c>
      <c r="I114" s="3" t="s">
        <v>1024</v>
      </c>
      <c r="J114" s="3" t="s">
        <v>1025</v>
      </c>
      <c r="K114" s="3" t="s">
        <v>1026</v>
      </c>
      <c r="L114" s="3" t="s">
        <v>9</v>
      </c>
      <c r="M114" s="3" t="s">
        <v>1027</v>
      </c>
      <c r="N114" s="3" t="s">
        <v>1028</v>
      </c>
      <c r="O114" s="3" t="s">
        <v>1029</v>
      </c>
      <c r="P114" s="3" t="s">
        <v>30</v>
      </c>
    </row>
    <row r="115" customFormat="false" ht="23.25" hidden="false" customHeight="true" outlineLevel="0" collapsed="false">
      <c r="A115" s="3" t="s">
        <v>1030</v>
      </c>
      <c r="B115" s="3" t="s">
        <v>17</v>
      </c>
      <c r="C115" s="3" t="s">
        <v>958</v>
      </c>
      <c r="D115" s="3" t="s">
        <v>75</v>
      </c>
      <c r="E115" s="3" t="s">
        <v>1013</v>
      </c>
      <c r="F115" s="3" t="s">
        <v>1014</v>
      </c>
      <c r="G115" s="3" t="s">
        <v>1015</v>
      </c>
      <c r="H115" s="3" t="s">
        <v>1031</v>
      </c>
      <c r="I115" s="3" t="s">
        <v>1032</v>
      </c>
      <c r="J115" s="3" t="s">
        <v>1033</v>
      </c>
      <c r="K115" s="3" t="s">
        <v>1034</v>
      </c>
      <c r="L115" s="3" t="s">
        <v>9</v>
      </c>
      <c r="M115" s="3" t="s">
        <v>1035</v>
      </c>
      <c r="N115" s="3" t="s">
        <v>1036</v>
      </c>
      <c r="O115" s="3" t="s">
        <v>1037</v>
      </c>
      <c r="P115" s="3" t="s">
        <v>30</v>
      </c>
    </row>
    <row r="116" customFormat="false" ht="34.5" hidden="false" customHeight="true" outlineLevel="0" collapsed="false">
      <c r="A116" s="3" t="s">
        <v>1038</v>
      </c>
      <c r="B116" s="3" t="s">
        <v>17</v>
      </c>
      <c r="C116" s="3" t="s">
        <v>1039</v>
      </c>
      <c r="D116" s="3" t="s">
        <v>19</v>
      </c>
      <c r="E116" s="3" t="s">
        <v>1040</v>
      </c>
      <c r="F116" s="3" t="s">
        <v>1041</v>
      </c>
      <c r="G116" s="3" t="s">
        <v>1042</v>
      </c>
      <c r="H116" s="3" t="s">
        <v>1043</v>
      </c>
      <c r="I116" s="3" t="s">
        <v>1044</v>
      </c>
      <c r="J116" s="3" t="s">
        <v>1045</v>
      </c>
      <c r="K116" s="3" t="s">
        <v>1046</v>
      </c>
      <c r="L116" s="3" t="s">
        <v>8</v>
      </c>
      <c r="M116" s="3" t="s">
        <v>1047</v>
      </c>
      <c r="N116" s="3" t="s">
        <v>1048</v>
      </c>
      <c r="O116" s="3" t="s">
        <v>1049</v>
      </c>
      <c r="P116" s="3" t="s">
        <v>30</v>
      </c>
    </row>
    <row r="117" customFormat="false" ht="34.5" hidden="false" customHeight="true" outlineLevel="0" collapsed="false">
      <c r="A117" s="3" t="s">
        <v>1050</v>
      </c>
      <c r="B117" s="3" t="s">
        <v>17</v>
      </c>
      <c r="C117" s="3" t="s">
        <v>1039</v>
      </c>
      <c r="D117" s="3" t="s">
        <v>19</v>
      </c>
      <c r="E117" s="3" t="s">
        <v>1040</v>
      </c>
      <c r="F117" s="3" t="s">
        <v>1041</v>
      </c>
      <c r="G117" s="3" t="s">
        <v>1042</v>
      </c>
      <c r="H117" s="3" t="s">
        <v>1051</v>
      </c>
      <c r="I117" s="3" t="s">
        <v>1052</v>
      </c>
      <c r="J117" s="3" t="s">
        <v>1053</v>
      </c>
      <c r="K117" s="3" t="s">
        <v>1054</v>
      </c>
      <c r="L117" s="3" t="s">
        <v>8</v>
      </c>
      <c r="M117" s="3" t="s">
        <v>1055</v>
      </c>
      <c r="N117" s="3" t="s">
        <v>1056</v>
      </c>
      <c r="O117" s="3" t="s">
        <v>1057</v>
      </c>
      <c r="P117" s="3" t="s">
        <v>30</v>
      </c>
    </row>
    <row r="118" customFormat="false" ht="34.5" hidden="false" customHeight="true" outlineLevel="0" collapsed="false">
      <c r="A118" s="3" t="s">
        <v>1058</v>
      </c>
      <c r="B118" s="3" t="s">
        <v>17</v>
      </c>
      <c r="C118" s="3" t="s">
        <v>1039</v>
      </c>
      <c r="D118" s="3" t="s">
        <v>19</v>
      </c>
      <c r="E118" s="3" t="s">
        <v>1040</v>
      </c>
      <c r="F118" s="3" t="s">
        <v>1041</v>
      </c>
      <c r="G118" s="3" t="s">
        <v>1042</v>
      </c>
      <c r="H118" s="3" t="s">
        <v>1059</v>
      </c>
      <c r="I118" s="3" t="s">
        <v>1060</v>
      </c>
      <c r="J118" s="3" t="s">
        <v>1061</v>
      </c>
      <c r="K118" s="3" t="s">
        <v>1062</v>
      </c>
      <c r="L118" s="3" t="s">
        <v>8</v>
      </c>
      <c r="M118" s="3" t="s">
        <v>1063</v>
      </c>
      <c r="N118" s="3" t="s">
        <v>1064</v>
      </c>
      <c r="O118" s="3" t="s">
        <v>1065</v>
      </c>
      <c r="P118" s="3" t="s">
        <v>30</v>
      </c>
    </row>
    <row r="119" customFormat="false" ht="34.5" hidden="false" customHeight="true" outlineLevel="0" collapsed="false">
      <c r="A119" s="3" t="s">
        <v>1066</v>
      </c>
      <c r="B119" s="3" t="s">
        <v>17</v>
      </c>
      <c r="C119" s="3" t="s">
        <v>1039</v>
      </c>
      <c r="D119" s="3" t="s">
        <v>75</v>
      </c>
      <c r="E119" s="3" t="s">
        <v>1067</v>
      </c>
      <c r="F119" s="3" t="s">
        <v>1068</v>
      </c>
      <c r="G119" s="3" t="s">
        <v>1069</v>
      </c>
      <c r="H119" s="3" t="s">
        <v>1070</v>
      </c>
      <c r="I119" s="3" t="s">
        <v>1071</v>
      </c>
      <c r="J119" s="3" t="s">
        <v>1072</v>
      </c>
      <c r="K119" s="3" t="s">
        <v>1073</v>
      </c>
      <c r="L119" s="3" t="s">
        <v>8</v>
      </c>
      <c r="M119" s="3" t="s">
        <v>1074</v>
      </c>
      <c r="N119" s="3" t="s">
        <v>1075</v>
      </c>
      <c r="O119" s="3" t="s">
        <v>1076</v>
      </c>
      <c r="P119" s="3" t="s">
        <v>30</v>
      </c>
    </row>
    <row r="120" customFormat="false" ht="34.5" hidden="false" customHeight="true" outlineLevel="0" collapsed="false">
      <c r="A120" s="3" t="s">
        <v>1077</v>
      </c>
      <c r="B120" s="3" t="s">
        <v>17</v>
      </c>
      <c r="C120" s="3" t="s">
        <v>1039</v>
      </c>
      <c r="D120" s="3" t="s">
        <v>75</v>
      </c>
      <c r="E120" s="3" t="s">
        <v>1067</v>
      </c>
      <c r="F120" s="3" t="s">
        <v>1068</v>
      </c>
      <c r="G120" s="3" t="s">
        <v>1069</v>
      </c>
      <c r="H120" s="3" t="s">
        <v>1078</v>
      </c>
      <c r="I120" s="3" t="s">
        <v>1079</v>
      </c>
      <c r="J120" s="3" t="s">
        <v>1080</v>
      </c>
      <c r="K120" s="3" t="s">
        <v>1081</v>
      </c>
      <c r="L120" s="3" t="s">
        <v>8</v>
      </c>
      <c r="M120" s="3" t="s">
        <v>1082</v>
      </c>
      <c r="N120" s="3" t="s">
        <v>1083</v>
      </c>
      <c r="O120" s="3" t="s">
        <v>1084</v>
      </c>
      <c r="P120" s="3" t="s">
        <v>30</v>
      </c>
    </row>
    <row r="121" customFormat="false" ht="34.5" hidden="false" customHeight="true" outlineLevel="0" collapsed="false">
      <c r="A121" s="3" t="s">
        <v>1085</v>
      </c>
      <c r="B121" s="3" t="s">
        <v>17</v>
      </c>
      <c r="C121" s="3" t="s">
        <v>1039</v>
      </c>
      <c r="D121" s="3" t="s">
        <v>75</v>
      </c>
      <c r="E121" s="3" t="s">
        <v>1067</v>
      </c>
      <c r="F121" s="3" t="s">
        <v>1068</v>
      </c>
      <c r="G121" s="3" t="s">
        <v>1069</v>
      </c>
      <c r="H121" s="3" t="s">
        <v>1086</v>
      </c>
      <c r="I121" s="3" t="s">
        <v>1087</v>
      </c>
      <c r="J121" s="3" t="s">
        <v>1088</v>
      </c>
      <c r="K121" s="3" t="s">
        <v>1089</v>
      </c>
      <c r="L121" s="3" t="s">
        <v>8</v>
      </c>
      <c r="M121" s="3" t="s">
        <v>1090</v>
      </c>
      <c r="N121" s="3" t="s">
        <v>1091</v>
      </c>
      <c r="O121" s="3" t="s">
        <v>1092</v>
      </c>
      <c r="P121" s="3" t="s">
        <v>30</v>
      </c>
    </row>
    <row r="122" customFormat="false" ht="45.75" hidden="false" customHeight="true" outlineLevel="0" collapsed="false">
      <c r="A122" s="3" t="s">
        <v>1093</v>
      </c>
      <c r="B122" s="3" t="s">
        <v>17</v>
      </c>
      <c r="C122" s="3" t="s">
        <v>1039</v>
      </c>
      <c r="D122" s="3" t="s">
        <v>19</v>
      </c>
      <c r="E122" s="3" t="s">
        <v>1094</v>
      </c>
      <c r="F122" s="3" t="s">
        <v>1095</v>
      </c>
      <c r="G122" s="3" t="s">
        <v>1096</v>
      </c>
      <c r="H122" s="3" t="s">
        <v>1097</v>
      </c>
      <c r="I122" s="3" t="s">
        <v>1098</v>
      </c>
      <c r="J122" s="3" t="s">
        <v>1099</v>
      </c>
      <c r="K122" s="3" t="s">
        <v>1100</v>
      </c>
      <c r="L122" s="3" t="s">
        <v>8</v>
      </c>
      <c r="M122" s="3" t="s">
        <v>1101</v>
      </c>
      <c r="N122" s="3" t="s">
        <v>1102</v>
      </c>
      <c r="O122" s="3" t="s">
        <v>1103</v>
      </c>
      <c r="P122" s="3" t="s">
        <v>30</v>
      </c>
    </row>
    <row r="123" customFormat="false" ht="34.5" hidden="false" customHeight="true" outlineLevel="0" collapsed="false">
      <c r="A123" s="3" t="s">
        <v>1104</v>
      </c>
      <c r="B123" s="3" t="s">
        <v>17</v>
      </c>
      <c r="C123" s="3" t="s">
        <v>1039</v>
      </c>
      <c r="D123" s="3" t="s">
        <v>19</v>
      </c>
      <c r="E123" s="3" t="s">
        <v>1094</v>
      </c>
      <c r="F123" s="3" t="s">
        <v>1095</v>
      </c>
      <c r="G123" s="3" t="s">
        <v>1096</v>
      </c>
      <c r="H123" s="3" t="s">
        <v>1105</v>
      </c>
      <c r="I123" s="3" t="s">
        <v>1106</v>
      </c>
      <c r="J123" s="3" t="s">
        <v>1107</v>
      </c>
      <c r="K123" s="3" t="s">
        <v>1108</v>
      </c>
      <c r="L123" s="3" t="s">
        <v>9</v>
      </c>
      <c r="M123" s="3" t="s">
        <v>1109</v>
      </c>
      <c r="N123" s="3" t="s">
        <v>1110</v>
      </c>
      <c r="O123" s="3" t="s">
        <v>1111</v>
      </c>
      <c r="P123" s="3" t="s">
        <v>30</v>
      </c>
    </row>
    <row r="124" customFormat="false" ht="34.5" hidden="false" customHeight="true" outlineLevel="0" collapsed="false">
      <c r="A124" s="3" t="s">
        <v>1112</v>
      </c>
      <c r="B124" s="3" t="s">
        <v>17</v>
      </c>
      <c r="C124" s="3" t="s">
        <v>1039</v>
      </c>
      <c r="D124" s="3" t="s">
        <v>19</v>
      </c>
      <c r="E124" s="3" t="s">
        <v>1094</v>
      </c>
      <c r="F124" s="3" t="s">
        <v>1095</v>
      </c>
      <c r="G124" s="3" t="s">
        <v>1096</v>
      </c>
      <c r="H124" s="3" t="s">
        <v>1113</v>
      </c>
      <c r="I124" s="3" t="s">
        <v>1114</v>
      </c>
      <c r="J124" s="3" t="s">
        <v>1115</v>
      </c>
      <c r="K124" s="3" t="s">
        <v>1116</v>
      </c>
      <c r="L124" s="3" t="s">
        <v>9</v>
      </c>
      <c r="M124" s="3" t="s">
        <v>1117</v>
      </c>
      <c r="N124" s="3" t="s">
        <v>1118</v>
      </c>
      <c r="O124" s="3" t="s">
        <v>1119</v>
      </c>
      <c r="P124" s="3" t="s">
        <v>30</v>
      </c>
    </row>
    <row r="125" customFormat="false" ht="34.5" hidden="false" customHeight="true" outlineLevel="0" collapsed="false">
      <c r="A125" s="3" t="s">
        <v>1120</v>
      </c>
      <c r="B125" s="3" t="s">
        <v>17</v>
      </c>
      <c r="C125" s="3" t="s">
        <v>1039</v>
      </c>
      <c r="D125" s="3" t="s">
        <v>19</v>
      </c>
      <c r="E125" s="3" t="s">
        <v>1121</v>
      </c>
      <c r="F125" s="3" t="s">
        <v>1122</v>
      </c>
      <c r="G125" s="3" t="s">
        <v>1123</v>
      </c>
      <c r="H125" s="3" t="s">
        <v>1124</v>
      </c>
      <c r="I125" s="3" t="s">
        <v>1125</v>
      </c>
      <c r="J125" s="3" t="s">
        <v>1126</v>
      </c>
      <c r="K125" s="3" t="s">
        <v>1127</v>
      </c>
      <c r="L125" s="3" t="s">
        <v>8</v>
      </c>
      <c r="M125" s="3" t="s">
        <v>1128</v>
      </c>
      <c r="N125" s="3" t="s">
        <v>1129</v>
      </c>
      <c r="O125" s="3" t="s">
        <v>1130</v>
      </c>
      <c r="P125" s="3" t="s">
        <v>30</v>
      </c>
    </row>
    <row r="126" customFormat="false" ht="34.5" hidden="false" customHeight="true" outlineLevel="0" collapsed="false">
      <c r="A126" s="3" t="s">
        <v>1131</v>
      </c>
      <c r="B126" s="3" t="s">
        <v>17</v>
      </c>
      <c r="C126" s="3" t="s">
        <v>1039</v>
      </c>
      <c r="D126" s="3" t="s">
        <v>19</v>
      </c>
      <c r="E126" s="3" t="s">
        <v>1121</v>
      </c>
      <c r="F126" s="3" t="s">
        <v>1122</v>
      </c>
      <c r="G126" s="3" t="s">
        <v>1123</v>
      </c>
      <c r="H126" s="3" t="s">
        <v>1132</v>
      </c>
      <c r="I126" s="3" t="s">
        <v>1133</v>
      </c>
      <c r="J126" s="3" t="s">
        <v>1134</v>
      </c>
      <c r="K126" s="3" t="s">
        <v>1135</v>
      </c>
      <c r="L126" s="3" t="s">
        <v>9</v>
      </c>
      <c r="M126" s="3" t="s">
        <v>1136</v>
      </c>
      <c r="N126" s="3" t="s">
        <v>1137</v>
      </c>
      <c r="O126" s="3" t="s">
        <v>1138</v>
      </c>
      <c r="P126" s="3" t="s">
        <v>30</v>
      </c>
    </row>
    <row r="127" customFormat="false" ht="34.5" hidden="false" customHeight="true" outlineLevel="0" collapsed="false">
      <c r="A127" s="3" t="s">
        <v>1139</v>
      </c>
      <c r="B127" s="3" t="s">
        <v>17</v>
      </c>
      <c r="C127" s="3" t="s">
        <v>1039</v>
      </c>
      <c r="D127" s="3" t="s">
        <v>19</v>
      </c>
      <c r="E127" s="3" t="s">
        <v>1121</v>
      </c>
      <c r="F127" s="3" t="s">
        <v>1122</v>
      </c>
      <c r="G127" s="3" t="s">
        <v>1123</v>
      </c>
      <c r="H127" s="3" t="s">
        <v>1140</v>
      </c>
      <c r="I127" s="3" t="s">
        <v>1141</v>
      </c>
      <c r="J127" s="3" t="s">
        <v>1142</v>
      </c>
      <c r="K127" s="3" t="s">
        <v>1143</v>
      </c>
      <c r="L127" s="3" t="s">
        <v>9</v>
      </c>
      <c r="M127" s="3" t="s">
        <v>1144</v>
      </c>
      <c r="N127" s="3" t="s">
        <v>1145</v>
      </c>
      <c r="O127" s="3" t="s">
        <v>1146</v>
      </c>
      <c r="P127" s="3" t="s">
        <v>30</v>
      </c>
    </row>
    <row r="128" customFormat="false" ht="34.5" hidden="false" customHeight="true" outlineLevel="0" collapsed="false">
      <c r="A128" s="3" t="s">
        <v>1147</v>
      </c>
      <c r="B128" s="3" t="s">
        <v>17</v>
      </c>
      <c r="C128" s="3" t="s">
        <v>1039</v>
      </c>
      <c r="D128" s="3" t="s">
        <v>19</v>
      </c>
      <c r="E128" s="3" t="s">
        <v>1148</v>
      </c>
      <c r="F128" s="3" t="s">
        <v>1149</v>
      </c>
      <c r="G128" s="3" t="s">
        <v>1150</v>
      </c>
      <c r="H128" s="3" t="s">
        <v>1151</v>
      </c>
      <c r="I128" s="3" t="s">
        <v>1152</v>
      </c>
      <c r="J128" s="3" t="s">
        <v>1153</v>
      </c>
      <c r="K128" s="3" t="s">
        <v>1154</v>
      </c>
      <c r="L128" s="3" t="s">
        <v>8</v>
      </c>
      <c r="M128" s="3" t="s">
        <v>1155</v>
      </c>
      <c r="N128" s="3" t="s">
        <v>1156</v>
      </c>
      <c r="O128" s="3" t="s">
        <v>256</v>
      </c>
      <c r="P128" s="3" t="s">
        <v>30</v>
      </c>
    </row>
    <row r="129" customFormat="false" ht="23.25" hidden="false" customHeight="true" outlineLevel="0" collapsed="false">
      <c r="A129" s="3" t="s">
        <v>1157</v>
      </c>
      <c r="B129" s="3" t="s">
        <v>17</v>
      </c>
      <c r="C129" s="3" t="s">
        <v>1039</v>
      </c>
      <c r="D129" s="3" t="s">
        <v>19</v>
      </c>
      <c r="E129" s="3" t="s">
        <v>1148</v>
      </c>
      <c r="F129" s="3" t="s">
        <v>1149</v>
      </c>
      <c r="G129" s="3" t="s">
        <v>1150</v>
      </c>
      <c r="H129" s="3" t="s">
        <v>1158</v>
      </c>
      <c r="I129" s="3" t="s">
        <v>1159</v>
      </c>
      <c r="J129" s="3" t="s">
        <v>1160</v>
      </c>
      <c r="K129" s="3" t="s">
        <v>1161</v>
      </c>
      <c r="L129" s="3" t="s">
        <v>9</v>
      </c>
      <c r="M129" s="3" t="s">
        <v>1162</v>
      </c>
      <c r="N129" s="3" t="s">
        <v>1163</v>
      </c>
      <c r="O129" s="3" t="s">
        <v>289</v>
      </c>
      <c r="P129" s="3" t="s">
        <v>30</v>
      </c>
    </row>
    <row r="130" customFormat="false" ht="23.25" hidden="false" customHeight="true" outlineLevel="0" collapsed="false">
      <c r="A130" s="3" t="s">
        <v>1164</v>
      </c>
      <c r="B130" s="3" t="s">
        <v>17</v>
      </c>
      <c r="C130" s="3" t="s">
        <v>1039</v>
      </c>
      <c r="D130" s="3" t="s">
        <v>19</v>
      </c>
      <c r="E130" s="3" t="s">
        <v>1148</v>
      </c>
      <c r="F130" s="3" t="s">
        <v>1149</v>
      </c>
      <c r="G130" s="3" t="s">
        <v>1150</v>
      </c>
      <c r="H130" s="3" t="s">
        <v>1165</v>
      </c>
      <c r="I130" s="3" t="s">
        <v>1166</v>
      </c>
      <c r="J130" s="3" t="s">
        <v>1167</v>
      </c>
      <c r="K130" s="3" t="s">
        <v>1168</v>
      </c>
      <c r="L130" s="3" t="s">
        <v>9</v>
      </c>
      <c r="M130" s="3" t="s">
        <v>1169</v>
      </c>
      <c r="N130" s="3" t="s">
        <v>1170</v>
      </c>
      <c r="O130" s="3" t="s">
        <v>256</v>
      </c>
      <c r="P130" s="3" t="s">
        <v>30</v>
      </c>
    </row>
    <row r="131" customFormat="false" ht="34.5" hidden="false" customHeight="true" outlineLevel="0" collapsed="false">
      <c r="A131" s="3" t="s">
        <v>1171</v>
      </c>
      <c r="B131" s="3" t="s">
        <v>17</v>
      </c>
      <c r="C131" s="3" t="s">
        <v>1039</v>
      </c>
      <c r="D131" s="3" t="s">
        <v>19</v>
      </c>
      <c r="E131" s="3" t="s">
        <v>1172</v>
      </c>
      <c r="F131" s="3" t="s">
        <v>1173</v>
      </c>
      <c r="G131" s="3" t="s">
        <v>1174</v>
      </c>
      <c r="H131" s="3" t="s">
        <v>1175</v>
      </c>
      <c r="I131" s="3" t="s">
        <v>1176</v>
      </c>
      <c r="J131" s="3" t="s">
        <v>1177</v>
      </c>
      <c r="K131" s="3" t="s">
        <v>1178</v>
      </c>
      <c r="L131" s="3" t="s">
        <v>8</v>
      </c>
      <c r="M131" s="3" t="s">
        <v>1179</v>
      </c>
      <c r="N131" s="3" t="s">
        <v>1180</v>
      </c>
      <c r="O131" s="3" t="s">
        <v>650</v>
      </c>
      <c r="P131" s="3" t="s">
        <v>30</v>
      </c>
    </row>
    <row r="132" customFormat="false" ht="23.25" hidden="false" customHeight="true" outlineLevel="0" collapsed="false">
      <c r="A132" s="3" t="s">
        <v>1181</v>
      </c>
      <c r="B132" s="3" t="s">
        <v>17</v>
      </c>
      <c r="C132" s="3" t="s">
        <v>1039</v>
      </c>
      <c r="D132" s="3" t="s">
        <v>19</v>
      </c>
      <c r="E132" s="3" t="s">
        <v>1172</v>
      </c>
      <c r="F132" s="3" t="s">
        <v>1173</v>
      </c>
      <c r="G132" s="3" t="s">
        <v>1174</v>
      </c>
      <c r="H132" s="3" t="s">
        <v>1182</v>
      </c>
      <c r="I132" s="3" t="s">
        <v>1176</v>
      </c>
      <c r="J132" s="3" t="s">
        <v>1177</v>
      </c>
      <c r="K132" s="3" t="s">
        <v>1183</v>
      </c>
      <c r="L132" s="3" t="s">
        <v>9</v>
      </c>
      <c r="M132" s="3" t="s">
        <v>1184</v>
      </c>
      <c r="N132" s="3" t="s">
        <v>1185</v>
      </c>
      <c r="O132" s="3" t="s">
        <v>666</v>
      </c>
      <c r="P132" s="3" t="s">
        <v>30</v>
      </c>
    </row>
    <row r="133" customFormat="false" ht="23.25" hidden="false" customHeight="true" outlineLevel="0" collapsed="false">
      <c r="A133" s="3" t="s">
        <v>1186</v>
      </c>
      <c r="B133" s="3" t="s">
        <v>17</v>
      </c>
      <c r="C133" s="3" t="s">
        <v>1039</v>
      </c>
      <c r="D133" s="3" t="s">
        <v>19</v>
      </c>
      <c r="E133" s="3" t="s">
        <v>1172</v>
      </c>
      <c r="F133" s="3" t="s">
        <v>1173</v>
      </c>
      <c r="G133" s="3" t="s">
        <v>1174</v>
      </c>
      <c r="H133" s="3" t="s">
        <v>1187</v>
      </c>
      <c r="I133" s="3" t="s">
        <v>1177</v>
      </c>
      <c r="J133" s="3" t="s">
        <v>1188</v>
      </c>
      <c r="K133" s="3" t="s">
        <v>1189</v>
      </c>
      <c r="L133" s="3" t="s">
        <v>9</v>
      </c>
      <c r="M133" s="3" t="s">
        <v>1190</v>
      </c>
      <c r="N133" s="3" t="s">
        <v>1191</v>
      </c>
      <c r="O133" s="3" t="s">
        <v>307</v>
      </c>
      <c r="P133" s="3" t="s">
        <v>30</v>
      </c>
    </row>
    <row r="134" customFormat="false" ht="23.25" hidden="false" customHeight="true" outlineLevel="0" collapsed="false">
      <c r="A134" s="3" t="s">
        <v>1192</v>
      </c>
      <c r="B134" s="3" t="s">
        <v>17</v>
      </c>
      <c r="C134" s="3" t="s">
        <v>1039</v>
      </c>
      <c r="D134" s="3" t="s">
        <v>75</v>
      </c>
      <c r="E134" s="3" t="s">
        <v>1193</v>
      </c>
      <c r="F134" s="3" t="s">
        <v>1194</v>
      </c>
      <c r="G134" s="3" t="s">
        <v>1195</v>
      </c>
      <c r="H134" s="3" t="s">
        <v>1196</v>
      </c>
      <c r="I134" s="3" t="s">
        <v>1197</v>
      </c>
      <c r="J134" s="3" t="s">
        <v>1198</v>
      </c>
      <c r="K134" s="3" t="s">
        <v>1199</v>
      </c>
      <c r="L134" s="3" t="s">
        <v>8</v>
      </c>
      <c r="M134" s="3" t="s">
        <v>1200</v>
      </c>
      <c r="N134" s="3" t="s">
        <v>1201</v>
      </c>
      <c r="O134" s="3" t="s">
        <v>1202</v>
      </c>
      <c r="P134" s="3" t="s">
        <v>30</v>
      </c>
    </row>
    <row r="135" customFormat="false" ht="23.25" hidden="false" customHeight="true" outlineLevel="0" collapsed="false">
      <c r="A135" s="3" t="s">
        <v>1203</v>
      </c>
      <c r="B135" s="3" t="s">
        <v>17</v>
      </c>
      <c r="C135" s="3" t="s">
        <v>1039</v>
      </c>
      <c r="D135" s="3" t="s">
        <v>75</v>
      </c>
      <c r="E135" s="3" t="s">
        <v>1193</v>
      </c>
      <c r="F135" s="3" t="s">
        <v>1194</v>
      </c>
      <c r="G135" s="3" t="s">
        <v>1195</v>
      </c>
      <c r="H135" s="3" t="s">
        <v>1204</v>
      </c>
      <c r="I135" s="3" t="s">
        <v>1205</v>
      </c>
      <c r="J135" s="3" t="s">
        <v>1206</v>
      </c>
      <c r="K135" s="3" t="s">
        <v>1207</v>
      </c>
      <c r="L135" s="3" t="s">
        <v>9</v>
      </c>
      <c r="M135" s="3" t="s">
        <v>1208</v>
      </c>
      <c r="N135" s="3" t="s">
        <v>1209</v>
      </c>
      <c r="O135" s="3" t="s">
        <v>421</v>
      </c>
      <c r="P135" s="3" t="s">
        <v>30</v>
      </c>
    </row>
    <row r="136" customFormat="false" ht="23.25" hidden="false" customHeight="true" outlineLevel="0" collapsed="false">
      <c r="A136" s="3" t="s">
        <v>1210</v>
      </c>
      <c r="B136" s="3" t="s">
        <v>17</v>
      </c>
      <c r="C136" s="3" t="s">
        <v>1039</v>
      </c>
      <c r="D136" s="3" t="s">
        <v>75</v>
      </c>
      <c r="E136" s="3" t="s">
        <v>1193</v>
      </c>
      <c r="F136" s="3" t="s">
        <v>1194</v>
      </c>
      <c r="G136" s="3" t="s">
        <v>1195</v>
      </c>
      <c r="H136" s="3" t="s">
        <v>1211</v>
      </c>
      <c r="I136" s="3" t="s">
        <v>1212</v>
      </c>
      <c r="J136" s="3" t="s">
        <v>1213</v>
      </c>
      <c r="K136" s="3" t="s">
        <v>1214</v>
      </c>
      <c r="L136" s="3" t="s">
        <v>8</v>
      </c>
      <c r="M136" s="3" t="s">
        <v>1215</v>
      </c>
      <c r="N136" s="3" t="s">
        <v>1216</v>
      </c>
      <c r="O136" s="3" t="s">
        <v>1217</v>
      </c>
      <c r="P136" s="3" t="s">
        <v>30</v>
      </c>
    </row>
    <row r="137" customFormat="false" ht="23.25" hidden="false" customHeight="true" outlineLevel="0" collapsed="false">
      <c r="A137" s="3" t="s">
        <v>1218</v>
      </c>
      <c r="B137" s="3" t="s">
        <v>17</v>
      </c>
      <c r="C137" s="3" t="s">
        <v>1039</v>
      </c>
      <c r="D137" s="3" t="s">
        <v>19</v>
      </c>
      <c r="E137" s="3" t="s">
        <v>1219</v>
      </c>
      <c r="F137" s="3" t="s">
        <v>1220</v>
      </c>
      <c r="G137" s="3" t="s">
        <v>1221</v>
      </c>
      <c r="H137" s="3" t="s">
        <v>1222</v>
      </c>
      <c r="I137" s="3" t="s">
        <v>1223</v>
      </c>
      <c r="J137" s="3" t="s">
        <v>1224</v>
      </c>
      <c r="K137" s="3" t="s">
        <v>1225</v>
      </c>
      <c r="L137" s="3" t="s">
        <v>8</v>
      </c>
      <c r="M137" s="3" t="s">
        <v>1226</v>
      </c>
      <c r="N137" s="3" t="s">
        <v>1227</v>
      </c>
      <c r="O137" s="3" t="s">
        <v>1228</v>
      </c>
      <c r="P137" s="3" t="s">
        <v>30</v>
      </c>
    </row>
    <row r="138" customFormat="false" ht="34.5" hidden="false" customHeight="true" outlineLevel="0" collapsed="false">
      <c r="A138" s="3" t="s">
        <v>1229</v>
      </c>
      <c r="B138" s="3" t="s">
        <v>17</v>
      </c>
      <c r="C138" s="3" t="s">
        <v>1039</v>
      </c>
      <c r="D138" s="3" t="s">
        <v>19</v>
      </c>
      <c r="E138" s="3" t="s">
        <v>1219</v>
      </c>
      <c r="F138" s="3" t="s">
        <v>1220</v>
      </c>
      <c r="G138" s="3" t="s">
        <v>1221</v>
      </c>
      <c r="H138" s="3" t="s">
        <v>1230</v>
      </c>
      <c r="I138" s="3" t="s">
        <v>1231</v>
      </c>
      <c r="J138" s="3" t="s">
        <v>1232</v>
      </c>
      <c r="K138" s="3" t="s">
        <v>1233</v>
      </c>
      <c r="L138" s="3" t="s">
        <v>8</v>
      </c>
      <c r="M138" s="3" t="s">
        <v>1234</v>
      </c>
      <c r="N138" s="3" t="s">
        <v>1235</v>
      </c>
      <c r="O138" s="3" t="s">
        <v>1236</v>
      </c>
      <c r="P138" s="3" t="s">
        <v>30</v>
      </c>
    </row>
    <row r="139" customFormat="false" ht="23.25" hidden="false" customHeight="true" outlineLevel="0" collapsed="false">
      <c r="A139" s="3" t="s">
        <v>1237</v>
      </c>
      <c r="B139" s="3" t="s">
        <v>17</v>
      </c>
      <c r="C139" s="3" t="s">
        <v>1039</v>
      </c>
      <c r="D139" s="3" t="s">
        <v>19</v>
      </c>
      <c r="E139" s="3" t="s">
        <v>1219</v>
      </c>
      <c r="F139" s="3" t="s">
        <v>1220</v>
      </c>
      <c r="G139" s="3" t="s">
        <v>1221</v>
      </c>
      <c r="H139" s="3" t="s">
        <v>1238</v>
      </c>
      <c r="I139" s="3" t="s">
        <v>1239</v>
      </c>
      <c r="J139" s="3" t="s">
        <v>1240</v>
      </c>
      <c r="K139" s="3" t="s">
        <v>1241</v>
      </c>
      <c r="L139" s="3" t="s">
        <v>8</v>
      </c>
      <c r="M139" s="3" t="s">
        <v>1242</v>
      </c>
      <c r="N139" s="3" t="s">
        <v>1243</v>
      </c>
      <c r="O139" s="3" t="s">
        <v>1236</v>
      </c>
      <c r="P139" s="3" t="s">
        <v>30</v>
      </c>
    </row>
    <row r="140" customFormat="false" ht="23.25" hidden="false" customHeight="true" outlineLevel="0" collapsed="false">
      <c r="A140" s="3" t="s">
        <v>1244</v>
      </c>
      <c r="B140" s="3" t="s">
        <v>17</v>
      </c>
      <c r="C140" s="3" t="s">
        <v>1039</v>
      </c>
      <c r="D140" s="3" t="s">
        <v>19</v>
      </c>
      <c r="E140" s="3" t="s">
        <v>1245</v>
      </c>
      <c r="F140" s="3" t="s">
        <v>1246</v>
      </c>
      <c r="G140" s="3" t="s">
        <v>1247</v>
      </c>
      <c r="H140" s="3" t="s">
        <v>1248</v>
      </c>
      <c r="I140" s="3" t="s">
        <v>1249</v>
      </c>
      <c r="J140" s="3" t="s">
        <v>1250</v>
      </c>
      <c r="K140" s="3" t="s">
        <v>1251</v>
      </c>
      <c r="L140" s="3" t="s">
        <v>8</v>
      </c>
      <c r="M140" s="3" t="s">
        <v>1252</v>
      </c>
      <c r="N140" s="3" t="s">
        <v>1253</v>
      </c>
      <c r="O140" s="3" t="s">
        <v>1254</v>
      </c>
      <c r="P140" s="3" t="s">
        <v>30</v>
      </c>
    </row>
    <row r="141" customFormat="false" ht="23.25" hidden="false" customHeight="true" outlineLevel="0" collapsed="false">
      <c r="A141" s="3" t="s">
        <v>1255</v>
      </c>
      <c r="B141" s="3" t="s">
        <v>17</v>
      </c>
      <c r="C141" s="3" t="s">
        <v>1039</v>
      </c>
      <c r="D141" s="3" t="s">
        <v>19</v>
      </c>
      <c r="E141" s="3" t="s">
        <v>1245</v>
      </c>
      <c r="F141" s="3" t="s">
        <v>1246</v>
      </c>
      <c r="G141" s="3" t="s">
        <v>1247</v>
      </c>
      <c r="H141" s="3" t="s">
        <v>1256</v>
      </c>
      <c r="I141" s="3" t="s">
        <v>1257</v>
      </c>
      <c r="J141" s="3" t="s">
        <v>1258</v>
      </c>
      <c r="K141" s="3" t="s">
        <v>1259</v>
      </c>
      <c r="L141" s="3" t="s">
        <v>8</v>
      </c>
      <c r="M141" s="3" t="s">
        <v>1260</v>
      </c>
      <c r="N141" s="3" t="s">
        <v>1261</v>
      </c>
      <c r="O141" s="3" t="s">
        <v>1262</v>
      </c>
      <c r="P141" s="3" t="s">
        <v>30</v>
      </c>
    </row>
    <row r="142" customFormat="false" ht="23.25" hidden="false" customHeight="true" outlineLevel="0" collapsed="false">
      <c r="A142" s="3" t="s">
        <v>1263</v>
      </c>
      <c r="B142" s="3" t="s">
        <v>17</v>
      </c>
      <c r="C142" s="3" t="s">
        <v>1039</v>
      </c>
      <c r="D142" s="3" t="s">
        <v>19</v>
      </c>
      <c r="E142" s="3" t="s">
        <v>1245</v>
      </c>
      <c r="F142" s="3" t="s">
        <v>1246</v>
      </c>
      <c r="G142" s="3" t="s">
        <v>1247</v>
      </c>
      <c r="H142" s="3" t="s">
        <v>1264</v>
      </c>
      <c r="I142" s="3" t="s">
        <v>1265</v>
      </c>
      <c r="J142" s="3" t="s">
        <v>1266</v>
      </c>
      <c r="K142" s="3" t="s">
        <v>1267</v>
      </c>
      <c r="L142" s="3" t="s">
        <v>8</v>
      </c>
      <c r="M142" s="3" t="s">
        <v>1268</v>
      </c>
      <c r="N142" s="3" t="s">
        <v>1269</v>
      </c>
      <c r="O142" s="3" t="s">
        <v>1270</v>
      </c>
      <c r="P142" s="3" t="s">
        <v>30</v>
      </c>
    </row>
    <row r="143" customFormat="false" ht="34.5" hidden="false" customHeight="true" outlineLevel="0" collapsed="false">
      <c r="A143" s="3" t="s">
        <v>1271</v>
      </c>
      <c r="B143" s="3" t="s">
        <v>17</v>
      </c>
      <c r="C143" s="3" t="s">
        <v>1039</v>
      </c>
      <c r="D143" s="3" t="s">
        <v>19</v>
      </c>
      <c r="E143" s="3" t="s">
        <v>1272</v>
      </c>
      <c r="F143" s="3" t="s">
        <v>1273</v>
      </c>
      <c r="G143" s="3" t="s">
        <v>1274</v>
      </c>
      <c r="H143" s="3" t="s">
        <v>1275</v>
      </c>
      <c r="I143" s="3" t="s">
        <v>1276</v>
      </c>
      <c r="J143" s="3" t="s">
        <v>1277</v>
      </c>
      <c r="K143" s="3" t="s">
        <v>1278</v>
      </c>
      <c r="L143" s="3" t="s">
        <v>8</v>
      </c>
      <c r="M143" s="3" t="s">
        <v>1279</v>
      </c>
      <c r="N143" s="3" t="s">
        <v>1280</v>
      </c>
      <c r="O143" s="3" t="s">
        <v>1281</v>
      </c>
      <c r="P143" s="3" t="s">
        <v>30</v>
      </c>
    </row>
    <row r="144" customFormat="false" ht="23.25" hidden="false" customHeight="true" outlineLevel="0" collapsed="false">
      <c r="A144" s="3" t="s">
        <v>1282</v>
      </c>
      <c r="B144" s="3" t="s">
        <v>17</v>
      </c>
      <c r="C144" s="3" t="s">
        <v>1039</v>
      </c>
      <c r="D144" s="3" t="s">
        <v>19</v>
      </c>
      <c r="E144" s="3" t="s">
        <v>1272</v>
      </c>
      <c r="F144" s="3" t="s">
        <v>1273</v>
      </c>
      <c r="G144" s="3" t="s">
        <v>1274</v>
      </c>
      <c r="H144" s="3" t="s">
        <v>1283</v>
      </c>
      <c r="I144" s="3" t="s">
        <v>1284</v>
      </c>
      <c r="J144" s="3" t="s">
        <v>1285</v>
      </c>
      <c r="K144" s="3" t="s">
        <v>1286</v>
      </c>
      <c r="L144" s="3" t="s">
        <v>8</v>
      </c>
      <c r="M144" s="3" t="s">
        <v>1287</v>
      </c>
      <c r="N144" s="3" t="s">
        <v>1288</v>
      </c>
      <c r="O144" s="3" t="s">
        <v>1084</v>
      </c>
      <c r="P144" s="3" t="s">
        <v>30</v>
      </c>
    </row>
    <row r="145" customFormat="false" ht="23.25" hidden="false" customHeight="true" outlineLevel="0" collapsed="false">
      <c r="A145" s="3" t="s">
        <v>1289</v>
      </c>
      <c r="B145" s="3" t="s">
        <v>17</v>
      </c>
      <c r="C145" s="3" t="s">
        <v>1039</v>
      </c>
      <c r="D145" s="3" t="s">
        <v>19</v>
      </c>
      <c r="E145" s="3" t="s">
        <v>1272</v>
      </c>
      <c r="F145" s="3" t="s">
        <v>1273</v>
      </c>
      <c r="G145" s="3" t="s">
        <v>1274</v>
      </c>
      <c r="H145" s="3" t="s">
        <v>1290</v>
      </c>
      <c r="I145" s="3" t="s">
        <v>1291</v>
      </c>
      <c r="J145" s="3" t="s">
        <v>1292</v>
      </c>
      <c r="K145" s="3" t="s">
        <v>1293</v>
      </c>
      <c r="L145" s="3" t="s">
        <v>9</v>
      </c>
      <c r="M145" s="3" t="s">
        <v>1294</v>
      </c>
      <c r="N145" s="3" t="s">
        <v>1295</v>
      </c>
      <c r="O145" s="3" t="s">
        <v>1084</v>
      </c>
      <c r="P145" s="3" t="s">
        <v>30</v>
      </c>
    </row>
    <row r="146" customFormat="false" ht="34.5" hidden="false" customHeight="true" outlineLevel="0" collapsed="false">
      <c r="A146" s="3" t="s">
        <v>1296</v>
      </c>
      <c r="B146" s="3" t="s">
        <v>17</v>
      </c>
      <c r="C146" s="3" t="s">
        <v>1039</v>
      </c>
      <c r="D146" s="3" t="s">
        <v>75</v>
      </c>
      <c r="E146" s="3" t="s">
        <v>1297</v>
      </c>
      <c r="F146" s="3" t="s">
        <v>1298</v>
      </c>
      <c r="G146" s="3" t="s">
        <v>1299</v>
      </c>
      <c r="H146" s="3" t="s">
        <v>1300</v>
      </c>
      <c r="I146" s="3" t="s">
        <v>1301</v>
      </c>
      <c r="J146" s="3" t="s">
        <v>1302</v>
      </c>
      <c r="K146" s="3" t="s">
        <v>1303</v>
      </c>
      <c r="L146" s="3" t="s">
        <v>8</v>
      </c>
      <c r="M146" s="3" t="s">
        <v>1304</v>
      </c>
      <c r="N146" s="3" t="s">
        <v>1305</v>
      </c>
      <c r="O146" s="3" t="s">
        <v>1306</v>
      </c>
      <c r="P146" s="3" t="s">
        <v>30</v>
      </c>
    </row>
    <row r="147" customFormat="false" ht="23.25" hidden="false" customHeight="true" outlineLevel="0" collapsed="false">
      <c r="A147" s="3" t="s">
        <v>1307</v>
      </c>
      <c r="B147" s="3" t="s">
        <v>17</v>
      </c>
      <c r="C147" s="3" t="s">
        <v>1039</v>
      </c>
      <c r="D147" s="3" t="s">
        <v>75</v>
      </c>
      <c r="E147" s="3" t="s">
        <v>1297</v>
      </c>
      <c r="F147" s="3" t="s">
        <v>1298</v>
      </c>
      <c r="G147" s="3" t="s">
        <v>1299</v>
      </c>
      <c r="H147" s="3" t="s">
        <v>1308</v>
      </c>
      <c r="I147" s="3" t="s">
        <v>1309</v>
      </c>
      <c r="J147" s="3" t="s">
        <v>1310</v>
      </c>
      <c r="K147" s="3" t="s">
        <v>1311</v>
      </c>
      <c r="L147" s="3" t="s">
        <v>9</v>
      </c>
      <c r="M147" s="3" t="s">
        <v>1312</v>
      </c>
      <c r="N147" s="3" t="s">
        <v>1313</v>
      </c>
      <c r="O147" s="3" t="s">
        <v>1314</v>
      </c>
      <c r="P147" s="3" t="s">
        <v>30</v>
      </c>
    </row>
    <row r="148" customFormat="false" ht="23.25" hidden="false" customHeight="true" outlineLevel="0" collapsed="false">
      <c r="A148" s="3" t="s">
        <v>1315</v>
      </c>
      <c r="B148" s="3" t="s">
        <v>17</v>
      </c>
      <c r="C148" s="3" t="s">
        <v>1039</v>
      </c>
      <c r="D148" s="3" t="s">
        <v>75</v>
      </c>
      <c r="E148" s="3" t="s">
        <v>1297</v>
      </c>
      <c r="F148" s="3" t="s">
        <v>1298</v>
      </c>
      <c r="G148" s="3" t="s">
        <v>1299</v>
      </c>
      <c r="H148" s="3" t="s">
        <v>1316</v>
      </c>
      <c r="I148" s="3" t="s">
        <v>1317</v>
      </c>
      <c r="J148" s="3" t="s">
        <v>1311</v>
      </c>
      <c r="K148" s="3" t="s">
        <v>1318</v>
      </c>
      <c r="L148" s="3" t="s">
        <v>8</v>
      </c>
      <c r="M148" s="3" t="s">
        <v>1319</v>
      </c>
      <c r="N148" s="3" t="s">
        <v>1320</v>
      </c>
      <c r="O148" s="3" t="s">
        <v>1037</v>
      </c>
      <c r="P148" s="3" t="s">
        <v>30</v>
      </c>
    </row>
    <row r="149" customFormat="false" ht="23.25" hidden="false" customHeight="true" outlineLevel="0" collapsed="false">
      <c r="A149" s="3" t="s">
        <v>1321</v>
      </c>
      <c r="B149" s="3" t="s">
        <v>17</v>
      </c>
      <c r="C149" s="3" t="s">
        <v>1039</v>
      </c>
      <c r="D149" s="3" t="s">
        <v>19</v>
      </c>
      <c r="E149" s="3" t="s">
        <v>1322</v>
      </c>
      <c r="F149" s="3" t="s">
        <v>1323</v>
      </c>
      <c r="G149" s="3" t="s">
        <v>1324</v>
      </c>
      <c r="H149" s="3" t="s">
        <v>1325</v>
      </c>
      <c r="I149" s="3" t="s">
        <v>1326</v>
      </c>
      <c r="J149" s="3" t="s">
        <v>1327</v>
      </c>
      <c r="K149" s="3" t="s">
        <v>1328</v>
      </c>
      <c r="L149" s="3" t="s">
        <v>8</v>
      </c>
      <c r="M149" s="3" t="s">
        <v>1329</v>
      </c>
      <c r="N149" s="3" t="s">
        <v>1330</v>
      </c>
      <c r="O149" s="3" t="s">
        <v>128</v>
      </c>
      <c r="P149" s="3" t="s">
        <v>30</v>
      </c>
    </row>
    <row r="150" customFormat="false" ht="23.25" hidden="false" customHeight="true" outlineLevel="0" collapsed="false">
      <c r="A150" s="3" t="s">
        <v>1331</v>
      </c>
      <c r="B150" s="3" t="s">
        <v>17</v>
      </c>
      <c r="C150" s="3" t="s">
        <v>1039</v>
      </c>
      <c r="D150" s="3" t="s">
        <v>19</v>
      </c>
      <c r="E150" s="3" t="s">
        <v>1322</v>
      </c>
      <c r="F150" s="3" t="s">
        <v>1323</v>
      </c>
      <c r="G150" s="3" t="s">
        <v>1324</v>
      </c>
      <c r="H150" s="3" t="s">
        <v>1332</v>
      </c>
      <c r="I150" s="3" t="s">
        <v>1333</v>
      </c>
      <c r="J150" s="3" t="s">
        <v>1334</v>
      </c>
      <c r="K150" s="3" t="s">
        <v>1335</v>
      </c>
      <c r="L150" s="3" t="s">
        <v>9</v>
      </c>
      <c r="M150" s="3" t="s">
        <v>1336</v>
      </c>
      <c r="N150" s="3" t="s">
        <v>1337</v>
      </c>
      <c r="O150" s="3" t="s">
        <v>1338</v>
      </c>
      <c r="P150" s="3" t="s">
        <v>30</v>
      </c>
    </row>
    <row r="151" customFormat="false" ht="34.5" hidden="false" customHeight="true" outlineLevel="0" collapsed="false">
      <c r="A151" s="3" t="s">
        <v>1339</v>
      </c>
      <c r="B151" s="3" t="s">
        <v>17</v>
      </c>
      <c r="C151" s="3" t="s">
        <v>1039</v>
      </c>
      <c r="D151" s="3" t="s">
        <v>19</v>
      </c>
      <c r="E151" s="3" t="s">
        <v>1322</v>
      </c>
      <c r="F151" s="3" t="s">
        <v>1323</v>
      </c>
      <c r="G151" s="3" t="s">
        <v>1324</v>
      </c>
      <c r="H151" s="3" t="s">
        <v>1340</v>
      </c>
      <c r="I151" s="3" t="s">
        <v>1341</v>
      </c>
      <c r="J151" s="3" t="s">
        <v>1342</v>
      </c>
      <c r="K151" s="3" t="s">
        <v>1343</v>
      </c>
      <c r="L151" s="3" t="s">
        <v>9</v>
      </c>
      <c r="M151" s="3" t="s">
        <v>1344</v>
      </c>
      <c r="N151" s="3" t="s">
        <v>1345</v>
      </c>
      <c r="O151" s="3" t="s">
        <v>112</v>
      </c>
      <c r="P151" s="3" t="s">
        <v>30</v>
      </c>
    </row>
    <row r="152" customFormat="false" ht="34.5" hidden="false" customHeight="true" outlineLevel="0" collapsed="false">
      <c r="A152" s="3" t="s">
        <v>1346</v>
      </c>
      <c r="B152" s="3" t="s">
        <v>17</v>
      </c>
      <c r="C152" s="3" t="s">
        <v>1039</v>
      </c>
      <c r="D152" s="3" t="s">
        <v>19</v>
      </c>
      <c r="E152" s="3" t="s">
        <v>1347</v>
      </c>
      <c r="F152" s="3" t="s">
        <v>1348</v>
      </c>
      <c r="G152" s="3" t="s">
        <v>1349</v>
      </c>
      <c r="H152" s="3" t="s">
        <v>1350</v>
      </c>
      <c r="I152" s="3" t="s">
        <v>1351</v>
      </c>
      <c r="J152" s="3" t="s">
        <v>1352</v>
      </c>
      <c r="K152" s="3" t="s">
        <v>1353</v>
      </c>
      <c r="L152" s="3" t="s">
        <v>8</v>
      </c>
      <c r="M152" s="3" t="s">
        <v>1354</v>
      </c>
      <c r="N152" s="3" t="s">
        <v>1355</v>
      </c>
      <c r="O152" s="3" t="s">
        <v>1356</v>
      </c>
      <c r="P152" s="3" t="s">
        <v>30</v>
      </c>
    </row>
    <row r="153" customFormat="false" ht="34.5" hidden="false" customHeight="true" outlineLevel="0" collapsed="false">
      <c r="A153" s="3" t="s">
        <v>1357</v>
      </c>
      <c r="B153" s="3" t="s">
        <v>17</v>
      </c>
      <c r="C153" s="3" t="s">
        <v>1039</v>
      </c>
      <c r="D153" s="3" t="s">
        <v>19</v>
      </c>
      <c r="E153" s="3" t="s">
        <v>1347</v>
      </c>
      <c r="F153" s="3" t="s">
        <v>1348</v>
      </c>
      <c r="G153" s="3" t="s">
        <v>1349</v>
      </c>
      <c r="H153" s="3" t="s">
        <v>1358</v>
      </c>
      <c r="I153" s="3" t="s">
        <v>1359</v>
      </c>
      <c r="J153" s="3" t="s">
        <v>1360</v>
      </c>
      <c r="K153" s="3" t="s">
        <v>1361</v>
      </c>
      <c r="L153" s="3" t="s">
        <v>9</v>
      </c>
      <c r="M153" s="3" t="s">
        <v>1362</v>
      </c>
      <c r="N153" s="3" t="s">
        <v>1363</v>
      </c>
      <c r="O153" s="3" t="s">
        <v>1364</v>
      </c>
      <c r="P153" s="3" t="s">
        <v>30</v>
      </c>
    </row>
    <row r="154" customFormat="false" ht="34.5" hidden="false" customHeight="true" outlineLevel="0" collapsed="false">
      <c r="A154" s="3" t="s">
        <v>1365</v>
      </c>
      <c r="B154" s="3" t="s">
        <v>17</v>
      </c>
      <c r="C154" s="3" t="s">
        <v>1039</v>
      </c>
      <c r="D154" s="3" t="s">
        <v>19</v>
      </c>
      <c r="E154" s="3" t="s">
        <v>1347</v>
      </c>
      <c r="F154" s="3" t="s">
        <v>1348</v>
      </c>
      <c r="G154" s="3" t="s">
        <v>1349</v>
      </c>
      <c r="H154" s="3" t="s">
        <v>1366</v>
      </c>
      <c r="I154" s="3" t="s">
        <v>1367</v>
      </c>
      <c r="J154" s="3" t="s">
        <v>1368</v>
      </c>
      <c r="K154" s="3" t="s">
        <v>1369</v>
      </c>
      <c r="L154" s="3" t="s">
        <v>9</v>
      </c>
      <c r="M154" s="3" t="s">
        <v>1370</v>
      </c>
      <c r="N154" s="3" t="s">
        <v>1371</v>
      </c>
      <c r="O154" s="3" t="s">
        <v>1372</v>
      </c>
      <c r="P154" s="3" t="s">
        <v>30</v>
      </c>
    </row>
    <row r="155" customFormat="false" ht="23.25" hidden="false" customHeight="true" outlineLevel="0" collapsed="false">
      <c r="A155" s="3" t="s">
        <v>1373</v>
      </c>
      <c r="B155" s="3" t="s">
        <v>17</v>
      </c>
      <c r="C155" s="3" t="s">
        <v>1039</v>
      </c>
      <c r="D155" s="3" t="s">
        <v>75</v>
      </c>
      <c r="E155" s="3" t="s">
        <v>1374</v>
      </c>
      <c r="F155" s="3" t="s">
        <v>1375</v>
      </c>
      <c r="G155" s="3" t="s">
        <v>1376</v>
      </c>
      <c r="H155" s="3" t="s">
        <v>1377</v>
      </c>
      <c r="I155" s="3" t="s">
        <v>1378</v>
      </c>
      <c r="J155" s="3" t="s">
        <v>1379</v>
      </c>
      <c r="K155" s="3" t="s">
        <v>1380</v>
      </c>
      <c r="L155" s="3" t="s">
        <v>8</v>
      </c>
      <c r="M155" s="3" t="s">
        <v>1381</v>
      </c>
      <c r="N155" s="3" t="s">
        <v>1382</v>
      </c>
      <c r="O155" s="3" t="s">
        <v>1383</v>
      </c>
      <c r="P155" s="3" t="s">
        <v>30</v>
      </c>
    </row>
    <row r="156" customFormat="false" ht="34.5" hidden="false" customHeight="true" outlineLevel="0" collapsed="false">
      <c r="A156" s="3" t="s">
        <v>1384</v>
      </c>
      <c r="B156" s="3" t="s">
        <v>17</v>
      </c>
      <c r="C156" s="3" t="s">
        <v>1039</v>
      </c>
      <c r="D156" s="3" t="s">
        <v>75</v>
      </c>
      <c r="E156" s="3" t="s">
        <v>1374</v>
      </c>
      <c r="F156" s="3" t="s">
        <v>1375</v>
      </c>
      <c r="G156" s="3" t="s">
        <v>1376</v>
      </c>
      <c r="H156" s="3" t="s">
        <v>1385</v>
      </c>
      <c r="I156" s="3" t="s">
        <v>1386</v>
      </c>
      <c r="J156" s="3" t="s">
        <v>1387</v>
      </c>
      <c r="K156" s="3" t="s">
        <v>635</v>
      </c>
      <c r="L156" s="3" t="s">
        <v>9</v>
      </c>
      <c r="M156" s="3" t="s">
        <v>1388</v>
      </c>
      <c r="N156" s="3" t="s">
        <v>1389</v>
      </c>
      <c r="O156" s="3" t="s">
        <v>1383</v>
      </c>
      <c r="P156" s="3" t="s">
        <v>30</v>
      </c>
    </row>
    <row r="157" customFormat="false" ht="23.25" hidden="false" customHeight="true" outlineLevel="0" collapsed="false">
      <c r="A157" s="3" t="s">
        <v>1390</v>
      </c>
      <c r="B157" s="3" t="s">
        <v>17</v>
      </c>
      <c r="C157" s="3" t="s">
        <v>1039</v>
      </c>
      <c r="D157" s="3" t="s">
        <v>75</v>
      </c>
      <c r="E157" s="3" t="s">
        <v>1374</v>
      </c>
      <c r="F157" s="3" t="s">
        <v>1375</v>
      </c>
      <c r="G157" s="3" t="s">
        <v>1376</v>
      </c>
      <c r="H157" s="3" t="s">
        <v>1391</v>
      </c>
      <c r="I157" s="3" t="s">
        <v>1392</v>
      </c>
      <c r="J157" s="3" t="s">
        <v>1393</v>
      </c>
      <c r="K157" s="3" t="s">
        <v>1394</v>
      </c>
      <c r="L157" s="3" t="s">
        <v>8</v>
      </c>
      <c r="M157" s="3" t="s">
        <v>1395</v>
      </c>
      <c r="N157" s="3" t="s">
        <v>1396</v>
      </c>
      <c r="O157" s="3" t="s">
        <v>1397</v>
      </c>
      <c r="P157" s="3" t="s">
        <v>30</v>
      </c>
    </row>
    <row r="158" customFormat="false" ht="23.85" hidden="false" customHeight="false" outlineLevel="0" collapsed="false">
      <c r="A158" s="3" t="s">
        <v>1398</v>
      </c>
      <c r="B158" s="3" t="s">
        <v>17</v>
      </c>
      <c r="C158" s="3" t="s">
        <v>18</v>
      </c>
      <c r="D158" s="3" t="s">
        <v>19</v>
      </c>
      <c r="E158" s="3" t="s">
        <v>1399</v>
      </c>
      <c r="F158" s="3" t="s">
        <v>1400</v>
      </c>
      <c r="G158" s="3" t="s">
        <v>1401</v>
      </c>
      <c r="H158" s="3" t="s">
        <v>1402</v>
      </c>
      <c r="I158" s="3" t="s">
        <v>1403</v>
      </c>
      <c r="J158" s="3" t="s">
        <v>1404</v>
      </c>
      <c r="K158" s="3" t="s">
        <v>1405</v>
      </c>
      <c r="L158" s="3" t="s">
        <v>8</v>
      </c>
      <c r="M158" s="3" t="s">
        <v>1406</v>
      </c>
      <c r="N158" s="3" t="s">
        <v>1407</v>
      </c>
      <c r="O158" s="3" t="s">
        <v>1408</v>
      </c>
      <c r="P158" s="3" t="s">
        <v>30</v>
      </c>
    </row>
    <row r="159" customFormat="false" ht="23.85" hidden="false" customHeight="false" outlineLevel="0" collapsed="false">
      <c r="A159" s="3" t="s">
        <v>1409</v>
      </c>
      <c r="B159" s="3" t="s">
        <v>17</v>
      </c>
      <c r="C159" s="3" t="s">
        <v>18</v>
      </c>
      <c r="D159" s="3" t="s">
        <v>19</v>
      </c>
      <c r="E159" s="3" t="s">
        <v>1399</v>
      </c>
      <c r="F159" s="3" t="s">
        <v>1400</v>
      </c>
      <c r="G159" s="3" t="s">
        <v>1401</v>
      </c>
      <c r="H159" s="3" t="s">
        <v>1410</v>
      </c>
      <c r="I159" s="3" t="s">
        <v>1411</v>
      </c>
      <c r="J159" s="3" t="s">
        <v>1412</v>
      </c>
      <c r="K159" s="3" t="s">
        <v>1413</v>
      </c>
      <c r="L159" s="3" t="s">
        <v>8</v>
      </c>
      <c r="M159" s="3" t="s">
        <v>1414</v>
      </c>
      <c r="N159" s="3" t="s">
        <v>1415</v>
      </c>
      <c r="O159" s="3" t="s">
        <v>1416</v>
      </c>
      <c r="P159" s="3" t="s">
        <v>30</v>
      </c>
    </row>
    <row r="160" customFormat="false" ht="23.85" hidden="false" customHeight="false" outlineLevel="0" collapsed="false">
      <c r="A160" s="3" t="s">
        <v>1417</v>
      </c>
      <c r="B160" s="3" t="s">
        <v>17</v>
      </c>
      <c r="C160" s="3" t="s">
        <v>18</v>
      </c>
      <c r="D160" s="3" t="s">
        <v>19</v>
      </c>
      <c r="E160" s="3" t="s">
        <v>1399</v>
      </c>
      <c r="F160" s="3" t="s">
        <v>1400</v>
      </c>
      <c r="G160" s="3" t="s">
        <v>1401</v>
      </c>
      <c r="H160" s="3" t="s">
        <v>1418</v>
      </c>
      <c r="I160" s="3" t="s">
        <v>1419</v>
      </c>
      <c r="J160" s="3" t="s">
        <v>1420</v>
      </c>
      <c r="K160" s="3" t="s">
        <v>1421</v>
      </c>
      <c r="L160" s="3" t="s">
        <v>8</v>
      </c>
      <c r="M160" s="3" t="s">
        <v>1422</v>
      </c>
      <c r="N160" s="3" t="s">
        <v>1423</v>
      </c>
      <c r="O160" s="3" t="s">
        <v>1424</v>
      </c>
      <c r="P160" s="3" t="s">
        <v>30</v>
      </c>
    </row>
    <row r="161" customFormat="false" ht="23.85" hidden="false" customHeight="false" outlineLevel="0" collapsed="false">
      <c r="A161" s="3" t="s">
        <v>1425</v>
      </c>
      <c r="B161" s="3" t="s">
        <v>17</v>
      </c>
      <c r="C161" s="3" t="s">
        <v>18</v>
      </c>
      <c r="D161" s="3" t="s">
        <v>19</v>
      </c>
      <c r="E161" s="3" t="s">
        <v>1426</v>
      </c>
      <c r="F161" s="3" t="s">
        <v>1427</v>
      </c>
      <c r="G161" s="3" t="s">
        <v>1428</v>
      </c>
      <c r="H161" s="3" t="s">
        <v>1429</v>
      </c>
      <c r="I161" s="3" t="s">
        <v>1430</v>
      </c>
      <c r="J161" s="3" t="s">
        <v>1431</v>
      </c>
      <c r="K161" s="3" t="s">
        <v>1432</v>
      </c>
      <c r="L161" s="3" t="s">
        <v>8</v>
      </c>
      <c r="M161" s="3" t="s">
        <v>1433</v>
      </c>
      <c r="N161" s="3" t="s">
        <v>1434</v>
      </c>
      <c r="O161" s="3" t="s">
        <v>650</v>
      </c>
      <c r="P161" s="3" t="s">
        <v>30</v>
      </c>
    </row>
    <row r="162" customFormat="false" ht="23.85" hidden="false" customHeight="false" outlineLevel="0" collapsed="false">
      <c r="A162" s="3" t="s">
        <v>1435</v>
      </c>
      <c r="B162" s="3" t="s">
        <v>17</v>
      </c>
      <c r="C162" s="3" t="s">
        <v>18</v>
      </c>
      <c r="D162" s="3" t="s">
        <v>19</v>
      </c>
      <c r="E162" s="3" t="s">
        <v>1426</v>
      </c>
      <c r="F162" s="3" t="s">
        <v>1427</v>
      </c>
      <c r="G162" s="3" t="s">
        <v>1428</v>
      </c>
      <c r="H162" s="3" t="s">
        <v>1436</v>
      </c>
      <c r="I162" s="3" t="s">
        <v>1437</v>
      </c>
      <c r="J162" s="3" t="s">
        <v>1438</v>
      </c>
      <c r="K162" s="3" t="s">
        <v>1439</v>
      </c>
      <c r="L162" s="3" t="s">
        <v>8</v>
      </c>
      <c r="M162" s="3" t="s">
        <v>1440</v>
      </c>
      <c r="N162" s="3" t="s">
        <v>1441</v>
      </c>
      <c r="O162" s="3" t="s">
        <v>307</v>
      </c>
      <c r="P162" s="3" t="s">
        <v>30</v>
      </c>
    </row>
    <row r="163" customFormat="false" ht="23.85" hidden="false" customHeight="false" outlineLevel="0" collapsed="false">
      <c r="A163" s="3" t="s">
        <v>1442</v>
      </c>
      <c r="B163" s="3" t="s">
        <v>17</v>
      </c>
      <c r="C163" s="3" t="s">
        <v>18</v>
      </c>
      <c r="D163" s="3" t="s">
        <v>19</v>
      </c>
      <c r="E163" s="3" t="s">
        <v>1426</v>
      </c>
      <c r="F163" s="3" t="s">
        <v>1427</v>
      </c>
      <c r="G163" s="3" t="s">
        <v>1428</v>
      </c>
      <c r="H163" s="3" t="s">
        <v>1443</v>
      </c>
      <c r="I163" s="3" t="s">
        <v>1444</v>
      </c>
      <c r="J163" s="3" t="s">
        <v>1445</v>
      </c>
      <c r="K163" s="3" t="s">
        <v>311</v>
      </c>
      <c r="L163" s="3" t="s">
        <v>8</v>
      </c>
      <c r="M163" s="3" t="s">
        <v>1446</v>
      </c>
      <c r="N163" s="3" t="s">
        <v>1447</v>
      </c>
      <c r="O163" s="3" t="s">
        <v>307</v>
      </c>
      <c r="P163" s="3" t="s">
        <v>30</v>
      </c>
    </row>
    <row r="164" customFormat="false" ht="35.05" hidden="false" customHeight="false" outlineLevel="0" collapsed="false">
      <c r="A164" s="3" t="s">
        <v>1448</v>
      </c>
      <c r="B164" s="3" t="s">
        <v>17</v>
      </c>
      <c r="C164" s="3" t="s">
        <v>18</v>
      </c>
      <c r="D164" s="3" t="s">
        <v>1449</v>
      </c>
      <c r="E164" s="3" t="s">
        <v>1450</v>
      </c>
      <c r="F164" s="3" t="s">
        <v>1451</v>
      </c>
      <c r="G164" s="3" t="s">
        <v>1452</v>
      </c>
      <c r="H164" s="3" t="s">
        <v>1453</v>
      </c>
      <c r="I164" s="3" t="s">
        <v>1454</v>
      </c>
      <c r="J164" s="3" t="s">
        <v>1455</v>
      </c>
      <c r="K164" s="3" t="s">
        <v>1456</v>
      </c>
      <c r="L164" s="3" t="s">
        <v>8</v>
      </c>
      <c r="M164" s="3" t="s">
        <v>1457</v>
      </c>
      <c r="N164" s="3" t="s">
        <v>1458</v>
      </c>
      <c r="O164" s="3" t="s">
        <v>1459</v>
      </c>
      <c r="P164" s="3" t="s">
        <v>30</v>
      </c>
    </row>
    <row r="165" customFormat="false" ht="23.85" hidden="false" customHeight="false" outlineLevel="0" collapsed="false">
      <c r="A165" s="3" t="s">
        <v>1460</v>
      </c>
      <c r="B165" s="3" t="s">
        <v>17</v>
      </c>
      <c r="C165" s="3" t="s">
        <v>18</v>
      </c>
      <c r="D165" s="3" t="s">
        <v>1449</v>
      </c>
      <c r="E165" s="3" t="s">
        <v>1450</v>
      </c>
      <c r="F165" s="3" t="s">
        <v>1451</v>
      </c>
      <c r="G165" s="3" t="s">
        <v>1452</v>
      </c>
      <c r="H165" s="3" t="s">
        <v>1461</v>
      </c>
      <c r="I165" s="3" t="s">
        <v>1462</v>
      </c>
      <c r="J165" s="3" t="s">
        <v>1463</v>
      </c>
      <c r="K165" s="3" t="s">
        <v>1464</v>
      </c>
      <c r="L165" s="3" t="s">
        <v>8</v>
      </c>
      <c r="M165" s="3" t="s">
        <v>1465</v>
      </c>
      <c r="N165" s="3" t="s">
        <v>1466</v>
      </c>
      <c r="O165" s="3" t="s">
        <v>1467</v>
      </c>
      <c r="P165" s="3" t="s">
        <v>30</v>
      </c>
    </row>
    <row r="166" customFormat="false" ht="23.85" hidden="false" customHeight="false" outlineLevel="0" collapsed="false">
      <c r="A166" s="3" t="s">
        <v>1468</v>
      </c>
      <c r="B166" s="3" t="s">
        <v>17</v>
      </c>
      <c r="C166" s="3" t="s">
        <v>18</v>
      </c>
      <c r="D166" s="3" t="s">
        <v>1449</v>
      </c>
      <c r="E166" s="3" t="s">
        <v>1450</v>
      </c>
      <c r="F166" s="3" t="s">
        <v>1451</v>
      </c>
      <c r="G166" s="3" t="s">
        <v>1452</v>
      </c>
      <c r="H166" s="3" t="s">
        <v>1469</v>
      </c>
      <c r="I166" s="3" t="s">
        <v>1470</v>
      </c>
      <c r="J166" s="3" t="s">
        <v>1471</v>
      </c>
      <c r="K166" s="3" t="s">
        <v>1472</v>
      </c>
      <c r="L166" s="3" t="s">
        <v>8</v>
      </c>
      <c r="M166" s="3" t="s">
        <v>1473</v>
      </c>
      <c r="N166" s="3" t="s">
        <v>1474</v>
      </c>
      <c r="O166" s="3" t="s">
        <v>307</v>
      </c>
      <c r="P166" s="3" t="s">
        <v>30</v>
      </c>
    </row>
    <row r="167" customFormat="false" ht="23.85" hidden="false" customHeight="false" outlineLevel="0" collapsed="false">
      <c r="A167" s="3" t="s">
        <v>1475</v>
      </c>
      <c r="B167" s="3" t="s">
        <v>17</v>
      </c>
      <c r="C167" s="3" t="s">
        <v>18</v>
      </c>
      <c r="D167" s="3" t="s">
        <v>19</v>
      </c>
      <c r="E167" s="3" t="s">
        <v>1476</v>
      </c>
      <c r="F167" s="3" t="s">
        <v>1477</v>
      </c>
      <c r="G167" s="3" t="s">
        <v>1478</v>
      </c>
      <c r="H167" s="3" t="s">
        <v>1479</v>
      </c>
      <c r="I167" s="3" t="s">
        <v>1480</v>
      </c>
      <c r="J167" s="3" t="s">
        <v>1481</v>
      </c>
      <c r="K167" s="3" t="s">
        <v>1482</v>
      </c>
      <c r="L167" s="3" t="s">
        <v>8</v>
      </c>
      <c r="M167" s="3" t="s">
        <v>1483</v>
      </c>
      <c r="N167" s="3" t="s">
        <v>1484</v>
      </c>
      <c r="O167" s="3" t="s">
        <v>1485</v>
      </c>
      <c r="P167" s="3" t="s">
        <v>30</v>
      </c>
    </row>
    <row r="168" customFormat="false" ht="23.85" hidden="false" customHeight="false" outlineLevel="0" collapsed="false">
      <c r="A168" s="3" t="s">
        <v>1486</v>
      </c>
      <c r="B168" s="3" t="s">
        <v>17</v>
      </c>
      <c r="C168" s="3" t="s">
        <v>18</v>
      </c>
      <c r="D168" s="3" t="s">
        <v>19</v>
      </c>
      <c r="E168" s="3" t="s">
        <v>1476</v>
      </c>
      <c r="F168" s="3" t="s">
        <v>1477</v>
      </c>
      <c r="G168" s="3" t="s">
        <v>1478</v>
      </c>
      <c r="H168" s="3" t="s">
        <v>1487</v>
      </c>
      <c r="I168" s="3" t="s">
        <v>1488</v>
      </c>
      <c r="J168" s="3" t="s">
        <v>1489</v>
      </c>
      <c r="K168" s="3" t="s">
        <v>1490</v>
      </c>
      <c r="L168" s="3" t="s">
        <v>8</v>
      </c>
      <c r="M168" s="3" t="s">
        <v>1491</v>
      </c>
      <c r="N168" s="3" t="s">
        <v>1492</v>
      </c>
      <c r="O168" s="3" t="s">
        <v>1493</v>
      </c>
      <c r="P168" s="3" t="s">
        <v>30</v>
      </c>
    </row>
    <row r="169" customFormat="false" ht="23.85" hidden="false" customHeight="false" outlineLevel="0" collapsed="false">
      <c r="A169" s="3" t="s">
        <v>1494</v>
      </c>
      <c r="B169" s="3" t="s">
        <v>17</v>
      </c>
      <c r="C169" s="3" t="s">
        <v>18</v>
      </c>
      <c r="D169" s="3" t="s">
        <v>19</v>
      </c>
      <c r="E169" s="3" t="s">
        <v>1476</v>
      </c>
      <c r="F169" s="3" t="s">
        <v>1477</v>
      </c>
      <c r="G169" s="3" t="s">
        <v>1478</v>
      </c>
      <c r="H169" s="3" t="s">
        <v>1495</v>
      </c>
      <c r="I169" s="3" t="s">
        <v>1496</v>
      </c>
      <c r="J169" s="3" t="s">
        <v>1497</v>
      </c>
      <c r="K169" s="3" t="s">
        <v>1498</v>
      </c>
      <c r="L169" s="3" t="s">
        <v>8</v>
      </c>
      <c r="M169" s="3" t="s">
        <v>1499</v>
      </c>
      <c r="N169" s="3" t="s">
        <v>1500</v>
      </c>
      <c r="O169" s="3" t="s">
        <v>112</v>
      </c>
      <c r="P169" s="3" t="s">
        <v>30</v>
      </c>
    </row>
    <row r="170" customFormat="false" ht="23.85" hidden="false" customHeight="false" outlineLevel="0" collapsed="false">
      <c r="A170" s="3" t="s">
        <v>1501</v>
      </c>
      <c r="B170" s="3" t="s">
        <v>17</v>
      </c>
      <c r="C170" s="3" t="s">
        <v>18</v>
      </c>
      <c r="D170" s="3" t="s">
        <v>1449</v>
      </c>
      <c r="E170" s="3" t="s">
        <v>1502</v>
      </c>
      <c r="F170" s="3" t="s">
        <v>1503</v>
      </c>
      <c r="G170" s="3" t="s">
        <v>1504</v>
      </c>
      <c r="H170" s="3" t="s">
        <v>1505</v>
      </c>
      <c r="I170" s="3" t="s">
        <v>1506</v>
      </c>
      <c r="J170" s="3" t="s">
        <v>1507</v>
      </c>
      <c r="K170" s="3" t="s">
        <v>1508</v>
      </c>
      <c r="L170" s="3" t="s">
        <v>8</v>
      </c>
      <c r="M170" s="3" t="s">
        <v>1509</v>
      </c>
      <c r="N170" s="3" t="s">
        <v>1510</v>
      </c>
      <c r="O170" s="3" t="s">
        <v>1511</v>
      </c>
      <c r="P170" s="3" t="s">
        <v>30</v>
      </c>
    </row>
    <row r="171" customFormat="false" ht="23.85" hidden="false" customHeight="false" outlineLevel="0" collapsed="false">
      <c r="A171" s="3" t="s">
        <v>1512</v>
      </c>
      <c r="B171" s="3" t="s">
        <v>17</v>
      </c>
      <c r="C171" s="3" t="s">
        <v>18</v>
      </c>
      <c r="D171" s="3" t="s">
        <v>1449</v>
      </c>
      <c r="E171" s="3" t="s">
        <v>1502</v>
      </c>
      <c r="F171" s="3" t="s">
        <v>1503</v>
      </c>
      <c r="G171" s="3" t="s">
        <v>1504</v>
      </c>
      <c r="H171" s="3" t="s">
        <v>1513</v>
      </c>
      <c r="I171" s="3" t="s">
        <v>1514</v>
      </c>
      <c r="J171" s="3" t="s">
        <v>1515</v>
      </c>
      <c r="K171" s="3" t="s">
        <v>1516</v>
      </c>
      <c r="L171" s="3" t="s">
        <v>8</v>
      </c>
      <c r="M171" s="3" t="s">
        <v>1517</v>
      </c>
      <c r="N171" s="3" t="s">
        <v>1518</v>
      </c>
      <c r="O171" s="3" t="s">
        <v>666</v>
      </c>
      <c r="P171" s="3" t="s">
        <v>30</v>
      </c>
    </row>
    <row r="172" customFormat="false" ht="23.85" hidden="false" customHeight="false" outlineLevel="0" collapsed="false">
      <c r="A172" s="3" t="s">
        <v>1519</v>
      </c>
      <c r="B172" s="3" t="s">
        <v>17</v>
      </c>
      <c r="C172" s="3" t="s">
        <v>18</v>
      </c>
      <c r="D172" s="3" t="s">
        <v>1449</v>
      </c>
      <c r="E172" s="3" t="s">
        <v>1502</v>
      </c>
      <c r="F172" s="3" t="s">
        <v>1503</v>
      </c>
      <c r="G172" s="3" t="s">
        <v>1504</v>
      </c>
      <c r="H172" s="3" t="s">
        <v>1520</v>
      </c>
      <c r="I172" s="3" t="s">
        <v>1521</v>
      </c>
      <c r="J172" s="3" t="s">
        <v>1522</v>
      </c>
      <c r="K172" s="3" t="s">
        <v>1523</v>
      </c>
      <c r="L172" s="3" t="s">
        <v>8</v>
      </c>
      <c r="M172" s="3" t="s">
        <v>1524</v>
      </c>
      <c r="N172" s="3" t="s">
        <v>1525</v>
      </c>
      <c r="O172" s="3" t="s">
        <v>666</v>
      </c>
      <c r="P172" s="3" t="s">
        <v>30</v>
      </c>
    </row>
    <row r="173" customFormat="false" ht="23.85" hidden="false" customHeight="false" outlineLevel="0" collapsed="false">
      <c r="A173" s="3" t="s">
        <v>1526</v>
      </c>
      <c r="B173" s="3" t="s">
        <v>17</v>
      </c>
      <c r="C173" s="3" t="s">
        <v>18</v>
      </c>
      <c r="D173" s="3" t="s">
        <v>19</v>
      </c>
      <c r="E173" s="3" t="s">
        <v>1527</v>
      </c>
      <c r="F173" s="3" t="s">
        <v>1528</v>
      </c>
      <c r="G173" s="3" t="s">
        <v>1529</v>
      </c>
      <c r="H173" s="3" t="s">
        <v>1530</v>
      </c>
      <c r="I173" s="3" t="s">
        <v>1531</v>
      </c>
      <c r="J173" s="3" t="s">
        <v>1532</v>
      </c>
      <c r="K173" s="3" t="s">
        <v>1533</v>
      </c>
      <c r="L173" s="3" t="s">
        <v>8</v>
      </c>
      <c r="M173" s="3" t="s">
        <v>1534</v>
      </c>
      <c r="N173" s="3" t="s">
        <v>1535</v>
      </c>
      <c r="O173" s="3" t="s">
        <v>1536</v>
      </c>
      <c r="P173" s="3" t="s">
        <v>30</v>
      </c>
    </row>
    <row r="174" customFormat="false" ht="23.85" hidden="false" customHeight="false" outlineLevel="0" collapsed="false">
      <c r="A174" s="3" t="s">
        <v>1537</v>
      </c>
      <c r="B174" s="3" t="s">
        <v>17</v>
      </c>
      <c r="C174" s="3" t="s">
        <v>18</v>
      </c>
      <c r="D174" s="3" t="s">
        <v>19</v>
      </c>
      <c r="E174" s="3" t="s">
        <v>1527</v>
      </c>
      <c r="F174" s="3" t="s">
        <v>1528</v>
      </c>
      <c r="G174" s="3" t="s">
        <v>1529</v>
      </c>
      <c r="H174" s="3" t="s">
        <v>1538</v>
      </c>
      <c r="I174" s="3" t="s">
        <v>1539</v>
      </c>
      <c r="J174" s="3" t="s">
        <v>1540</v>
      </c>
      <c r="K174" s="3" t="s">
        <v>1541</v>
      </c>
      <c r="L174" s="3" t="s">
        <v>8</v>
      </c>
      <c r="M174" s="3" t="s">
        <v>1542</v>
      </c>
      <c r="N174" s="3" t="s">
        <v>1543</v>
      </c>
      <c r="O174" s="3" t="s">
        <v>1544</v>
      </c>
      <c r="P174" s="3" t="s">
        <v>30</v>
      </c>
    </row>
    <row r="175" customFormat="false" ht="23.85" hidden="false" customHeight="false" outlineLevel="0" collapsed="false">
      <c r="A175" s="3" t="s">
        <v>1545</v>
      </c>
      <c r="B175" s="3" t="s">
        <v>17</v>
      </c>
      <c r="C175" s="3" t="s">
        <v>18</v>
      </c>
      <c r="D175" s="3" t="s">
        <v>19</v>
      </c>
      <c r="E175" s="3" t="s">
        <v>1527</v>
      </c>
      <c r="F175" s="3" t="s">
        <v>1528</v>
      </c>
      <c r="G175" s="3" t="s">
        <v>1529</v>
      </c>
      <c r="H175" s="3" t="s">
        <v>1546</v>
      </c>
      <c r="I175" s="3" t="s">
        <v>1547</v>
      </c>
      <c r="J175" s="3" t="s">
        <v>1548</v>
      </c>
      <c r="K175" s="3" t="s">
        <v>1549</v>
      </c>
      <c r="L175" s="3" t="s">
        <v>8</v>
      </c>
      <c r="M175" s="3" t="s">
        <v>1550</v>
      </c>
      <c r="N175" s="3" t="s">
        <v>1551</v>
      </c>
      <c r="O175" s="3" t="s">
        <v>1552</v>
      </c>
      <c r="P175" s="3" t="s">
        <v>30</v>
      </c>
    </row>
    <row r="176" customFormat="false" ht="23.85" hidden="false" customHeight="false" outlineLevel="0" collapsed="false">
      <c r="A176" s="3" t="s">
        <v>1553</v>
      </c>
      <c r="B176" s="3" t="s">
        <v>17</v>
      </c>
      <c r="C176" s="3" t="s">
        <v>130</v>
      </c>
      <c r="D176" s="3" t="s">
        <v>19</v>
      </c>
      <c r="E176" s="3" t="s">
        <v>1554</v>
      </c>
      <c r="F176" s="3" t="s">
        <v>1555</v>
      </c>
      <c r="G176" s="3" t="s">
        <v>1556</v>
      </c>
      <c r="H176" s="3" t="s">
        <v>1557</v>
      </c>
      <c r="I176" s="3" t="s">
        <v>1558</v>
      </c>
      <c r="J176" s="3" t="s">
        <v>1559</v>
      </c>
      <c r="K176" s="3" t="s">
        <v>1560</v>
      </c>
      <c r="L176" s="3" t="s">
        <v>8</v>
      </c>
      <c r="M176" s="3" t="s">
        <v>1561</v>
      </c>
      <c r="N176" s="3" t="s">
        <v>1562</v>
      </c>
      <c r="O176" s="3" t="s">
        <v>1563</v>
      </c>
      <c r="P176" s="3" t="s">
        <v>30</v>
      </c>
    </row>
    <row r="177" customFormat="false" ht="23.85" hidden="false" customHeight="false" outlineLevel="0" collapsed="false">
      <c r="A177" s="3" t="s">
        <v>1564</v>
      </c>
      <c r="B177" s="3" t="s">
        <v>17</v>
      </c>
      <c r="C177" s="3" t="s">
        <v>130</v>
      </c>
      <c r="D177" s="3" t="s">
        <v>19</v>
      </c>
      <c r="E177" s="3" t="s">
        <v>1554</v>
      </c>
      <c r="F177" s="3" t="s">
        <v>1555</v>
      </c>
      <c r="G177" s="3" t="s">
        <v>1556</v>
      </c>
      <c r="H177" s="3" t="s">
        <v>1565</v>
      </c>
      <c r="I177" s="3" t="s">
        <v>1566</v>
      </c>
      <c r="J177" s="3" t="s">
        <v>1567</v>
      </c>
      <c r="K177" s="3" t="s">
        <v>1568</v>
      </c>
      <c r="L177" s="3" t="s">
        <v>8</v>
      </c>
      <c r="M177" s="3" t="s">
        <v>1569</v>
      </c>
      <c r="N177" s="3" t="s">
        <v>1570</v>
      </c>
      <c r="O177" s="3" t="s">
        <v>156</v>
      </c>
      <c r="P177" s="3" t="s">
        <v>30</v>
      </c>
    </row>
    <row r="178" customFormat="false" ht="23.85" hidden="false" customHeight="false" outlineLevel="0" collapsed="false">
      <c r="A178" s="3" t="s">
        <v>1571</v>
      </c>
      <c r="B178" s="3" t="s">
        <v>17</v>
      </c>
      <c r="C178" s="3" t="s">
        <v>130</v>
      </c>
      <c r="D178" s="3" t="s">
        <v>19</v>
      </c>
      <c r="E178" s="3" t="s">
        <v>1554</v>
      </c>
      <c r="F178" s="3" t="s">
        <v>1555</v>
      </c>
      <c r="G178" s="3" t="s">
        <v>1556</v>
      </c>
      <c r="H178" s="3" t="s">
        <v>1572</v>
      </c>
      <c r="I178" s="3" t="s">
        <v>1573</v>
      </c>
      <c r="J178" s="3" t="s">
        <v>1574</v>
      </c>
      <c r="K178" s="3" t="s">
        <v>1575</v>
      </c>
      <c r="L178" s="3" t="s">
        <v>8</v>
      </c>
      <c r="M178" s="3" t="s">
        <v>1576</v>
      </c>
      <c r="N178" s="3" t="s">
        <v>1577</v>
      </c>
      <c r="O178" s="3" t="s">
        <v>1578</v>
      </c>
      <c r="P178" s="3" t="s">
        <v>30</v>
      </c>
    </row>
    <row r="179" customFormat="false" ht="23.85" hidden="false" customHeight="false" outlineLevel="0" collapsed="false">
      <c r="A179" s="3" t="s">
        <v>1579</v>
      </c>
      <c r="B179" s="3" t="s">
        <v>17</v>
      </c>
      <c r="C179" s="3" t="s">
        <v>130</v>
      </c>
      <c r="D179" s="3" t="s">
        <v>19</v>
      </c>
      <c r="E179" s="3" t="s">
        <v>1580</v>
      </c>
      <c r="F179" s="3" t="s">
        <v>1581</v>
      </c>
      <c r="G179" s="3" t="s">
        <v>1582</v>
      </c>
      <c r="H179" s="3" t="s">
        <v>1583</v>
      </c>
      <c r="I179" s="3" t="s">
        <v>1584</v>
      </c>
      <c r="J179" s="3" t="s">
        <v>1585</v>
      </c>
      <c r="K179" s="3" t="s">
        <v>1586</v>
      </c>
      <c r="L179" s="3" t="s">
        <v>8</v>
      </c>
      <c r="M179" s="3" t="s">
        <v>1587</v>
      </c>
      <c r="N179" s="3" t="s">
        <v>1588</v>
      </c>
      <c r="O179" s="3" t="s">
        <v>1589</v>
      </c>
      <c r="P179" s="3" t="s">
        <v>30</v>
      </c>
    </row>
    <row r="180" customFormat="false" ht="35.05" hidden="false" customHeight="false" outlineLevel="0" collapsed="false">
      <c r="A180" s="3" t="s">
        <v>1590</v>
      </c>
      <c r="B180" s="3" t="s">
        <v>17</v>
      </c>
      <c r="C180" s="3" t="s">
        <v>130</v>
      </c>
      <c r="D180" s="3" t="s">
        <v>19</v>
      </c>
      <c r="E180" s="3" t="s">
        <v>1580</v>
      </c>
      <c r="F180" s="3" t="s">
        <v>1581</v>
      </c>
      <c r="G180" s="3" t="s">
        <v>1582</v>
      </c>
      <c r="H180" s="3" t="s">
        <v>1591</v>
      </c>
      <c r="I180" s="3" t="s">
        <v>1592</v>
      </c>
      <c r="J180" s="3" t="s">
        <v>1593</v>
      </c>
      <c r="K180" s="3" t="s">
        <v>1594</v>
      </c>
      <c r="L180" s="3" t="s">
        <v>8</v>
      </c>
      <c r="M180" s="3" t="s">
        <v>1595</v>
      </c>
      <c r="N180" s="3" t="s">
        <v>1596</v>
      </c>
      <c r="O180" s="3" t="s">
        <v>1597</v>
      </c>
      <c r="P180" s="3" t="s">
        <v>30</v>
      </c>
    </row>
    <row r="181" customFormat="false" ht="23.85" hidden="false" customHeight="false" outlineLevel="0" collapsed="false">
      <c r="A181" s="3" t="s">
        <v>1598</v>
      </c>
      <c r="B181" s="3" t="s">
        <v>17</v>
      </c>
      <c r="C181" s="3" t="s">
        <v>130</v>
      </c>
      <c r="D181" s="3" t="s">
        <v>19</v>
      </c>
      <c r="E181" s="3" t="s">
        <v>1580</v>
      </c>
      <c r="F181" s="3" t="s">
        <v>1581</v>
      </c>
      <c r="G181" s="3" t="s">
        <v>1582</v>
      </c>
      <c r="H181" s="3" t="s">
        <v>1599</v>
      </c>
      <c r="I181" s="3" t="s">
        <v>1600</v>
      </c>
      <c r="J181" s="3" t="s">
        <v>1601</v>
      </c>
      <c r="K181" s="3" t="s">
        <v>1602</v>
      </c>
      <c r="L181" s="3" t="s">
        <v>8</v>
      </c>
      <c r="M181" s="3" t="s">
        <v>1603</v>
      </c>
      <c r="N181" s="3" t="s">
        <v>1604</v>
      </c>
      <c r="O181" s="3" t="s">
        <v>728</v>
      </c>
      <c r="P181" s="3" t="s">
        <v>30</v>
      </c>
    </row>
    <row r="182" customFormat="false" ht="23.85" hidden="false" customHeight="false" outlineLevel="0" collapsed="false">
      <c r="A182" s="3" t="s">
        <v>1605</v>
      </c>
      <c r="B182" s="3" t="s">
        <v>17</v>
      </c>
      <c r="C182" s="3" t="s">
        <v>130</v>
      </c>
      <c r="D182" s="3" t="s">
        <v>1449</v>
      </c>
      <c r="E182" s="3" t="s">
        <v>1606</v>
      </c>
      <c r="F182" s="3" t="s">
        <v>1607</v>
      </c>
      <c r="G182" s="3" t="s">
        <v>1608</v>
      </c>
      <c r="H182" s="3" t="s">
        <v>1609</v>
      </c>
      <c r="I182" s="3" t="s">
        <v>1610</v>
      </c>
      <c r="J182" s="3" t="s">
        <v>1611</v>
      </c>
      <c r="K182" s="3" t="s">
        <v>1612</v>
      </c>
      <c r="L182" s="3" t="s">
        <v>8</v>
      </c>
      <c r="M182" s="3" t="s">
        <v>1613</v>
      </c>
      <c r="N182" s="3" t="s">
        <v>1614</v>
      </c>
      <c r="O182" s="3" t="s">
        <v>1615</v>
      </c>
      <c r="P182" s="3" t="s">
        <v>30</v>
      </c>
    </row>
    <row r="183" customFormat="false" ht="23.85" hidden="false" customHeight="false" outlineLevel="0" collapsed="false">
      <c r="A183" s="3" t="s">
        <v>1616</v>
      </c>
      <c r="B183" s="3" t="s">
        <v>17</v>
      </c>
      <c r="C183" s="3" t="s">
        <v>130</v>
      </c>
      <c r="D183" s="3" t="s">
        <v>1449</v>
      </c>
      <c r="E183" s="3" t="s">
        <v>1606</v>
      </c>
      <c r="F183" s="3" t="s">
        <v>1607</v>
      </c>
      <c r="G183" s="3" t="s">
        <v>1608</v>
      </c>
      <c r="H183" s="3" t="s">
        <v>1617</v>
      </c>
      <c r="I183" s="3" t="s">
        <v>1618</v>
      </c>
      <c r="J183" s="3" t="s">
        <v>1619</v>
      </c>
      <c r="K183" s="3" t="s">
        <v>1620</v>
      </c>
      <c r="L183" s="3" t="s">
        <v>8</v>
      </c>
      <c r="M183" s="3" t="s">
        <v>1621</v>
      </c>
      <c r="N183" s="3" t="s">
        <v>1622</v>
      </c>
      <c r="O183" s="3" t="s">
        <v>1623</v>
      </c>
      <c r="P183" s="3" t="s">
        <v>30</v>
      </c>
    </row>
    <row r="184" customFormat="false" ht="23.85" hidden="false" customHeight="false" outlineLevel="0" collapsed="false">
      <c r="A184" s="3" t="s">
        <v>1624</v>
      </c>
      <c r="B184" s="3" t="s">
        <v>17</v>
      </c>
      <c r="C184" s="3" t="s">
        <v>130</v>
      </c>
      <c r="D184" s="3" t="s">
        <v>1449</v>
      </c>
      <c r="E184" s="3" t="s">
        <v>1606</v>
      </c>
      <c r="F184" s="3" t="s">
        <v>1607</v>
      </c>
      <c r="G184" s="3" t="s">
        <v>1608</v>
      </c>
      <c r="H184" s="3" t="s">
        <v>1625</v>
      </c>
      <c r="I184" s="3" t="s">
        <v>1626</v>
      </c>
      <c r="J184" s="3" t="s">
        <v>1627</v>
      </c>
      <c r="K184" s="3" t="s">
        <v>1628</v>
      </c>
      <c r="L184" s="3" t="s">
        <v>8</v>
      </c>
      <c r="M184" s="3" t="s">
        <v>1629</v>
      </c>
      <c r="N184" s="3" t="s">
        <v>1630</v>
      </c>
      <c r="O184" s="3" t="s">
        <v>1631</v>
      </c>
      <c r="P184" s="3" t="s">
        <v>30</v>
      </c>
    </row>
    <row r="185" customFormat="false" ht="23.85" hidden="false" customHeight="false" outlineLevel="0" collapsed="false">
      <c r="A185" s="3" t="s">
        <v>1632</v>
      </c>
      <c r="B185" s="3" t="s">
        <v>17</v>
      </c>
      <c r="C185" s="3" t="s">
        <v>130</v>
      </c>
      <c r="D185" s="3" t="s">
        <v>19</v>
      </c>
      <c r="E185" s="3" t="s">
        <v>1633</v>
      </c>
      <c r="F185" s="3" t="s">
        <v>1634</v>
      </c>
      <c r="G185" s="3" t="s">
        <v>1635</v>
      </c>
      <c r="H185" s="3" t="s">
        <v>1636</v>
      </c>
      <c r="I185" s="3" t="s">
        <v>1637</v>
      </c>
      <c r="J185" s="3" t="s">
        <v>1638</v>
      </c>
      <c r="K185" s="3" t="s">
        <v>1639</v>
      </c>
      <c r="L185" s="3" t="s">
        <v>8</v>
      </c>
      <c r="M185" s="3" t="s">
        <v>1640</v>
      </c>
      <c r="N185" s="3" t="s">
        <v>1641</v>
      </c>
      <c r="O185" s="3" t="s">
        <v>194</v>
      </c>
      <c r="P185" s="3" t="s">
        <v>30</v>
      </c>
    </row>
    <row r="186" customFormat="false" ht="23.85" hidden="false" customHeight="false" outlineLevel="0" collapsed="false">
      <c r="A186" s="3" t="s">
        <v>1642</v>
      </c>
      <c r="B186" s="3" t="s">
        <v>17</v>
      </c>
      <c r="C186" s="3" t="s">
        <v>130</v>
      </c>
      <c r="D186" s="3" t="s">
        <v>19</v>
      </c>
      <c r="E186" s="3" t="s">
        <v>1633</v>
      </c>
      <c r="F186" s="3" t="s">
        <v>1634</v>
      </c>
      <c r="G186" s="3" t="s">
        <v>1635</v>
      </c>
      <c r="H186" s="3" t="s">
        <v>1643</v>
      </c>
      <c r="I186" s="3" t="s">
        <v>1644</v>
      </c>
      <c r="J186" s="3" t="s">
        <v>1645</v>
      </c>
      <c r="K186" s="3" t="s">
        <v>1646</v>
      </c>
      <c r="L186" s="3" t="s">
        <v>8</v>
      </c>
      <c r="M186" s="3" t="s">
        <v>1647</v>
      </c>
      <c r="N186" s="3" t="s">
        <v>1648</v>
      </c>
      <c r="O186" s="3" t="s">
        <v>194</v>
      </c>
      <c r="P186" s="3" t="s">
        <v>30</v>
      </c>
    </row>
    <row r="187" customFormat="false" ht="23.85" hidden="false" customHeight="false" outlineLevel="0" collapsed="false">
      <c r="A187" s="3" t="s">
        <v>1649</v>
      </c>
      <c r="B187" s="3" t="s">
        <v>17</v>
      </c>
      <c r="C187" s="3" t="s">
        <v>130</v>
      </c>
      <c r="D187" s="3" t="s">
        <v>19</v>
      </c>
      <c r="E187" s="3" t="s">
        <v>1633</v>
      </c>
      <c r="F187" s="3" t="s">
        <v>1634</v>
      </c>
      <c r="G187" s="3" t="s">
        <v>1635</v>
      </c>
      <c r="H187" s="3" t="s">
        <v>1650</v>
      </c>
      <c r="I187" s="3" t="s">
        <v>1651</v>
      </c>
      <c r="J187" s="3" t="s">
        <v>1652</v>
      </c>
      <c r="K187" s="3" t="s">
        <v>1653</v>
      </c>
      <c r="L187" s="3" t="s">
        <v>8</v>
      </c>
      <c r="M187" s="3" t="s">
        <v>1654</v>
      </c>
      <c r="N187" s="3" t="s">
        <v>1655</v>
      </c>
      <c r="O187" s="3" t="s">
        <v>1656</v>
      </c>
      <c r="P187" s="3" t="s">
        <v>30</v>
      </c>
    </row>
    <row r="188" customFormat="false" ht="23.85" hidden="false" customHeight="false" outlineLevel="0" collapsed="false">
      <c r="A188" s="3" t="s">
        <v>1657</v>
      </c>
      <c r="B188" s="3" t="s">
        <v>17</v>
      </c>
      <c r="C188" s="3" t="s">
        <v>130</v>
      </c>
      <c r="D188" s="3" t="s">
        <v>19</v>
      </c>
      <c r="E188" s="3" t="s">
        <v>1658</v>
      </c>
      <c r="F188" s="3" t="s">
        <v>1659</v>
      </c>
      <c r="G188" s="3" t="s">
        <v>1660</v>
      </c>
      <c r="H188" s="3" t="s">
        <v>1661</v>
      </c>
      <c r="I188" s="3" t="s">
        <v>1662</v>
      </c>
      <c r="J188" s="3" t="s">
        <v>1663</v>
      </c>
      <c r="K188" s="3" t="s">
        <v>1664</v>
      </c>
      <c r="L188" s="3" t="s">
        <v>8</v>
      </c>
      <c r="M188" s="3" t="s">
        <v>1665</v>
      </c>
      <c r="N188" s="3" t="s">
        <v>1666</v>
      </c>
      <c r="O188" s="3" t="s">
        <v>1667</v>
      </c>
      <c r="P188" s="3" t="s">
        <v>30</v>
      </c>
    </row>
    <row r="189" customFormat="false" ht="23.85" hidden="false" customHeight="false" outlineLevel="0" collapsed="false">
      <c r="A189" s="3" t="s">
        <v>1668</v>
      </c>
      <c r="B189" s="3" t="s">
        <v>17</v>
      </c>
      <c r="C189" s="3" t="s">
        <v>130</v>
      </c>
      <c r="D189" s="3" t="s">
        <v>19</v>
      </c>
      <c r="E189" s="3" t="s">
        <v>1658</v>
      </c>
      <c r="F189" s="3" t="s">
        <v>1659</v>
      </c>
      <c r="G189" s="3" t="s">
        <v>1660</v>
      </c>
      <c r="H189" s="3" t="s">
        <v>1669</v>
      </c>
      <c r="I189" s="3" t="s">
        <v>1670</v>
      </c>
      <c r="J189" s="3" t="s">
        <v>1671</v>
      </c>
      <c r="K189" s="3" t="s">
        <v>1672</v>
      </c>
      <c r="L189" s="3" t="s">
        <v>8</v>
      </c>
      <c r="M189" s="3" t="s">
        <v>1673</v>
      </c>
      <c r="N189" s="3" t="s">
        <v>1674</v>
      </c>
      <c r="O189" s="3" t="s">
        <v>140</v>
      </c>
      <c r="P189" s="3" t="s">
        <v>30</v>
      </c>
    </row>
    <row r="190" customFormat="false" ht="23.85" hidden="false" customHeight="false" outlineLevel="0" collapsed="false">
      <c r="A190" s="3" t="s">
        <v>1675</v>
      </c>
      <c r="B190" s="3" t="s">
        <v>17</v>
      </c>
      <c r="C190" s="3" t="s">
        <v>130</v>
      </c>
      <c r="D190" s="3" t="s">
        <v>19</v>
      </c>
      <c r="E190" s="3" t="s">
        <v>1658</v>
      </c>
      <c r="F190" s="3" t="s">
        <v>1659</v>
      </c>
      <c r="G190" s="3" t="s">
        <v>1660</v>
      </c>
      <c r="H190" s="3" t="s">
        <v>1676</v>
      </c>
      <c r="I190" s="3" t="s">
        <v>1677</v>
      </c>
      <c r="J190" s="3" t="s">
        <v>1678</v>
      </c>
      <c r="K190" s="3" t="s">
        <v>1679</v>
      </c>
      <c r="L190" s="3" t="s">
        <v>8</v>
      </c>
      <c r="M190" s="3" t="s">
        <v>1680</v>
      </c>
      <c r="N190" s="3" t="s">
        <v>1681</v>
      </c>
      <c r="O190" s="3" t="s">
        <v>140</v>
      </c>
      <c r="P190" s="3" t="s">
        <v>30</v>
      </c>
    </row>
    <row r="191" customFormat="false" ht="23.85" hidden="false" customHeight="false" outlineLevel="0" collapsed="false">
      <c r="A191" s="3" t="s">
        <v>1682</v>
      </c>
      <c r="B191" s="3" t="s">
        <v>17</v>
      </c>
      <c r="C191" s="3" t="s">
        <v>238</v>
      </c>
      <c r="D191" s="3" t="s">
        <v>19</v>
      </c>
      <c r="E191" s="3" t="s">
        <v>1683</v>
      </c>
      <c r="F191" s="3" t="s">
        <v>1684</v>
      </c>
      <c r="G191" s="3" t="s">
        <v>1685</v>
      </c>
      <c r="H191" s="3" t="s">
        <v>1686</v>
      </c>
      <c r="I191" s="3" t="s">
        <v>1687</v>
      </c>
      <c r="J191" s="3" t="s">
        <v>1688</v>
      </c>
      <c r="K191" s="3" t="s">
        <v>1689</v>
      </c>
      <c r="L191" s="3" t="s">
        <v>8</v>
      </c>
      <c r="M191" s="3" t="s">
        <v>1690</v>
      </c>
      <c r="N191" s="3" t="s">
        <v>1691</v>
      </c>
      <c r="O191" s="3" t="s">
        <v>256</v>
      </c>
      <c r="P191" s="3" t="s">
        <v>30</v>
      </c>
    </row>
    <row r="192" customFormat="false" ht="23.85" hidden="false" customHeight="false" outlineLevel="0" collapsed="false">
      <c r="A192" s="3" t="s">
        <v>1692</v>
      </c>
      <c r="B192" s="3" t="s">
        <v>17</v>
      </c>
      <c r="C192" s="3" t="s">
        <v>238</v>
      </c>
      <c r="D192" s="3" t="s">
        <v>19</v>
      </c>
      <c r="E192" s="3" t="s">
        <v>1683</v>
      </c>
      <c r="F192" s="3" t="s">
        <v>1684</v>
      </c>
      <c r="G192" s="3" t="s">
        <v>1685</v>
      </c>
      <c r="H192" s="3" t="s">
        <v>1693</v>
      </c>
      <c r="I192" s="3" t="s">
        <v>1694</v>
      </c>
      <c r="J192" s="3" t="s">
        <v>1695</v>
      </c>
      <c r="K192" s="3" t="s">
        <v>1696</v>
      </c>
      <c r="L192" s="3" t="s">
        <v>8</v>
      </c>
      <c r="M192" s="3" t="s">
        <v>1697</v>
      </c>
      <c r="N192" s="3" t="s">
        <v>1698</v>
      </c>
      <c r="O192" s="3" t="s">
        <v>256</v>
      </c>
      <c r="P192" s="3" t="s">
        <v>30</v>
      </c>
    </row>
    <row r="193" customFormat="false" ht="23.85" hidden="false" customHeight="false" outlineLevel="0" collapsed="false">
      <c r="A193" s="3" t="s">
        <v>1699</v>
      </c>
      <c r="B193" s="3" t="s">
        <v>17</v>
      </c>
      <c r="C193" s="3" t="s">
        <v>238</v>
      </c>
      <c r="D193" s="3" t="s">
        <v>19</v>
      </c>
      <c r="E193" s="3" t="s">
        <v>1683</v>
      </c>
      <c r="F193" s="3" t="s">
        <v>1684</v>
      </c>
      <c r="G193" s="3" t="s">
        <v>1685</v>
      </c>
      <c r="H193" s="3" t="s">
        <v>1700</v>
      </c>
      <c r="I193" s="3" t="s">
        <v>1701</v>
      </c>
      <c r="J193" s="3" t="s">
        <v>1702</v>
      </c>
      <c r="K193" s="3" t="s">
        <v>1703</v>
      </c>
      <c r="L193" s="3" t="s">
        <v>8</v>
      </c>
      <c r="M193" s="3" t="s">
        <v>1704</v>
      </c>
      <c r="N193" s="3" t="s">
        <v>1705</v>
      </c>
      <c r="O193" s="3" t="s">
        <v>256</v>
      </c>
      <c r="P193" s="3" t="s">
        <v>30</v>
      </c>
    </row>
    <row r="194" customFormat="false" ht="23.85" hidden="false" customHeight="false" outlineLevel="0" collapsed="false">
      <c r="A194" s="3" t="s">
        <v>1706</v>
      </c>
      <c r="B194" s="3" t="s">
        <v>17</v>
      </c>
      <c r="C194" s="3" t="s">
        <v>238</v>
      </c>
      <c r="D194" s="3" t="s">
        <v>19</v>
      </c>
      <c r="E194" s="3" t="s">
        <v>1707</v>
      </c>
      <c r="F194" s="3" t="s">
        <v>1708</v>
      </c>
      <c r="G194" s="3" t="s">
        <v>1709</v>
      </c>
      <c r="H194" s="3" t="s">
        <v>1710</v>
      </c>
      <c r="I194" s="3" t="s">
        <v>1711</v>
      </c>
      <c r="J194" s="3" t="s">
        <v>1712</v>
      </c>
      <c r="K194" s="3" t="s">
        <v>1713</v>
      </c>
      <c r="L194" s="3" t="s">
        <v>8</v>
      </c>
      <c r="M194" s="3" t="s">
        <v>1714</v>
      </c>
      <c r="N194" s="3" t="s">
        <v>1715</v>
      </c>
      <c r="O194" s="3" t="s">
        <v>256</v>
      </c>
      <c r="P194" s="3" t="s">
        <v>30</v>
      </c>
    </row>
    <row r="195" customFormat="false" ht="23.85" hidden="false" customHeight="false" outlineLevel="0" collapsed="false">
      <c r="A195" s="3" t="s">
        <v>1716</v>
      </c>
      <c r="B195" s="3" t="s">
        <v>17</v>
      </c>
      <c r="C195" s="3" t="s">
        <v>238</v>
      </c>
      <c r="D195" s="3" t="s">
        <v>19</v>
      </c>
      <c r="E195" s="3" t="s">
        <v>1707</v>
      </c>
      <c r="F195" s="3" t="s">
        <v>1708</v>
      </c>
      <c r="G195" s="3" t="s">
        <v>1709</v>
      </c>
      <c r="H195" s="3" t="s">
        <v>1717</v>
      </c>
      <c r="I195" s="3" t="s">
        <v>1718</v>
      </c>
      <c r="J195" s="3" t="s">
        <v>1719</v>
      </c>
      <c r="K195" s="3" t="s">
        <v>1720</v>
      </c>
      <c r="L195" s="3" t="s">
        <v>8</v>
      </c>
      <c r="M195" s="3" t="s">
        <v>1721</v>
      </c>
      <c r="N195" s="3" t="s">
        <v>1722</v>
      </c>
      <c r="O195" s="3" t="s">
        <v>1723</v>
      </c>
      <c r="P195" s="3" t="s">
        <v>30</v>
      </c>
    </row>
    <row r="196" customFormat="false" ht="23.85" hidden="false" customHeight="false" outlineLevel="0" collapsed="false">
      <c r="A196" s="3" t="s">
        <v>1724</v>
      </c>
      <c r="B196" s="3" t="s">
        <v>17</v>
      </c>
      <c r="C196" s="3" t="s">
        <v>238</v>
      </c>
      <c r="D196" s="3" t="s">
        <v>19</v>
      </c>
      <c r="E196" s="3" t="s">
        <v>1707</v>
      </c>
      <c r="F196" s="3" t="s">
        <v>1708</v>
      </c>
      <c r="G196" s="3" t="s">
        <v>1709</v>
      </c>
      <c r="H196" s="3" t="s">
        <v>1725</v>
      </c>
      <c r="I196" s="3" t="s">
        <v>1726</v>
      </c>
      <c r="J196" s="3" t="s">
        <v>1727</v>
      </c>
      <c r="K196" s="3" t="s">
        <v>1728</v>
      </c>
      <c r="L196" s="3" t="s">
        <v>8</v>
      </c>
      <c r="M196" s="3" t="s">
        <v>1729</v>
      </c>
      <c r="N196" s="3" t="s">
        <v>1730</v>
      </c>
      <c r="O196" s="3" t="s">
        <v>256</v>
      </c>
      <c r="P196" s="3" t="s">
        <v>30</v>
      </c>
    </row>
    <row r="197" customFormat="false" ht="23.85" hidden="false" customHeight="false" outlineLevel="0" collapsed="false">
      <c r="A197" s="3" t="s">
        <v>1731</v>
      </c>
      <c r="B197" s="3" t="s">
        <v>17</v>
      </c>
      <c r="C197" s="3" t="s">
        <v>238</v>
      </c>
      <c r="D197" s="3" t="s">
        <v>1449</v>
      </c>
      <c r="E197" s="3" t="s">
        <v>1732</v>
      </c>
      <c r="F197" s="3" t="s">
        <v>1733</v>
      </c>
      <c r="G197" s="3" t="s">
        <v>1734</v>
      </c>
      <c r="H197" s="3" t="s">
        <v>1735</v>
      </c>
      <c r="I197" s="3" t="s">
        <v>1736</v>
      </c>
      <c r="J197" s="3" t="s">
        <v>1737</v>
      </c>
      <c r="K197" s="3" t="s">
        <v>1738</v>
      </c>
      <c r="L197" s="3" t="s">
        <v>8</v>
      </c>
      <c r="M197" s="3" t="s">
        <v>1739</v>
      </c>
      <c r="N197" s="3" t="s">
        <v>1740</v>
      </c>
      <c r="O197" s="3" t="s">
        <v>1741</v>
      </c>
      <c r="P197" s="3" t="s">
        <v>30</v>
      </c>
    </row>
    <row r="198" customFormat="false" ht="23.85" hidden="false" customHeight="false" outlineLevel="0" collapsed="false">
      <c r="A198" s="3" t="s">
        <v>1742</v>
      </c>
      <c r="B198" s="3" t="s">
        <v>17</v>
      </c>
      <c r="C198" s="3" t="s">
        <v>238</v>
      </c>
      <c r="D198" s="3" t="s">
        <v>1449</v>
      </c>
      <c r="E198" s="3" t="s">
        <v>1732</v>
      </c>
      <c r="F198" s="3" t="s">
        <v>1733</v>
      </c>
      <c r="G198" s="3" t="s">
        <v>1734</v>
      </c>
      <c r="H198" s="3" t="s">
        <v>1743</v>
      </c>
      <c r="I198" s="3" t="s">
        <v>1744</v>
      </c>
      <c r="J198" s="3" t="s">
        <v>1745</v>
      </c>
      <c r="K198" s="3" t="s">
        <v>1746</v>
      </c>
      <c r="L198" s="3" t="s">
        <v>8</v>
      </c>
      <c r="M198" s="3" t="s">
        <v>1747</v>
      </c>
      <c r="N198" s="3" t="s">
        <v>1748</v>
      </c>
      <c r="O198" s="3" t="s">
        <v>256</v>
      </c>
      <c r="P198" s="3" t="s">
        <v>30</v>
      </c>
    </row>
    <row r="199" customFormat="false" ht="23.85" hidden="false" customHeight="false" outlineLevel="0" collapsed="false">
      <c r="A199" s="3" t="s">
        <v>1749</v>
      </c>
      <c r="B199" s="3" t="s">
        <v>17</v>
      </c>
      <c r="C199" s="3" t="s">
        <v>238</v>
      </c>
      <c r="D199" s="3" t="s">
        <v>1449</v>
      </c>
      <c r="E199" s="3" t="s">
        <v>1732</v>
      </c>
      <c r="F199" s="3" t="s">
        <v>1733</v>
      </c>
      <c r="G199" s="3" t="s">
        <v>1734</v>
      </c>
      <c r="H199" s="3" t="s">
        <v>1750</v>
      </c>
      <c r="I199" s="3" t="s">
        <v>1751</v>
      </c>
      <c r="J199" s="3" t="s">
        <v>1752</v>
      </c>
      <c r="K199" s="3" t="s">
        <v>1753</v>
      </c>
      <c r="L199" s="3" t="s">
        <v>8</v>
      </c>
      <c r="M199" s="3" t="s">
        <v>1754</v>
      </c>
      <c r="N199" s="3" t="s">
        <v>1755</v>
      </c>
      <c r="O199" s="3" t="s">
        <v>256</v>
      </c>
      <c r="P199" s="3" t="s">
        <v>30</v>
      </c>
    </row>
    <row r="200" customFormat="false" ht="23.85" hidden="false" customHeight="false" outlineLevel="0" collapsed="false">
      <c r="A200" s="3" t="s">
        <v>1756</v>
      </c>
      <c r="B200" s="3" t="s">
        <v>17</v>
      </c>
      <c r="C200" s="3" t="s">
        <v>238</v>
      </c>
      <c r="D200" s="3" t="s">
        <v>19</v>
      </c>
      <c r="E200" s="3" t="s">
        <v>1757</v>
      </c>
      <c r="F200" s="3" t="s">
        <v>1758</v>
      </c>
      <c r="G200" s="3" t="s">
        <v>1759</v>
      </c>
      <c r="H200" s="3" t="s">
        <v>1760</v>
      </c>
      <c r="I200" s="3" t="s">
        <v>1761</v>
      </c>
      <c r="J200" s="3" t="s">
        <v>1762</v>
      </c>
      <c r="K200" s="3" t="s">
        <v>1763</v>
      </c>
      <c r="L200" s="3" t="s">
        <v>8</v>
      </c>
      <c r="M200" s="3" t="s">
        <v>1764</v>
      </c>
      <c r="N200" s="3" t="s">
        <v>1765</v>
      </c>
      <c r="O200" s="3" t="s">
        <v>307</v>
      </c>
      <c r="P200" s="3" t="s">
        <v>30</v>
      </c>
    </row>
    <row r="201" customFormat="false" ht="23.85" hidden="false" customHeight="false" outlineLevel="0" collapsed="false">
      <c r="A201" s="3" t="s">
        <v>1766</v>
      </c>
      <c r="B201" s="3" t="s">
        <v>17</v>
      </c>
      <c r="C201" s="3" t="s">
        <v>238</v>
      </c>
      <c r="D201" s="3" t="s">
        <v>19</v>
      </c>
      <c r="E201" s="3" t="s">
        <v>1757</v>
      </c>
      <c r="F201" s="3" t="s">
        <v>1758</v>
      </c>
      <c r="G201" s="3" t="s">
        <v>1759</v>
      </c>
      <c r="H201" s="3" t="s">
        <v>1767</v>
      </c>
      <c r="I201" s="3" t="s">
        <v>1768</v>
      </c>
      <c r="J201" s="3" t="s">
        <v>1769</v>
      </c>
      <c r="K201" s="3" t="s">
        <v>1770</v>
      </c>
      <c r="L201" s="3" t="s">
        <v>8</v>
      </c>
      <c r="M201" s="3" t="s">
        <v>1771</v>
      </c>
      <c r="N201" s="3" t="s">
        <v>1772</v>
      </c>
      <c r="O201" s="3" t="s">
        <v>307</v>
      </c>
      <c r="P201" s="3" t="s">
        <v>30</v>
      </c>
    </row>
    <row r="202" customFormat="false" ht="23.85" hidden="false" customHeight="false" outlineLevel="0" collapsed="false">
      <c r="A202" s="3" t="s">
        <v>1773</v>
      </c>
      <c r="B202" s="3" t="s">
        <v>17</v>
      </c>
      <c r="C202" s="3" t="s">
        <v>238</v>
      </c>
      <c r="D202" s="3" t="s">
        <v>19</v>
      </c>
      <c r="E202" s="3" t="s">
        <v>1757</v>
      </c>
      <c r="F202" s="3" t="s">
        <v>1758</v>
      </c>
      <c r="G202" s="3" t="s">
        <v>1759</v>
      </c>
      <c r="H202" s="3" t="s">
        <v>1774</v>
      </c>
      <c r="I202" s="3" t="s">
        <v>1775</v>
      </c>
      <c r="J202" s="3" t="s">
        <v>1776</v>
      </c>
      <c r="K202" s="3" t="s">
        <v>1777</v>
      </c>
      <c r="L202" s="3" t="s">
        <v>10</v>
      </c>
      <c r="M202" s="3" t="s">
        <v>1778</v>
      </c>
      <c r="N202" s="3" t="s">
        <v>1779</v>
      </c>
      <c r="O202" s="3" t="s">
        <v>307</v>
      </c>
      <c r="P202" s="3" t="s">
        <v>30</v>
      </c>
    </row>
    <row r="203" customFormat="false" ht="23.85" hidden="false" customHeight="false" outlineLevel="0" collapsed="false">
      <c r="A203" s="3" t="s">
        <v>1780</v>
      </c>
      <c r="B203" s="3" t="s">
        <v>17</v>
      </c>
      <c r="C203" s="3" t="s">
        <v>238</v>
      </c>
      <c r="D203" s="3" t="s">
        <v>19</v>
      </c>
      <c r="E203" s="3" t="s">
        <v>1781</v>
      </c>
      <c r="F203" s="3" t="s">
        <v>1782</v>
      </c>
      <c r="G203" s="3" t="s">
        <v>1783</v>
      </c>
      <c r="H203" s="3" t="s">
        <v>1784</v>
      </c>
      <c r="I203" s="3" t="s">
        <v>1785</v>
      </c>
      <c r="J203" s="3" t="s">
        <v>1786</v>
      </c>
      <c r="K203" s="3" t="s">
        <v>1787</v>
      </c>
      <c r="L203" s="3" t="s">
        <v>8</v>
      </c>
      <c r="M203" s="3" t="s">
        <v>1788</v>
      </c>
      <c r="N203" s="3" t="s">
        <v>1789</v>
      </c>
      <c r="O203" s="3" t="s">
        <v>1790</v>
      </c>
      <c r="P203" s="3" t="s">
        <v>30</v>
      </c>
    </row>
    <row r="204" customFormat="false" ht="23.85" hidden="false" customHeight="false" outlineLevel="0" collapsed="false">
      <c r="A204" s="3" t="s">
        <v>1791</v>
      </c>
      <c r="B204" s="3" t="s">
        <v>17</v>
      </c>
      <c r="C204" s="3" t="s">
        <v>238</v>
      </c>
      <c r="D204" s="3" t="s">
        <v>19</v>
      </c>
      <c r="E204" s="3" t="s">
        <v>1781</v>
      </c>
      <c r="F204" s="3" t="s">
        <v>1782</v>
      </c>
      <c r="G204" s="3" t="s">
        <v>1783</v>
      </c>
      <c r="H204" s="3" t="s">
        <v>1792</v>
      </c>
      <c r="I204" s="3" t="s">
        <v>1793</v>
      </c>
      <c r="J204" s="3" t="s">
        <v>1794</v>
      </c>
      <c r="K204" s="3" t="s">
        <v>1795</v>
      </c>
      <c r="L204" s="3" t="s">
        <v>8</v>
      </c>
      <c r="M204" s="3" t="s">
        <v>1796</v>
      </c>
      <c r="N204" s="3" t="s">
        <v>1797</v>
      </c>
      <c r="O204" s="3" t="s">
        <v>440</v>
      </c>
      <c r="P204" s="3" t="s">
        <v>30</v>
      </c>
    </row>
    <row r="205" customFormat="false" ht="23.85" hidden="false" customHeight="false" outlineLevel="0" collapsed="false">
      <c r="A205" s="3" t="s">
        <v>1798</v>
      </c>
      <c r="B205" s="3" t="s">
        <v>17</v>
      </c>
      <c r="C205" s="3" t="s">
        <v>238</v>
      </c>
      <c r="D205" s="3" t="s">
        <v>19</v>
      </c>
      <c r="E205" s="3" t="s">
        <v>1781</v>
      </c>
      <c r="F205" s="3" t="s">
        <v>1782</v>
      </c>
      <c r="G205" s="3" t="s">
        <v>1783</v>
      </c>
      <c r="H205" s="3" t="s">
        <v>1799</v>
      </c>
      <c r="I205" s="3" t="s">
        <v>1800</v>
      </c>
      <c r="J205" s="3" t="s">
        <v>1801</v>
      </c>
      <c r="K205" s="3" t="s">
        <v>1802</v>
      </c>
      <c r="L205" s="3" t="s">
        <v>8</v>
      </c>
      <c r="M205" s="3" t="s">
        <v>1803</v>
      </c>
      <c r="N205" s="3" t="s">
        <v>1804</v>
      </c>
      <c r="O205" s="3" t="s">
        <v>1805</v>
      </c>
      <c r="P205" s="3" t="s">
        <v>30</v>
      </c>
    </row>
    <row r="206" customFormat="false" ht="23.85" hidden="false" customHeight="false" outlineLevel="0" collapsed="false">
      <c r="A206" s="3" t="s">
        <v>1806</v>
      </c>
      <c r="B206" s="3" t="s">
        <v>17</v>
      </c>
      <c r="C206" s="3" t="s">
        <v>238</v>
      </c>
      <c r="D206" s="3" t="s">
        <v>1449</v>
      </c>
      <c r="E206" s="3" t="s">
        <v>1807</v>
      </c>
      <c r="F206" s="3" t="s">
        <v>1808</v>
      </c>
      <c r="G206" s="3" t="s">
        <v>1809</v>
      </c>
      <c r="H206" s="3" t="s">
        <v>1810</v>
      </c>
      <c r="I206" s="3" t="s">
        <v>1811</v>
      </c>
      <c r="J206" s="3" t="s">
        <v>1812</v>
      </c>
      <c r="K206" s="3" t="s">
        <v>1813</v>
      </c>
      <c r="L206" s="3" t="s">
        <v>8</v>
      </c>
      <c r="M206" s="3" t="s">
        <v>1814</v>
      </c>
      <c r="N206" s="3" t="s">
        <v>1815</v>
      </c>
      <c r="O206" s="3" t="s">
        <v>315</v>
      </c>
      <c r="P206" s="3" t="s">
        <v>30</v>
      </c>
    </row>
    <row r="207" customFormat="false" ht="23.85" hidden="false" customHeight="false" outlineLevel="0" collapsed="false">
      <c r="A207" s="3" t="s">
        <v>1816</v>
      </c>
      <c r="B207" s="3" t="s">
        <v>17</v>
      </c>
      <c r="C207" s="3" t="s">
        <v>238</v>
      </c>
      <c r="D207" s="3" t="s">
        <v>1449</v>
      </c>
      <c r="E207" s="3" t="s">
        <v>1807</v>
      </c>
      <c r="F207" s="3" t="s">
        <v>1808</v>
      </c>
      <c r="G207" s="3" t="s">
        <v>1809</v>
      </c>
      <c r="H207" s="3" t="s">
        <v>1817</v>
      </c>
      <c r="I207" s="3" t="s">
        <v>1818</v>
      </c>
      <c r="J207" s="3" t="s">
        <v>1819</v>
      </c>
      <c r="K207" s="3" t="s">
        <v>1820</v>
      </c>
      <c r="L207" s="3" t="s">
        <v>8</v>
      </c>
      <c r="M207" s="3" t="s">
        <v>1821</v>
      </c>
      <c r="N207" s="3" t="s">
        <v>1822</v>
      </c>
      <c r="O207" s="3" t="s">
        <v>315</v>
      </c>
      <c r="P207" s="3" t="s">
        <v>30</v>
      </c>
    </row>
    <row r="208" customFormat="false" ht="23.85" hidden="false" customHeight="false" outlineLevel="0" collapsed="false">
      <c r="A208" s="3" t="s">
        <v>1823</v>
      </c>
      <c r="B208" s="3" t="s">
        <v>17</v>
      </c>
      <c r="C208" s="3" t="s">
        <v>238</v>
      </c>
      <c r="D208" s="3" t="s">
        <v>1449</v>
      </c>
      <c r="E208" s="3" t="s">
        <v>1807</v>
      </c>
      <c r="F208" s="3" t="s">
        <v>1808</v>
      </c>
      <c r="G208" s="3" t="s">
        <v>1809</v>
      </c>
      <c r="H208" s="3" t="s">
        <v>1824</v>
      </c>
      <c r="I208" s="3" t="s">
        <v>1825</v>
      </c>
      <c r="J208" s="3" t="s">
        <v>1826</v>
      </c>
      <c r="K208" s="3" t="s">
        <v>1827</v>
      </c>
      <c r="L208" s="3" t="s">
        <v>8</v>
      </c>
      <c r="M208" s="3" t="s">
        <v>1828</v>
      </c>
      <c r="N208" s="3" t="s">
        <v>1829</v>
      </c>
      <c r="O208" s="3" t="s">
        <v>315</v>
      </c>
      <c r="P208" s="3" t="s">
        <v>30</v>
      </c>
    </row>
    <row r="209" customFormat="false" ht="23.85" hidden="false" customHeight="false" outlineLevel="0" collapsed="false">
      <c r="A209" s="3" t="s">
        <v>1830</v>
      </c>
      <c r="B209" s="3" t="s">
        <v>17</v>
      </c>
      <c r="C209" s="3" t="s">
        <v>343</v>
      </c>
      <c r="D209" s="3" t="s">
        <v>19</v>
      </c>
      <c r="E209" s="3" t="s">
        <v>1831</v>
      </c>
      <c r="F209" s="3" t="s">
        <v>1832</v>
      </c>
      <c r="G209" s="3" t="s">
        <v>1833</v>
      </c>
      <c r="H209" s="3" t="s">
        <v>1834</v>
      </c>
      <c r="I209" s="3" t="s">
        <v>1835</v>
      </c>
      <c r="J209" s="3" t="s">
        <v>1836</v>
      </c>
      <c r="K209" s="3" t="s">
        <v>1837</v>
      </c>
      <c r="L209" s="3" t="s">
        <v>8</v>
      </c>
      <c r="M209" s="3" t="s">
        <v>1838</v>
      </c>
      <c r="N209" s="3" t="s">
        <v>1839</v>
      </c>
      <c r="O209" s="3" t="s">
        <v>361</v>
      </c>
      <c r="P209" s="3" t="s">
        <v>30</v>
      </c>
    </row>
    <row r="210" customFormat="false" ht="23.85" hidden="false" customHeight="false" outlineLevel="0" collapsed="false">
      <c r="A210" s="3" t="s">
        <v>1840</v>
      </c>
      <c r="B210" s="3" t="s">
        <v>17</v>
      </c>
      <c r="C210" s="3" t="s">
        <v>343</v>
      </c>
      <c r="D210" s="3" t="s">
        <v>19</v>
      </c>
      <c r="E210" s="3" t="s">
        <v>1831</v>
      </c>
      <c r="F210" s="3" t="s">
        <v>1832</v>
      </c>
      <c r="G210" s="3" t="s">
        <v>1833</v>
      </c>
      <c r="H210" s="3" t="s">
        <v>1841</v>
      </c>
      <c r="I210" s="3" t="s">
        <v>1842</v>
      </c>
      <c r="J210" s="3" t="s">
        <v>1843</v>
      </c>
      <c r="K210" s="3" t="s">
        <v>1844</v>
      </c>
      <c r="L210" s="3" t="s">
        <v>8</v>
      </c>
      <c r="M210" s="3" t="s">
        <v>1845</v>
      </c>
      <c r="N210" s="3" t="s">
        <v>1846</v>
      </c>
      <c r="O210" s="3" t="s">
        <v>1847</v>
      </c>
      <c r="P210" s="3" t="s">
        <v>30</v>
      </c>
    </row>
    <row r="211" customFormat="false" ht="23.85" hidden="false" customHeight="false" outlineLevel="0" collapsed="false">
      <c r="A211" s="3" t="s">
        <v>1848</v>
      </c>
      <c r="B211" s="3" t="s">
        <v>17</v>
      </c>
      <c r="C211" s="3" t="s">
        <v>343</v>
      </c>
      <c r="D211" s="3" t="s">
        <v>19</v>
      </c>
      <c r="E211" s="3" t="s">
        <v>1831</v>
      </c>
      <c r="F211" s="3" t="s">
        <v>1832</v>
      </c>
      <c r="G211" s="3" t="s">
        <v>1833</v>
      </c>
      <c r="H211" s="3" t="s">
        <v>1849</v>
      </c>
      <c r="I211" s="3" t="s">
        <v>1850</v>
      </c>
      <c r="J211" s="3" t="s">
        <v>1851</v>
      </c>
      <c r="K211" s="3" t="s">
        <v>1852</v>
      </c>
      <c r="L211" s="3" t="s">
        <v>8</v>
      </c>
      <c r="M211" s="3" t="s">
        <v>1853</v>
      </c>
      <c r="N211" s="3" t="s">
        <v>1854</v>
      </c>
      <c r="O211" s="3" t="s">
        <v>1855</v>
      </c>
      <c r="P211" s="3" t="s">
        <v>30</v>
      </c>
    </row>
    <row r="212" customFormat="false" ht="23.85" hidden="false" customHeight="false" outlineLevel="0" collapsed="false">
      <c r="A212" s="3" t="s">
        <v>1856</v>
      </c>
      <c r="B212" s="3" t="s">
        <v>17</v>
      </c>
      <c r="C212" s="3" t="s">
        <v>343</v>
      </c>
      <c r="D212" s="3" t="s">
        <v>19</v>
      </c>
      <c r="E212" s="3" t="s">
        <v>1857</v>
      </c>
      <c r="F212" s="3" t="s">
        <v>1858</v>
      </c>
      <c r="G212" s="3" t="s">
        <v>1859</v>
      </c>
      <c r="H212" s="3" t="s">
        <v>1860</v>
      </c>
      <c r="I212" s="3" t="s">
        <v>1861</v>
      </c>
      <c r="J212" s="3" t="s">
        <v>1862</v>
      </c>
      <c r="K212" s="3" t="s">
        <v>1863</v>
      </c>
      <c r="L212" s="3" t="s">
        <v>8</v>
      </c>
      <c r="M212" s="3" t="s">
        <v>1864</v>
      </c>
      <c r="N212" s="3" t="s">
        <v>1865</v>
      </c>
      <c r="O212" s="3" t="s">
        <v>1866</v>
      </c>
      <c r="P212" s="3" t="s">
        <v>30</v>
      </c>
    </row>
    <row r="213" customFormat="false" ht="23.85" hidden="false" customHeight="false" outlineLevel="0" collapsed="false">
      <c r="A213" s="3" t="s">
        <v>1867</v>
      </c>
      <c r="B213" s="3" t="s">
        <v>17</v>
      </c>
      <c r="C213" s="3" t="s">
        <v>343</v>
      </c>
      <c r="D213" s="3" t="s">
        <v>19</v>
      </c>
      <c r="E213" s="3" t="s">
        <v>1857</v>
      </c>
      <c r="F213" s="3" t="s">
        <v>1858</v>
      </c>
      <c r="G213" s="3" t="s">
        <v>1859</v>
      </c>
      <c r="H213" s="3" t="s">
        <v>1868</v>
      </c>
      <c r="I213" s="3" t="s">
        <v>1869</v>
      </c>
      <c r="J213" s="3" t="s">
        <v>1870</v>
      </c>
      <c r="K213" s="3" t="s">
        <v>1871</v>
      </c>
      <c r="L213" s="3" t="s">
        <v>8</v>
      </c>
      <c r="M213" s="3" t="s">
        <v>1872</v>
      </c>
      <c r="N213" s="3" t="s">
        <v>1873</v>
      </c>
      <c r="O213" s="3" t="s">
        <v>1847</v>
      </c>
      <c r="P213" s="3" t="s">
        <v>30</v>
      </c>
    </row>
    <row r="214" customFormat="false" ht="23.85" hidden="false" customHeight="false" outlineLevel="0" collapsed="false">
      <c r="A214" s="3" t="s">
        <v>1874</v>
      </c>
      <c r="B214" s="3" t="s">
        <v>17</v>
      </c>
      <c r="C214" s="3" t="s">
        <v>343</v>
      </c>
      <c r="D214" s="3" t="s">
        <v>19</v>
      </c>
      <c r="E214" s="3" t="s">
        <v>1857</v>
      </c>
      <c r="F214" s="3" t="s">
        <v>1858</v>
      </c>
      <c r="G214" s="3" t="s">
        <v>1859</v>
      </c>
      <c r="H214" s="3" t="s">
        <v>1875</v>
      </c>
      <c r="I214" s="3" t="s">
        <v>1876</v>
      </c>
      <c r="J214" s="3" t="s">
        <v>1877</v>
      </c>
      <c r="K214" s="3" t="s">
        <v>1878</v>
      </c>
      <c r="L214" s="3" t="s">
        <v>8</v>
      </c>
      <c r="M214" s="3" t="s">
        <v>1879</v>
      </c>
      <c r="N214" s="3" t="s">
        <v>1880</v>
      </c>
      <c r="O214" s="3" t="s">
        <v>1847</v>
      </c>
      <c r="P214" s="3" t="s">
        <v>30</v>
      </c>
    </row>
    <row r="215" customFormat="false" ht="23.85" hidden="false" customHeight="false" outlineLevel="0" collapsed="false">
      <c r="A215" s="3" t="s">
        <v>1881</v>
      </c>
      <c r="B215" s="3" t="s">
        <v>17</v>
      </c>
      <c r="C215" s="3" t="s">
        <v>343</v>
      </c>
      <c r="D215" s="3" t="s">
        <v>1449</v>
      </c>
      <c r="E215" s="3" t="s">
        <v>1882</v>
      </c>
      <c r="F215" s="3" t="s">
        <v>1883</v>
      </c>
      <c r="G215" s="3" t="s">
        <v>1884</v>
      </c>
      <c r="H215" s="3" t="s">
        <v>1885</v>
      </c>
      <c r="I215" s="3" t="s">
        <v>1886</v>
      </c>
      <c r="J215" s="3" t="s">
        <v>1887</v>
      </c>
      <c r="K215" s="3" t="s">
        <v>1888</v>
      </c>
      <c r="L215" s="3" t="s">
        <v>8</v>
      </c>
      <c r="M215" s="3" t="s">
        <v>1889</v>
      </c>
      <c r="N215" s="3" t="s">
        <v>1890</v>
      </c>
      <c r="O215" s="3" t="s">
        <v>1891</v>
      </c>
      <c r="P215" s="3" t="s">
        <v>30</v>
      </c>
    </row>
    <row r="216" customFormat="false" ht="23.85" hidden="false" customHeight="false" outlineLevel="0" collapsed="false">
      <c r="A216" s="3" t="s">
        <v>1892</v>
      </c>
      <c r="B216" s="3" t="s">
        <v>17</v>
      </c>
      <c r="C216" s="3" t="s">
        <v>343</v>
      </c>
      <c r="D216" s="3" t="s">
        <v>1449</v>
      </c>
      <c r="E216" s="3" t="s">
        <v>1882</v>
      </c>
      <c r="F216" s="3" t="s">
        <v>1883</v>
      </c>
      <c r="G216" s="3" t="s">
        <v>1884</v>
      </c>
      <c r="H216" s="3" t="s">
        <v>1893</v>
      </c>
      <c r="I216" s="3" t="s">
        <v>1894</v>
      </c>
      <c r="J216" s="3" t="s">
        <v>1895</v>
      </c>
      <c r="K216" s="3" t="s">
        <v>1896</v>
      </c>
      <c r="L216" s="3" t="s">
        <v>8</v>
      </c>
      <c r="M216" s="3" t="s">
        <v>1897</v>
      </c>
      <c r="N216" s="3" t="s">
        <v>1898</v>
      </c>
      <c r="O216" s="3" t="s">
        <v>1899</v>
      </c>
      <c r="P216" s="3" t="s">
        <v>30</v>
      </c>
    </row>
    <row r="217" customFormat="false" ht="23.85" hidden="false" customHeight="false" outlineLevel="0" collapsed="false">
      <c r="A217" s="3" t="s">
        <v>1900</v>
      </c>
      <c r="B217" s="3" t="s">
        <v>17</v>
      </c>
      <c r="C217" s="3" t="s">
        <v>343</v>
      </c>
      <c r="D217" s="3" t="s">
        <v>1449</v>
      </c>
      <c r="E217" s="3" t="s">
        <v>1882</v>
      </c>
      <c r="F217" s="3" t="s">
        <v>1883</v>
      </c>
      <c r="G217" s="3" t="s">
        <v>1884</v>
      </c>
      <c r="H217" s="3" t="s">
        <v>1901</v>
      </c>
      <c r="I217" s="3" t="s">
        <v>1902</v>
      </c>
      <c r="J217" s="3" t="s">
        <v>1903</v>
      </c>
      <c r="K217" s="3" t="s">
        <v>1904</v>
      </c>
      <c r="L217" s="3" t="s">
        <v>8</v>
      </c>
      <c r="M217" s="3" t="s">
        <v>1905</v>
      </c>
      <c r="N217" s="3" t="s">
        <v>1906</v>
      </c>
      <c r="O217" s="3" t="s">
        <v>1907</v>
      </c>
      <c r="P217" s="3" t="s">
        <v>30</v>
      </c>
    </row>
    <row r="218" customFormat="false" ht="23.85" hidden="false" customHeight="false" outlineLevel="0" collapsed="false">
      <c r="A218" s="3" t="s">
        <v>1908</v>
      </c>
      <c r="B218" s="3" t="s">
        <v>17</v>
      </c>
      <c r="C218" s="3" t="s">
        <v>343</v>
      </c>
      <c r="D218" s="3" t="s">
        <v>19</v>
      </c>
      <c r="E218" s="3" t="s">
        <v>1909</v>
      </c>
      <c r="F218" s="3" t="s">
        <v>1910</v>
      </c>
      <c r="G218" s="3" t="s">
        <v>1911</v>
      </c>
      <c r="H218" s="3" t="s">
        <v>1912</v>
      </c>
      <c r="I218" s="3" t="s">
        <v>1913</v>
      </c>
      <c r="J218" s="3" t="s">
        <v>1914</v>
      </c>
      <c r="K218" s="3" t="s">
        <v>1915</v>
      </c>
      <c r="L218" s="3" t="s">
        <v>8</v>
      </c>
      <c r="M218" s="3" t="s">
        <v>1916</v>
      </c>
      <c r="N218" s="3" t="s">
        <v>1917</v>
      </c>
      <c r="O218" s="3" t="s">
        <v>361</v>
      </c>
      <c r="P218" s="3" t="s">
        <v>30</v>
      </c>
    </row>
    <row r="219" customFormat="false" ht="23.85" hidden="false" customHeight="false" outlineLevel="0" collapsed="false">
      <c r="A219" s="3" t="s">
        <v>1918</v>
      </c>
      <c r="B219" s="3" t="s">
        <v>17</v>
      </c>
      <c r="C219" s="3" t="s">
        <v>343</v>
      </c>
      <c r="D219" s="3" t="s">
        <v>19</v>
      </c>
      <c r="E219" s="3" t="s">
        <v>1909</v>
      </c>
      <c r="F219" s="3" t="s">
        <v>1910</v>
      </c>
      <c r="G219" s="3" t="s">
        <v>1911</v>
      </c>
      <c r="H219" s="3" t="s">
        <v>1919</v>
      </c>
      <c r="I219" s="3" t="s">
        <v>1920</v>
      </c>
      <c r="J219" s="3" t="s">
        <v>1921</v>
      </c>
      <c r="K219" s="3" t="s">
        <v>1922</v>
      </c>
      <c r="L219" s="3" t="s">
        <v>8</v>
      </c>
      <c r="M219" s="3" t="s">
        <v>1923</v>
      </c>
      <c r="N219" s="3" t="s">
        <v>1924</v>
      </c>
      <c r="O219" s="3" t="s">
        <v>1925</v>
      </c>
      <c r="P219" s="3" t="s">
        <v>30</v>
      </c>
    </row>
    <row r="220" customFormat="false" ht="23.85" hidden="false" customHeight="false" outlineLevel="0" collapsed="false">
      <c r="A220" s="3" t="s">
        <v>1926</v>
      </c>
      <c r="B220" s="3" t="s">
        <v>17</v>
      </c>
      <c r="C220" s="3" t="s">
        <v>343</v>
      </c>
      <c r="D220" s="3" t="s">
        <v>19</v>
      </c>
      <c r="E220" s="3" t="s">
        <v>1909</v>
      </c>
      <c r="F220" s="3" t="s">
        <v>1910</v>
      </c>
      <c r="G220" s="3" t="s">
        <v>1911</v>
      </c>
      <c r="H220" s="3" t="s">
        <v>1927</v>
      </c>
      <c r="I220" s="3" t="s">
        <v>1928</v>
      </c>
      <c r="J220" s="3" t="s">
        <v>1929</v>
      </c>
      <c r="K220" s="3" t="s">
        <v>1930</v>
      </c>
      <c r="L220" s="3" t="s">
        <v>8</v>
      </c>
      <c r="M220" s="3" t="s">
        <v>1931</v>
      </c>
      <c r="N220" s="3" t="s">
        <v>1932</v>
      </c>
      <c r="O220" s="3" t="s">
        <v>448</v>
      </c>
      <c r="P220" s="3" t="s">
        <v>30</v>
      </c>
    </row>
    <row r="221" customFormat="false" ht="23.85" hidden="false" customHeight="false" outlineLevel="0" collapsed="false">
      <c r="A221" s="3" t="s">
        <v>1933</v>
      </c>
      <c r="B221" s="3" t="s">
        <v>17</v>
      </c>
      <c r="C221" s="3" t="s">
        <v>343</v>
      </c>
      <c r="D221" s="3" t="s">
        <v>19</v>
      </c>
      <c r="E221" s="3" t="s">
        <v>1934</v>
      </c>
      <c r="F221" s="3" t="s">
        <v>1935</v>
      </c>
      <c r="G221" s="3" t="s">
        <v>1936</v>
      </c>
      <c r="H221" s="3" t="s">
        <v>1937</v>
      </c>
      <c r="I221" s="3" t="s">
        <v>1938</v>
      </c>
      <c r="J221" s="3" t="s">
        <v>1939</v>
      </c>
      <c r="K221" s="3" t="s">
        <v>1940</v>
      </c>
      <c r="L221" s="3" t="s">
        <v>8</v>
      </c>
      <c r="M221" s="3" t="s">
        <v>1941</v>
      </c>
      <c r="N221" s="3" t="s">
        <v>1942</v>
      </c>
      <c r="O221" s="3" t="s">
        <v>1943</v>
      </c>
      <c r="P221" s="3" t="s">
        <v>30</v>
      </c>
    </row>
    <row r="222" customFormat="false" ht="23.85" hidden="false" customHeight="false" outlineLevel="0" collapsed="false">
      <c r="A222" s="3" t="s">
        <v>1944</v>
      </c>
      <c r="B222" s="3" t="s">
        <v>17</v>
      </c>
      <c r="C222" s="3" t="s">
        <v>343</v>
      </c>
      <c r="D222" s="3" t="s">
        <v>19</v>
      </c>
      <c r="E222" s="3" t="s">
        <v>1934</v>
      </c>
      <c r="F222" s="3" t="s">
        <v>1935</v>
      </c>
      <c r="G222" s="3" t="s">
        <v>1936</v>
      </c>
      <c r="H222" s="3" t="s">
        <v>1945</v>
      </c>
      <c r="I222" s="3" t="s">
        <v>1946</v>
      </c>
      <c r="J222" s="3" t="s">
        <v>1947</v>
      </c>
      <c r="K222" s="3" t="s">
        <v>1948</v>
      </c>
      <c r="L222" s="3" t="s">
        <v>8</v>
      </c>
      <c r="M222" s="3" t="s">
        <v>1949</v>
      </c>
      <c r="N222" s="3" t="s">
        <v>1950</v>
      </c>
      <c r="O222" s="3" t="s">
        <v>1951</v>
      </c>
      <c r="P222" s="3" t="s">
        <v>30</v>
      </c>
    </row>
    <row r="223" customFormat="false" ht="23.85" hidden="false" customHeight="false" outlineLevel="0" collapsed="false">
      <c r="A223" s="3" t="s">
        <v>1952</v>
      </c>
      <c r="B223" s="3" t="s">
        <v>17</v>
      </c>
      <c r="C223" s="3" t="s">
        <v>343</v>
      </c>
      <c r="D223" s="3" t="s">
        <v>19</v>
      </c>
      <c r="E223" s="3" t="s">
        <v>1934</v>
      </c>
      <c r="F223" s="3" t="s">
        <v>1935</v>
      </c>
      <c r="G223" s="3" t="s">
        <v>1936</v>
      </c>
      <c r="H223" s="3" t="s">
        <v>1953</v>
      </c>
      <c r="I223" s="3" t="s">
        <v>1954</v>
      </c>
      <c r="J223" s="3" t="s">
        <v>1955</v>
      </c>
      <c r="K223" s="3" t="s">
        <v>1956</v>
      </c>
      <c r="L223" s="3" t="s">
        <v>8</v>
      </c>
      <c r="M223" s="3" t="s">
        <v>1957</v>
      </c>
      <c r="N223" s="3" t="s">
        <v>1958</v>
      </c>
      <c r="O223" s="3" t="s">
        <v>1951</v>
      </c>
      <c r="P223" s="3" t="s">
        <v>30</v>
      </c>
    </row>
    <row r="224" customFormat="false" ht="23.85" hidden="false" customHeight="false" outlineLevel="0" collapsed="false">
      <c r="A224" s="3" t="s">
        <v>1959</v>
      </c>
      <c r="B224" s="3" t="s">
        <v>17</v>
      </c>
      <c r="C224" s="3" t="s">
        <v>343</v>
      </c>
      <c r="D224" s="3" t="s">
        <v>1449</v>
      </c>
      <c r="E224" s="3" t="s">
        <v>1960</v>
      </c>
      <c r="F224" s="3" t="s">
        <v>1961</v>
      </c>
      <c r="G224" s="3" t="s">
        <v>1962</v>
      </c>
      <c r="H224" s="3" t="s">
        <v>1963</v>
      </c>
      <c r="I224" s="3" t="s">
        <v>1964</v>
      </c>
      <c r="J224" s="3" t="s">
        <v>1965</v>
      </c>
      <c r="K224" s="3" t="s">
        <v>1966</v>
      </c>
      <c r="L224" s="3" t="s">
        <v>8</v>
      </c>
      <c r="M224" s="3" t="s">
        <v>1967</v>
      </c>
      <c r="N224" s="3" t="s">
        <v>1968</v>
      </c>
      <c r="O224" s="3" t="s">
        <v>1969</v>
      </c>
      <c r="P224" s="3" t="s">
        <v>30</v>
      </c>
    </row>
    <row r="225" customFormat="false" ht="23.85" hidden="false" customHeight="false" outlineLevel="0" collapsed="false">
      <c r="A225" s="3" t="s">
        <v>1970</v>
      </c>
      <c r="B225" s="3" t="s">
        <v>17</v>
      </c>
      <c r="C225" s="3" t="s">
        <v>343</v>
      </c>
      <c r="D225" s="3" t="s">
        <v>1449</v>
      </c>
      <c r="E225" s="3" t="s">
        <v>1960</v>
      </c>
      <c r="F225" s="3" t="s">
        <v>1961</v>
      </c>
      <c r="G225" s="3" t="s">
        <v>1962</v>
      </c>
      <c r="H225" s="3" t="s">
        <v>1971</v>
      </c>
      <c r="I225" s="3" t="s">
        <v>1972</v>
      </c>
      <c r="J225" s="3" t="s">
        <v>1973</v>
      </c>
      <c r="K225" s="3" t="s">
        <v>1974</v>
      </c>
      <c r="L225" s="3" t="s">
        <v>8</v>
      </c>
      <c r="M225" s="3" t="s">
        <v>1975</v>
      </c>
      <c r="N225" s="3" t="s">
        <v>1976</v>
      </c>
      <c r="O225" s="3" t="s">
        <v>1969</v>
      </c>
      <c r="P225" s="3" t="s">
        <v>30</v>
      </c>
    </row>
    <row r="226" customFormat="false" ht="23.85" hidden="false" customHeight="false" outlineLevel="0" collapsed="false">
      <c r="A226" s="3" t="s">
        <v>1977</v>
      </c>
      <c r="B226" s="3" t="s">
        <v>17</v>
      </c>
      <c r="C226" s="3" t="s">
        <v>343</v>
      </c>
      <c r="D226" s="3" t="s">
        <v>1449</v>
      </c>
      <c r="E226" s="3" t="s">
        <v>1960</v>
      </c>
      <c r="F226" s="3" t="s">
        <v>1961</v>
      </c>
      <c r="G226" s="3" t="s">
        <v>1962</v>
      </c>
      <c r="H226" s="3" t="s">
        <v>1978</v>
      </c>
      <c r="I226" s="3" t="s">
        <v>1979</v>
      </c>
      <c r="J226" s="3" t="s">
        <v>1980</v>
      </c>
      <c r="K226" s="3" t="s">
        <v>1981</v>
      </c>
      <c r="L226" s="3" t="s">
        <v>8</v>
      </c>
      <c r="M226" s="3" t="s">
        <v>1982</v>
      </c>
      <c r="N226" s="3" t="s">
        <v>1983</v>
      </c>
      <c r="O226" s="3" t="s">
        <v>1984</v>
      </c>
      <c r="P226" s="3" t="s">
        <v>30</v>
      </c>
    </row>
    <row r="227" customFormat="false" ht="23.85" hidden="false" customHeight="false" outlineLevel="0" collapsed="false">
      <c r="A227" s="3" t="s">
        <v>1985</v>
      </c>
      <c r="B227" s="3" t="s">
        <v>17</v>
      </c>
      <c r="C227" s="3" t="s">
        <v>450</v>
      </c>
      <c r="D227" s="3" t="s">
        <v>19</v>
      </c>
      <c r="E227" s="3" t="s">
        <v>1986</v>
      </c>
      <c r="F227" s="3" t="s">
        <v>1987</v>
      </c>
      <c r="G227" s="3" t="s">
        <v>1988</v>
      </c>
      <c r="H227" s="3" t="s">
        <v>1989</v>
      </c>
      <c r="I227" s="3" t="s">
        <v>1990</v>
      </c>
      <c r="J227" s="3" t="s">
        <v>1991</v>
      </c>
      <c r="K227" s="3" t="s">
        <v>1992</v>
      </c>
      <c r="L227" s="3" t="s">
        <v>8</v>
      </c>
      <c r="M227" s="3" t="s">
        <v>1993</v>
      </c>
      <c r="N227" s="3" t="s">
        <v>1994</v>
      </c>
      <c r="O227" s="3" t="s">
        <v>476</v>
      </c>
      <c r="P227" s="3" t="s">
        <v>30</v>
      </c>
    </row>
    <row r="228" customFormat="false" ht="23.85" hidden="false" customHeight="false" outlineLevel="0" collapsed="false">
      <c r="A228" s="3" t="s">
        <v>1995</v>
      </c>
      <c r="B228" s="3" t="s">
        <v>17</v>
      </c>
      <c r="C228" s="3" t="s">
        <v>450</v>
      </c>
      <c r="D228" s="3" t="s">
        <v>19</v>
      </c>
      <c r="E228" s="3" t="s">
        <v>1986</v>
      </c>
      <c r="F228" s="3" t="s">
        <v>1987</v>
      </c>
      <c r="G228" s="3" t="s">
        <v>1988</v>
      </c>
      <c r="H228" s="3" t="s">
        <v>1996</v>
      </c>
      <c r="I228" s="3" t="s">
        <v>1997</v>
      </c>
      <c r="J228" s="3" t="s">
        <v>1998</v>
      </c>
      <c r="K228" s="3" t="s">
        <v>1999</v>
      </c>
      <c r="L228" s="3" t="s">
        <v>8</v>
      </c>
      <c r="M228" s="3" t="s">
        <v>2000</v>
      </c>
      <c r="N228" s="3" t="s">
        <v>2001</v>
      </c>
      <c r="O228" s="3" t="s">
        <v>2002</v>
      </c>
      <c r="P228" s="3" t="s">
        <v>30</v>
      </c>
    </row>
    <row r="229" customFormat="false" ht="23.85" hidden="false" customHeight="false" outlineLevel="0" collapsed="false">
      <c r="A229" s="3" t="s">
        <v>2003</v>
      </c>
      <c r="B229" s="3" t="s">
        <v>17</v>
      </c>
      <c r="C229" s="3" t="s">
        <v>450</v>
      </c>
      <c r="D229" s="3" t="s">
        <v>19</v>
      </c>
      <c r="E229" s="3" t="s">
        <v>1986</v>
      </c>
      <c r="F229" s="3" t="s">
        <v>1987</v>
      </c>
      <c r="G229" s="3" t="s">
        <v>1988</v>
      </c>
      <c r="H229" s="3" t="s">
        <v>2004</v>
      </c>
      <c r="I229" s="3" t="s">
        <v>2005</v>
      </c>
      <c r="J229" s="3" t="s">
        <v>2006</v>
      </c>
      <c r="K229" s="3" t="s">
        <v>2007</v>
      </c>
      <c r="L229" s="3" t="s">
        <v>8</v>
      </c>
      <c r="M229" s="3" t="s">
        <v>2008</v>
      </c>
      <c r="N229" s="3" t="s">
        <v>2009</v>
      </c>
      <c r="O229" s="3" t="s">
        <v>2010</v>
      </c>
      <c r="P229" s="3" t="s">
        <v>30</v>
      </c>
    </row>
    <row r="230" customFormat="false" ht="23.85" hidden="false" customHeight="false" outlineLevel="0" collapsed="false">
      <c r="A230" s="3" t="s">
        <v>2011</v>
      </c>
      <c r="B230" s="3" t="s">
        <v>17</v>
      </c>
      <c r="C230" s="3" t="s">
        <v>450</v>
      </c>
      <c r="D230" s="3" t="s">
        <v>1449</v>
      </c>
      <c r="E230" s="3" t="s">
        <v>2012</v>
      </c>
      <c r="F230" s="3" t="s">
        <v>2013</v>
      </c>
      <c r="G230" s="3" t="s">
        <v>2014</v>
      </c>
      <c r="H230" s="3" t="s">
        <v>2015</v>
      </c>
      <c r="I230" s="3" t="s">
        <v>2016</v>
      </c>
      <c r="J230" s="3" t="s">
        <v>2017</v>
      </c>
      <c r="K230" s="3" t="s">
        <v>2018</v>
      </c>
      <c r="L230" s="3" t="s">
        <v>8</v>
      </c>
      <c r="M230" s="3" t="s">
        <v>2019</v>
      </c>
      <c r="N230" s="3" t="s">
        <v>2020</v>
      </c>
      <c r="O230" s="3" t="s">
        <v>440</v>
      </c>
      <c r="P230" s="3" t="s">
        <v>30</v>
      </c>
    </row>
    <row r="231" customFormat="false" ht="23.85" hidden="false" customHeight="false" outlineLevel="0" collapsed="false">
      <c r="A231" s="3" t="s">
        <v>2021</v>
      </c>
      <c r="B231" s="3" t="s">
        <v>17</v>
      </c>
      <c r="C231" s="3" t="s">
        <v>450</v>
      </c>
      <c r="D231" s="3" t="s">
        <v>1449</v>
      </c>
      <c r="E231" s="3" t="s">
        <v>2012</v>
      </c>
      <c r="F231" s="3" t="s">
        <v>2013</v>
      </c>
      <c r="G231" s="3" t="s">
        <v>2014</v>
      </c>
      <c r="H231" s="3" t="s">
        <v>2022</v>
      </c>
      <c r="I231" s="3" t="s">
        <v>2023</v>
      </c>
      <c r="J231" s="3" t="s">
        <v>2024</v>
      </c>
      <c r="K231" s="3" t="s">
        <v>2025</v>
      </c>
      <c r="L231" s="3" t="s">
        <v>8</v>
      </c>
      <c r="M231" s="3" t="s">
        <v>2026</v>
      </c>
      <c r="N231" s="3" t="s">
        <v>2027</v>
      </c>
      <c r="O231" s="3" t="s">
        <v>2028</v>
      </c>
      <c r="P231" s="3" t="s">
        <v>30</v>
      </c>
    </row>
    <row r="232" customFormat="false" ht="23.85" hidden="false" customHeight="false" outlineLevel="0" collapsed="false">
      <c r="A232" s="3" t="s">
        <v>2029</v>
      </c>
      <c r="B232" s="3" t="s">
        <v>17</v>
      </c>
      <c r="C232" s="3" t="s">
        <v>450</v>
      </c>
      <c r="D232" s="3" t="s">
        <v>1449</v>
      </c>
      <c r="E232" s="3" t="s">
        <v>2012</v>
      </c>
      <c r="F232" s="3" t="s">
        <v>2013</v>
      </c>
      <c r="G232" s="3" t="s">
        <v>2014</v>
      </c>
      <c r="H232" s="3" t="s">
        <v>2030</v>
      </c>
      <c r="I232" s="3" t="s">
        <v>2031</v>
      </c>
      <c r="J232" s="3" t="s">
        <v>2032</v>
      </c>
      <c r="K232" s="3" t="s">
        <v>2033</v>
      </c>
      <c r="L232" s="3" t="s">
        <v>8</v>
      </c>
      <c r="M232" s="3" t="s">
        <v>2034</v>
      </c>
      <c r="N232" s="3" t="s">
        <v>2035</v>
      </c>
      <c r="O232" s="3" t="s">
        <v>440</v>
      </c>
      <c r="P232" s="3" t="s">
        <v>30</v>
      </c>
    </row>
    <row r="233" customFormat="false" ht="23.85" hidden="false" customHeight="false" outlineLevel="0" collapsed="false">
      <c r="A233" s="3" t="s">
        <v>2036</v>
      </c>
      <c r="B233" s="3" t="s">
        <v>17</v>
      </c>
      <c r="C233" s="3" t="s">
        <v>450</v>
      </c>
      <c r="D233" s="3" t="s">
        <v>19</v>
      </c>
      <c r="E233" s="3" t="s">
        <v>2037</v>
      </c>
      <c r="F233" s="3" t="s">
        <v>2038</v>
      </c>
      <c r="G233" s="3" t="s">
        <v>2039</v>
      </c>
      <c r="H233" s="3" t="s">
        <v>2040</v>
      </c>
      <c r="I233" s="3" t="s">
        <v>2041</v>
      </c>
      <c r="J233" s="3" t="s">
        <v>2042</v>
      </c>
      <c r="K233" s="3" t="s">
        <v>2043</v>
      </c>
      <c r="L233" s="3" t="s">
        <v>8</v>
      </c>
      <c r="M233" s="3" t="s">
        <v>2044</v>
      </c>
      <c r="N233" s="3" t="s">
        <v>2045</v>
      </c>
      <c r="O233" s="3" t="s">
        <v>2046</v>
      </c>
      <c r="P233" s="3" t="s">
        <v>30</v>
      </c>
    </row>
    <row r="234" customFormat="false" ht="23.85" hidden="false" customHeight="false" outlineLevel="0" collapsed="false">
      <c r="A234" s="3" t="s">
        <v>2047</v>
      </c>
      <c r="B234" s="3" t="s">
        <v>17</v>
      </c>
      <c r="C234" s="3" t="s">
        <v>450</v>
      </c>
      <c r="D234" s="3" t="s">
        <v>19</v>
      </c>
      <c r="E234" s="3" t="s">
        <v>2037</v>
      </c>
      <c r="F234" s="3" t="s">
        <v>2038</v>
      </c>
      <c r="G234" s="3" t="s">
        <v>2039</v>
      </c>
      <c r="H234" s="3" t="s">
        <v>2048</v>
      </c>
      <c r="I234" s="3" t="s">
        <v>2049</v>
      </c>
      <c r="J234" s="3" t="s">
        <v>2050</v>
      </c>
      <c r="K234" s="3" t="s">
        <v>2051</v>
      </c>
      <c r="L234" s="3" t="s">
        <v>8</v>
      </c>
      <c r="M234" s="3" t="s">
        <v>2052</v>
      </c>
      <c r="N234" s="3" t="s">
        <v>2053</v>
      </c>
      <c r="O234" s="3" t="s">
        <v>2054</v>
      </c>
      <c r="P234" s="3" t="s">
        <v>30</v>
      </c>
    </row>
    <row r="235" customFormat="false" ht="23.85" hidden="false" customHeight="false" outlineLevel="0" collapsed="false">
      <c r="A235" s="3" t="s">
        <v>2055</v>
      </c>
      <c r="B235" s="3" t="s">
        <v>17</v>
      </c>
      <c r="C235" s="3" t="s">
        <v>450</v>
      </c>
      <c r="D235" s="3" t="s">
        <v>19</v>
      </c>
      <c r="E235" s="3" t="s">
        <v>2037</v>
      </c>
      <c r="F235" s="3" t="s">
        <v>2038</v>
      </c>
      <c r="G235" s="3" t="s">
        <v>2039</v>
      </c>
      <c r="H235" s="3" t="s">
        <v>2056</v>
      </c>
      <c r="I235" s="3" t="s">
        <v>2057</v>
      </c>
      <c r="J235" s="3" t="s">
        <v>2058</v>
      </c>
      <c r="K235" s="3" t="s">
        <v>2059</v>
      </c>
      <c r="L235" s="3" t="s">
        <v>8</v>
      </c>
      <c r="M235" s="3" t="s">
        <v>2060</v>
      </c>
      <c r="N235" s="3" t="s">
        <v>2061</v>
      </c>
      <c r="O235" s="3" t="s">
        <v>2062</v>
      </c>
      <c r="P235" s="3" t="s">
        <v>30</v>
      </c>
    </row>
    <row r="236" customFormat="false" ht="23.85" hidden="false" customHeight="false" outlineLevel="0" collapsed="false">
      <c r="A236" s="3" t="s">
        <v>2063</v>
      </c>
      <c r="B236" s="3" t="s">
        <v>17</v>
      </c>
      <c r="C236" s="3" t="s">
        <v>450</v>
      </c>
      <c r="D236" s="3" t="s">
        <v>19</v>
      </c>
      <c r="E236" s="3" t="s">
        <v>2064</v>
      </c>
      <c r="F236" s="3" t="s">
        <v>2065</v>
      </c>
      <c r="G236" s="3" t="s">
        <v>2066</v>
      </c>
      <c r="H236" s="3" t="s">
        <v>2067</v>
      </c>
      <c r="I236" s="3" t="s">
        <v>2068</v>
      </c>
      <c r="J236" s="3" t="s">
        <v>2069</v>
      </c>
      <c r="K236" s="3" t="s">
        <v>2070</v>
      </c>
      <c r="L236" s="3" t="s">
        <v>8</v>
      </c>
      <c r="M236" s="3" t="s">
        <v>2071</v>
      </c>
      <c r="N236" s="3" t="s">
        <v>2072</v>
      </c>
      <c r="O236" s="3" t="s">
        <v>2073</v>
      </c>
      <c r="P236" s="3" t="s">
        <v>30</v>
      </c>
    </row>
    <row r="237" customFormat="false" ht="23.85" hidden="false" customHeight="false" outlineLevel="0" collapsed="false">
      <c r="A237" s="3" t="s">
        <v>2074</v>
      </c>
      <c r="B237" s="3" t="s">
        <v>17</v>
      </c>
      <c r="C237" s="3" t="s">
        <v>450</v>
      </c>
      <c r="D237" s="3" t="s">
        <v>19</v>
      </c>
      <c r="E237" s="3" t="s">
        <v>2064</v>
      </c>
      <c r="F237" s="3" t="s">
        <v>2065</v>
      </c>
      <c r="G237" s="3" t="s">
        <v>2066</v>
      </c>
      <c r="H237" s="3" t="s">
        <v>2075</v>
      </c>
      <c r="I237" s="3" t="s">
        <v>2076</v>
      </c>
      <c r="J237" s="3" t="s">
        <v>2077</v>
      </c>
      <c r="K237" s="3" t="s">
        <v>2078</v>
      </c>
      <c r="L237" s="3" t="s">
        <v>8</v>
      </c>
      <c r="M237" s="3" t="s">
        <v>2079</v>
      </c>
      <c r="N237" s="3" t="s">
        <v>2080</v>
      </c>
      <c r="O237" s="3" t="s">
        <v>2081</v>
      </c>
      <c r="P237" s="3" t="s">
        <v>30</v>
      </c>
    </row>
    <row r="238" customFormat="false" ht="23.85" hidden="false" customHeight="false" outlineLevel="0" collapsed="false">
      <c r="A238" s="3" t="s">
        <v>2082</v>
      </c>
      <c r="B238" s="3" t="s">
        <v>17</v>
      </c>
      <c r="C238" s="3" t="s">
        <v>450</v>
      </c>
      <c r="D238" s="3" t="s">
        <v>19</v>
      </c>
      <c r="E238" s="3" t="s">
        <v>2064</v>
      </c>
      <c r="F238" s="3" t="s">
        <v>2065</v>
      </c>
      <c r="G238" s="3" t="s">
        <v>2066</v>
      </c>
      <c r="H238" s="3" t="s">
        <v>2083</v>
      </c>
      <c r="I238" s="3" t="s">
        <v>2084</v>
      </c>
      <c r="J238" s="3" t="s">
        <v>2085</v>
      </c>
      <c r="K238" s="3" t="s">
        <v>2086</v>
      </c>
      <c r="L238" s="3" t="s">
        <v>8</v>
      </c>
      <c r="M238" s="3" t="s">
        <v>2087</v>
      </c>
      <c r="N238" s="3" t="s">
        <v>2088</v>
      </c>
      <c r="O238" s="3" t="s">
        <v>2089</v>
      </c>
      <c r="P238" s="3" t="s">
        <v>30</v>
      </c>
    </row>
    <row r="239" customFormat="false" ht="23.85" hidden="false" customHeight="false" outlineLevel="0" collapsed="false">
      <c r="A239" s="3" t="s">
        <v>2090</v>
      </c>
      <c r="B239" s="3" t="s">
        <v>17</v>
      </c>
      <c r="C239" s="3" t="s">
        <v>450</v>
      </c>
      <c r="D239" s="3" t="s">
        <v>1449</v>
      </c>
      <c r="E239" s="3" t="s">
        <v>2091</v>
      </c>
      <c r="F239" s="3" t="s">
        <v>2092</v>
      </c>
      <c r="G239" s="3" t="s">
        <v>2093</v>
      </c>
      <c r="H239" s="3" t="s">
        <v>2094</v>
      </c>
      <c r="I239" s="3" t="s">
        <v>2095</v>
      </c>
      <c r="J239" s="3" t="s">
        <v>2096</v>
      </c>
      <c r="K239" s="3" t="s">
        <v>2097</v>
      </c>
      <c r="L239" s="3" t="s">
        <v>8</v>
      </c>
      <c r="M239" s="3" t="s">
        <v>2098</v>
      </c>
      <c r="N239" s="3" t="s">
        <v>2099</v>
      </c>
      <c r="O239" s="3" t="s">
        <v>514</v>
      </c>
      <c r="P239" s="3" t="s">
        <v>30</v>
      </c>
    </row>
    <row r="240" customFormat="false" ht="23.85" hidden="false" customHeight="false" outlineLevel="0" collapsed="false">
      <c r="A240" s="3" t="s">
        <v>2100</v>
      </c>
      <c r="B240" s="3" t="s">
        <v>17</v>
      </c>
      <c r="C240" s="3" t="s">
        <v>450</v>
      </c>
      <c r="D240" s="3" t="s">
        <v>1449</v>
      </c>
      <c r="E240" s="3" t="s">
        <v>2091</v>
      </c>
      <c r="F240" s="3" t="s">
        <v>2092</v>
      </c>
      <c r="G240" s="3" t="s">
        <v>2093</v>
      </c>
      <c r="H240" s="3" t="s">
        <v>2101</v>
      </c>
      <c r="I240" s="3" t="s">
        <v>2102</v>
      </c>
      <c r="J240" s="3" t="s">
        <v>2103</v>
      </c>
      <c r="K240" s="3" t="s">
        <v>2104</v>
      </c>
      <c r="L240" s="3" t="s">
        <v>8</v>
      </c>
      <c r="M240" s="3" t="s">
        <v>2105</v>
      </c>
      <c r="N240" s="3" t="s">
        <v>2106</v>
      </c>
      <c r="O240" s="3" t="s">
        <v>2107</v>
      </c>
      <c r="P240" s="3" t="s">
        <v>30</v>
      </c>
    </row>
    <row r="241" customFormat="false" ht="23.85" hidden="false" customHeight="false" outlineLevel="0" collapsed="false">
      <c r="A241" s="3" t="s">
        <v>2108</v>
      </c>
      <c r="B241" s="3" t="s">
        <v>17</v>
      </c>
      <c r="C241" s="3" t="s">
        <v>450</v>
      </c>
      <c r="D241" s="3" t="s">
        <v>1449</v>
      </c>
      <c r="E241" s="3" t="s">
        <v>2091</v>
      </c>
      <c r="F241" s="3" t="s">
        <v>2092</v>
      </c>
      <c r="G241" s="3" t="s">
        <v>2093</v>
      </c>
      <c r="H241" s="3" t="s">
        <v>2109</v>
      </c>
      <c r="I241" s="3" t="s">
        <v>2110</v>
      </c>
      <c r="J241" s="3" t="s">
        <v>2111</v>
      </c>
      <c r="K241" s="3" t="s">
        <v>2112</v>
      </c>
      <c r="L241" s="3" t="s">
        <v>8</v>
      </c>
      <c r="M241" s="3" t="s">
        <v>2113</v>
      </c>
      <c r="N241" s="3" t="s">
        <v>2114</v>
      </c>
      <c r="O241" s="3" t="s">
        <v>530</v>
      </c>
      <c r="P241" s="3" t="s">
        <v>30</v>
      </c>
    </row>
    <row r="242" customFormat="false" ht="23.85" hidden="false" customHeight="false" outlineLevel="0" collapsed="false">
      <c r="A242" s="3" t="s">
        <v>2115</v>
      </c>
      <c r="B242" s="3" t="s">
        <v>17</v>
      </c>
      <c r="C242" s="3" t="s">
        <v>559</v>
      </c>
      <c r="D242" s="3" t="s">
        <v>19</v>
      </c>
      <c r="E242" s="3" t="s">
        <v>2116</v>
      </c>
      <c r="F242" s="3" t="s">
        <v>2117</v>
      </c>
      <c r="G242" s="3" t="s">
        <v>2118</v>
      </c>
      <c r="H242" s="3" t="s">
        <v>2119</v>
      </c>
      <c r="I242" s="3" t="s">
        <v>2120</v>
      </c>
      <c r="J242" s="3" t="s">
        <v>2121</v>
      </c>
      <c r="K242" s="3" t="s">
        <v>2122</v>
      </c>
      <c r="L242" s="3" t="s">
        <v>8</v>
      </c>
      <c r="M242" s="3" t="s">
        <v>2123</v>
      </c>
      <c r="N242" s="3" t="s">
        <v>2124</v>
      </c>
      <c r="O242" s="3" t="s">
        <v>2125</v>
      </c>
      <c r="P242" s="3" t="s">
        <v>30</v>
      </c>
    </row>
    <row r="243" customFormat="false" ht="23.85" hidden="false" customHeight="false" outlineLevel="0" collapsed="false">
      <c r="A243" s="3" t="s">
        <v>2126</v>
      </c>
      <c r="B243" s="3" t="s">
        <v>17</v>
      </c>
      <c r="C243" s="3" t="s">
        <v>559</v>
      </c>
      <c r="D243" s="3" t="s">
        <v>19</v>
      </c>
      <c r="E243" s="3" t="s">
        <v>2116</v>
      </c>
      <c r="F243" s="3" t="s">
        <v>2117</v>
      </c>
      <c r="G243" s="3" t="s">
        <v>2118</v>
      </c>
      <c r="H243" s="3" t="s">
        <v>2127</v>
      </c>
      <c r="I243" s="3" t="s">
        <v>2128</v>
      </c>
      <c r="J243" s="3" t="s">
        <v>2129</v>
      </c>
      <c r="K243" s="3" t="s">
        <v>2130</v>
      </c>
      <c r="L243" s="3" t="s">
        <v>8</v>
      </c>
      <c r="M243" s="3" t="s">
        <v>2131</v>
      </c>
      <c r="N243" s="3" t="s">
        <v>2132</v>
      </c>
      <c r="O243" s="3" t="s">
        <v>2133</v>
      </c>
      <c r="P243" s="3" t="s">
        <v>30</v>
      </c>
    </row>
    <row r="244" customFormat="false" ht="23.85" hidden="false" customHeight="false" outlineLevel="0" collapsed="false">
      <c r="A244" s="3" t="s">
        <v>2134</v>
      </c>
      <c r="B244" s="3" t="s">
        <v>17</v>
      </c>
      <c r="C244" s="3" t="s">
        <v>559</v>
      </c>
      <c r="D244" s="3" t="s">
        <v>19</v>
      </c>
      <c r="E244" s="3" t="s">
        <v>2116</v>
      </c>
      <c r="F244" s="3" t="s">
        <v>2117</v>
      </c>
      <c r="G244" s="3" t="s">
        <v>2118</v>
      </c>
      <c r="H244" s="3" t="s">
        <v>2135</v>
      </c>
      <c r="I244" s="3" t="s">
        <v>2136</v>
      </c>
      <c r="J244" s="3" t="s">
        <v>2137</v>
      </c>
      <c r="K244" s="3" t="s">
        <v>2138</v>
      </c>
      <c r="L244" s="3" t="s">
        <v>8</v>
      </c>
      <c r="M244" s="3" t="s">
        <v>2139</v>
      </c>
      <c r="N244" s="3" t="s">
        <v>2140</v>
      </c>
      <c r="O244" s="3" t="s">
        <v>2141</v>
      </c>
      <c r="P244" s="3" t="s">
        <v>30</v>
      </c>
    </row>
    <row r="245" customFormat="false" ht="23.85" hidden="false" customHeight="false" outlineLevel="0" collapsed="false">
      <c r="A245" s="3" t="s">
        <v>2142</v>
      </c>
      <c r="B245" s="3" t="s">
        <v>17</v>
      </c>
      <c r="C245" s="3" t="s">
        <v>559</v>
      </c>
      <c r="D245" s="3" t="s">
        <v>1449</v>
      </c>
      <c r="E245" s="3" t="s">
        <v>2143</v>
      </c>
      <c r="F245" s="3" t="s">
        <v>2144</v>
      </c>
      <c r="G245" s="3" t="s">
        <v>2145</v>
      </c>
      <c r="H245" s="3" t="s">
        <v>2146</v>
      </c>
      <c r="I245" s="3" t="s">
        <v>2147</v>
      </c>
      <c r="J245" s="3" t="s">
        <v>2148</v>
      </c>
      <c r="K245" s="3" t="s">
        <v>2149</v>
      </c>
      <c r="L245" s="3" t="s">
        <v>8</v>
      </c>
      <c r="M245" s="3" t="s">
        <v>2150</v>
      </c>
      <c r="N245" s="3" t="s">
        <v>2151</v>
      </c>
      <c r="O245" s="3" t="s">
        <v>2152</v>
      </c>
      <c r="P245" s="3" t="s">
        <v>30</v>
      </c>
    </row>
    <row r="246" customFormat="false" ht="23.85" hidden="false" customHeight="false" outlineLevel="0" collapsed="false">
      <c r="A246" s="3" t="s">
        <v>2153</v>
      </c>
      <c r="B246" s="3" t="s">
        <v>17</v>
      </c>
      <c r="C246" s="3" t="s">
        <v>559</v>
      </c>
      <c r="D246" s="3" t="s">
        <v>1449</v>
      </c>
      <c r="E246" s="3" t="s">
        <v>2143</v>
      </c>
      <c r="F246" s="3" t="s">
        <v>2144</v>
      </c>
      <c r="G246" s="3" t="s">
        <v>2145</v>
      </c>
      <c r="H246" s="3" t="s">
        <v>2154</v>
      </c>
      <c r="I246" s="3" t="s">
        <v>2155</v>
      </c>
      <c r="J246" s="3" t="s">
        <v>2156</v>
      </c>
      <c r="K246" s="3" t="s">
        <v>2157</v>
      </c>
      <c r="L246" s="3" t="s">
        <v>8</v>
      </c>
      <c r="M246" s="3" t="s">
        <v>2158</v>
      </c>
      <c r="N246" s="3" t="s">
        <v>2159</v>
      </c>
      <c r="O246" s="3" t="s">
        <v>2160</v>
      </c>
      <c r="P246" s="3" t="s">
        <v>30</v>
      </c>
    </row>
    <row r="247" customFormat="false" ht="23.85" hidden="false" customHeight="false" outlineLevel="0" collapsed="false">
      <c r="A247" s="3" t="s">
        <v>2161</v>
      </c>
      <c r="B247" s="3" t="s">
        <v>17</v>
      </c>
      <c r="C247" s="3" t="s">
        <v>559</v>
      </c>
      <c r="D247" s="3" t="s">
        <v>1449</v>
      </c>
      <c r="E247" s="3" t="s">
        <v>2143</v>
      </c>
      <c r="F247" s="3" t="s">
        <v>2144</v>
      </c>
      <c r="G247" s="3" t="s">
        <v>2145</v>
      </c>
      <c r="H247" s="3" t="s">
        <v>2162</v>
      </c>
      <c r="I247" s="3" t="s">
        <v>2163</v>
      </c>
      <c r="J247" s="3" t="s">
        <v>2164</v>
      </c>
      <c r="K247" s="3" t="s">
        <v>2165</v>
      </c>
      <c r="L247" s="3" t="s">
        <v>8</v>
      </c>
      <c r="M247" s="3" t="s">
        <v>2166</v>
      </c>
      <c r="N247" s="3" t="s">
        <v>2167</v>
      </c>
      <c r="O247" s="3" t="s">
        <v>1615</v>
      </c>
      <c r="P247" s="3" t="s">
        <v>30</v>
      </c>
    </row>
    <row r="248" customFormat="false" ht="23.85" hidden="false" customHeight="false" outlineLevel="0" collapsed="false">
      <c r="A248" s="3" t="s">
        <v>2168</v>
      </c>
      <c r="B248" s="3" t="s">
        <v>17</v>
      </c>
      <c r="C248" s="3" t="s">
        <v>559</v>
      </c>
      <c r="D248" s="3" t="s">
        <v>19</v>
      </c>
      <c r="E248" s="3" t="s">
        <v>2169</v>
      </c>
      <c r="F248" s="3" t="s">
        <v>2170</v>
      </c>
      <c r="G248" s="3" t="s">
        <v>2171</v>
      </c>
      <c r="H248" s="3" t="s">
        <v>2172</v>
      </c>
      <c r="I248" s="3" t="s">
        <v>2173</v>
      </c>
      <c r="J248" s="3" t="s">
        <v>2174</v>
      </c>
      <c r="K248" s="3" t="s">
        <v>2175</v>
      </c>
      <c r="L248" s="3" t="s">
        <v>8</v>
      </c>
      <c r="M248" s="3" t="s">
        <v>2176</v>
      </c>
      <c r="N248" s="3" t="s">
        <v>2177</v>
      </c>
      <c r="O248" s="3" t="s">
        <v>2178</v>
      </c>
      <c r="P248" s="3" t="s">
        <v>30</v>
      </c>
    </row>
    <row r="249" customFormat="false" ht="23.85" hidden="false" customHeight="false" outlineLevel="0" collapsed="false">
      <c r="A249" s="3" t="s">
        <v>2179</v>
      </c>
      <c r="B249" s="3" t="s">
        <v>17</v>
      </c>
      <c r="C249" s="3" t="s">
        <v>559</v>
      </c>
      <c r="D249" s="3" t="s">
        <v>19</v>
      </c>
      <c r="E249" s="3" t="s">
        <v>2169</v>
      </c>
      <c r="F249" s="3" t="s">
        <v>2170</v>
      </c>
      <c r="G249" s="3" t="s">
        <v>2171</v>
      </c>
      <c r="H249" s="3" t="s">
        <v>2180</v>
      </c>
      <c r="I249" s="3" t="s">
        <v>2181</v>
      </c>
      <c r="J249" s="3" t="s">
        <v>2182</v>
      </c>
      <c r="K249" s="3" t="s">
        <v>2183</v>
      </c>
      <c r="L249" s="3" t="s">
        <v>8</v>
      </c>
      <c r="M249" s="3" t="s">
        <v>2184</v>
      </c>
      <c r="N249" s="3" t="s">
        <v>2185</v>
      </c>
      <c r="O249" s="3" t="s">
        <v>2186</v>
      </c>
      <c r="P249" s="3" t="s">
        <v>30</v>
      </c>
    </row>
    <row r="250" customFormat="false" ht="23.85" hidden="false" customHeight="false" outlineLevel="0" collapsed="false">
      <c r="A250" s="3" t="s">
        <v>2187</v>
      </c>
      <c r="B250" s="3" t="s">
        <v>17</v>
      </c>
      <c r="C250" s="3" t="s">
        <v>559</v>
      </c>
      <c r="D250" s="3" t="s">
        <v>19</v>
      </c>
      <c r="E250" s="3" t="s">
        <v>2169</v>
      </c>
      <c r="F250" s="3" t="s">
        <v>2170</v>
      </c>
      <c r="G250" s="3" t="s">
        <v>2171</v>
      </c>
      <c r="H250" s="3" t="s">
        <v>2188</v>
      </c>
      <c r="I250" s="3" t="s">
        <v>2189</v>
      </c>
      <c r="J250" s="3" t="s">
        <v>2190</v>
      </c>
      <c r="K250" s="3" t="s">
        <v>2191</v>
      </c>
      <c r="L250" s="3" t="s">
        <v>8</v>
      </c>
      <c r="M250" s="3" t="s">
        <v>2192</v>
      </c>
      <c r="N250" s="3" t="s">
        <v>2193</v>
      </c>
      <c r="O250" s="3" t="s">
        <v>2186</v>
      </c>
      <c r="P250" s="3" t="s">
        <v>30</v>
      </c>
    </row>
    <row r="251" customFormat="false" ht="23.85" hidden="false" customHeight="false" outlineLevel="0" collapsed="false">
      <c r="A251" s="3" t="s">
        <v>2194</v>
      </c>
      <c r="B251" s="3" t="s">
        <v>17</v>
      </c>
      <c r="C251" s="3" t="s">
        <v>559</v>
      </c>
      <c r="D251" s="3" t="s">
        <v>19</v>
      </c>
      <c r="E251" s="3" t="s">
        <v>2195</v>
      </c>
      <c r="F251" s="3" t="s">
        <v>2196</v>
      </c>
      <c r="G251" s="3" t="s">
        <v>2197</v>
      </c>
      <c r="H251" s="3" t="s">
        <v>2198</v>
      </c>
      <c r="I251" s="3" t="s">
        <v>2199</v>
      </c>
      <c r="J251" s="3" t="s">
        <v>2200</v>
      </c>
      <c r="K251" s="3" t="s">
        <v>2201</v>
      </c>
      <c r="L251" s="3" t="s">
        <v>8</v>
      </c>
      <c r="M251" s="3" t="s">
        <v>2202</v>
      </c>
      <c r="N251" s="3" t="s">
        <v>2203</v>
      </c>
      <c r="O251" s="3" t="s">
        <v>2204</v>
      </c>
      <c r="P251" s="3" t="s">
        <v>30</v>
      </c>
    </row>
    <row r="252" customFormat="false" ht="23.85" hidden="false" customHeight="false" outlineLevel="0" collapsed="false">
      <c r="A252" s="3" t="s">
        <v>2205</v>
      </c>
      <c r="B252" s="3" t="s">
        <v>17</v>
      </c>
      <c r="C252" s="3" t="s">
        <v>559</v>
      </c>
      <c r="D252" s="3" t="s">
        <v>19</v>
      </c>
      <c r="E252" s="3" t="s">
        <v>2195</v>
      </c>
      <c r="F252" s="3" t="s">
        <v>2196</v>
      </c>
      <c r="G252" s="3" t="s">
        <v>2197</v>
      </c>
      <c r="H252" s="3" t="s">
        <v>2206</v>
      </c>
      <c r="I252" s="3" t="s">
        <v>2207</v>
      </c>
      <c r="J252" s="3" t="s">
        <v>2208</v>
      </c>
      <c r="K252" s="3" t="s">
        <v>2209</v>
      </c>
      <c r="L252" s="3" t="s">
        <v>8</v>
      </c>
      <c r="M252" s="3" t="s">
        <v>2210</v>
      </c>
      <c r="N252" s="3" t="s">
        <v>2211</v>
      </c>
      <c r="O252" s="3" t="s">
        <v>315</v>
      </c>
      <c r="P252" s="3" t="s">
        <v>30</v>
      </c>
    </row>
    <row r="253" customFormat="false" ht="23.85" hidden="false" customHeight="false" outlineLevel="0" collapsed="false">
      <c r="A253" s="3" t="s">
        <v>2212</v>
      </c>
      <c r="B253" s="3" t="s">
        <v>17</v>
      </c>
      <c r="C253" s="3" t="s">
        <v>559</v>
      </c>
      <c r="D253" s="3" t="s">
        <v>19</v>
      </c>
      <c r="E253" s="3" t="s">
        <v>2195</v>
      </c>
      <c r="F253" s="3" t="s">
        <v>2196</v>
      </c>
      <c r="G253" s="3" t="s">
        <v>2197</v>
      </c>
      <c r="H253" s="3" t="s">
        <v>2213</v>
      </c>
      <c r="I253" s="3" t="s">
        <v>2214</v>
      </c>
      <c r="J253" s="3" t="s">
        <v>2215</v>
      </c>
      <c r="K253" s="3" t="s">
        <v>2216</v>
      </c>
      <c r="L253" s="3" t="s">
        <v>8</v>
      </c>
      <c r="M253" s="3" t="s">
        <v>2217</v>
      </c>
      <c r="N253" s="3" t="s">
        <v>2218</v>
      </c>
      <c r="O253" s="3" t="s">
        <v>2219</v>
      </c>
      <c r="P253" s="3" t="s">
        <v>30</v>
      </c>
    </row>
    <row r="254" customFormat="false" ht="23.85" hidden="false" customHeight="false" outlineLevel="0" collapsed="false">
      <c r="A254" s="3" t="s">
        <v>2220</v>
      </c>
      <c r="B254" s="3" t="s">
        <v>17</v>
      </c>
      <c r="C254" s="3" t="s">
        <v>559</v>
      </c>
      <c r="D254" s="3" t="s">
        <v>1449</v>
      </c>
      <c r="E254" s="3" t="s">
        <v>2221</v>
      </c>
      <c r="F254" s="3" t="s">
        <v>2222</v>
      </c>
      <c r="G254" s="3" t="s">
        <v>2223</v>
      </c>
      <c r="H254" s="3" t="s">
        <v>2224</v>
      </c>
      <c r="I254" s="3" t="s">
        <v>2225</v>
      </c>
      <c r="J254" s="3" t="s">
        <v>2226</v>
      </c>
      <c r="K254" s="3" t="s">
        <v>2227</v>
      </c>
      <c r="L254" s="3" t="s">
        <v>8</v>
      </c>
      <c r="M254" s="3" t="s">
        <v>2228</v>
      </c>
      <c r="N254" s="3" t="s">
        <v>2229</v>
      </c>
      <c r="O254" s="3" t="s">
        <v>2230</v>
      </c>
      <c r="P254" s="3" t="s">
        <v>30</v>
      </c>
    </row>
    <row r="255" customFormat="false" ht="23.85" hidden="false" customHeight="false" outlineLevel="0" collapsed="false">
      <c r="A255" s="3" t="s">
        <v>2231</v>
      </c>
      <c r="B255" s="3" t="s">
        <v>17</v>
      </c>
      <c r="C255" s="3" t="s">
        <v>559</v>
      </c>
      <c r="D255" s="3" t="s">
        <v>1449</v>
      </c>
      <c r="E255" s="3" t="s">
        <v>2221</v>
      </c>
      <c r="F255" s="3" t="s">
        <v>2222</v>
      </c>
      <c r="G255" s="3" t="s">
        <v>2223</v>
      </c>
      <c r="H255" s="3" t="s">
        <v>2232</v>
      </c>
      <c r="I255" s="3" t="s">
        <v>2233</v>
      </c>
      <c r="J255" s="3" t="s">
        <v>2234</v>
      </c>
      <c r="K255" s="3" t="s">
        <v>2235</v>
      </c>
      <c r="L255" s="3" t="s">
        <v>8</v>
      </c>
      <c r="M255" s="3" t="s">
        <v>2236</v>
      </c>
      <c r="N255" s="3" t="s">
        <v>2237</v>
      </c>
      <c r="O255" s="3" t="s">
        <v>2238</v>
      </c>
      <c r="P255" s="3" t="s">
        <v>30</v>
      </c>
    </row>
    <row r="256" customFormat="false" ht="23.85" hidden="false" customHeight="false" outlineLevel="0" collapsed="false">
      <c r="A256" s="3" t="s">
        <v>2239</v>
      </c>
      <c r="B256" s="3" t="s">
        <v>17</v>
      </c>
      <c r="C256" s="3" t="s">
        <v>559</v>
      </c>
      <c r="D256" s="3" t="s">
        <v>1449</v>
      </c>
      <c r="E256" s="3" t="s">
        <v>2221</v>
      </c>
      <c r="F256" s="3" t="s">
        <v>2222</v>
      </c>
      <c r="G256" s="3" t="s">
        <v>2223</v>
      </c>
      <c r="H256" s="3" t="s">
        <v>2240</v>
      </c>
      <c r="I256" s="3" t="s">
        <v>2241</v>
      </c>
      <c r="J256" s="3" t="s">
        <v>2242</v>
      </c>
      <c r="K256" s="3" t="s">
        <v>2243</v>
      </c>
      <c r="L256" s="3" t="s">
        <v>8</v>
      </c>
      <c r="M256" s="3" t="s">
        <v>2244</v>
      </c>
      <c r="N256" s="3" t="s">
        <v>2245</v>
      </c>
      <c r="O256" s="3" t="s">
        <v>2246</v>
      </c>
      <c r="P256" s="3" t="s">
        <v>30</v>
      </c>
    </row>
    <row r="257" customFormat="false" ht="23.85" hidden="false" customHeight="false" outlineLevel="0" collapsed="false">
      <c r="A257" s="3" t="s">
        <v>2247</v>
      </c>
      <c r="B257" s="3" t="s">
        <v>17</v>
      </c>
      <c r="C257" s="3" t="s">
        <v>640</v>
      </c>
      <c r="D257" s="3" t="s">
        <v>19</v>
      </c>
      <c r="E257" s="3" t="s">
        <v>2248</v>
      </c>
      <c r="F257" s="3" t="s">
        <v>2249</v>
      </c>
      <c r="G257" s="3" t="s">
        <v>2250</v>
      </c>
      <c r="H257" s="3" t="s">
        <v>2251</v>
      </c>
      <c r="I257" s="3" t="s">
        <v>2252</v>
      </c>
      <c r="J257" s="3" t="s">
        <v>2253</v>
      </c>
      <c r="K257" s="3" t="s">
        <v>2254</v>
      </c>
      <c r="L257" s="3" t="s">
        <v>8</v>
      </c>
      <c r="M257" s="3" t="s">
        <v>2255</v>
      </c>
      <c r="N257" s="3" t="s">
        <v>2256</v>
      </c>
      <c r="O257" s="3" t="s">
        <v>2257</v>
      </c>
      <c r="P257" s="3" t="s">
        <v>30</v>
      </c>
    </row>
    <row r="258" customFormat="false" ht="23.85" hidden="false" customHeight="false" outlineLevel="0" collapsed="false">
      <c r="A258" s="3" t="s">
        <v>2258</v>
      </c>
      <c r="B258" s="3" t="s">
        <v>17</v>
      </c>
      <c r="C258" s="3" t="s">
        <v>640</v>
      </c>
      <c r="D258" s="3" t="s">
        <v>19</v>
      </c>
      <c r="E258" s="3" t="s">
        <v>2248</v>
      </c>
      <c r="F258" s="3" t="s">
        <v>2249</v>
      </c>
      <c r="G258" s="3" t="s">
        <v>2250</v>
      </c>
      <c r="H258" s="3" t="s">
        <v>2259</v>
      </c>
      <c r="I258" s="3" t="s">
        <v>2260</v>
      </c>
      <c r="J258" s="3" t="s">
        <v>2261</v>
      </c>
      <c r="K258" s="3" t="s">
        <v>2262</v>
      </c>
      <c r="L258" s="3" t="s">
        <v>8</v>
      </c>
      <c r="M258" s="3" t="s">
        <v>2263</v>
      </c>
      <c r="N258" s="3" t="s">
        <v>2264</v>
      </c>
      <c r="O258" s="3" t="s">
        <v>2257</v>
      </c>
      <c r="P258" s="3" t="s">
        <v>30</v>
      </c>
    </row>
    <row r="259" customFormat="false" ht="23.85" hidden="false" customHeight="false" outlineLevel="0" collapsed="false">
      <c r="A259" s="3" t="s">
        <v>2265</v>
      </c>
      <c r="B259" s="3" t="s">
        <v>17</v>
      </c>
      <c r="C259" s="3" t="s">
        <v>640</v>
      </c>
      <c r="D259" s="3" t="s">
        <v>19</v>
      </c>
      <c r="E259" s="3" t="s">
        <v>2248</v>
      </c>
      <c r="F259" s="3" t="s">
        <v>2249</v>
      </c>
      <c r="G259" s="3" t="s">
        <v>2250</v>
      </c>
      <c r="H259" s="3" t="s">
        <v>2266</v>
      </c>
      <c r="I259" s="3" t="s">
        <v>2267</v>
      </c>
      <c r="J259" s="3" t="s">
        <v>2268</v>
      </c>
      <c r="K259" s="3" t="s">
        <v>2269</v>
      </c>
      <c r="L259" s="3" t="s">
        <v>8</v>
      </c>
      <c r="M259" s="3" t="s">
        <v>2270</v>
      </c>
      <c r="N259" s="3" t="s">
        <v>2271</v>
      </c>
      <c r="O259" s="3" t="s">
        <v>307</v>
      </c>
      <c r="P259" s="3" t="s">
        <v>30</v>
      </c>
    </row>
    <row r="260" customFormat="false" ht="23.85" hidden="false" customHeight="false" outlineLevel="0" collapsed="false">
      <c r="A260" s="3" t="s">
        <v>2272</v>
      </c>
      <c r="B260" s="3" t="s">
        <v>17</v>
      </c>
      <c r="C260" s="3" t="s">
        <v>640</v>
      </c>
      <c r="D260" s="3" t="s">
        <v>1449</v>
      </c>
      <c r="E260" s="3" t="s">
        <v>2273</v>
      </c>
      <c r="F260" s="3" t="s">
        <v>2274</v>
      </c>
      <c r="G260" s="3" t="s">
        <v>2275</v>
      </c>
      <c r="H260" s="3" t="s">
        <v>2276</v>
      </c>
      <c r="I260" s="3" t="s">
        <v>2277</v>
      </c>
      <c r="J260" s="3" t="s">
        <v>2278</v>
      </c>
      <c r="K260" s="3" t="s">
        <v>2279</v>
      </c>
      <c r="L260" s="3" t="s">
        <v>8</v>
      </c>
      <c r="M260" s="3" t="s">
        <v>2280</v>
      </c>
      <c r="N260" s="3" t="s">
        <v>2281</v>
      </c>
      <c r="O260" s="3" t="s">
        <v>2282</v>
      </c>
      <c r="P260" s="3" t="s">
        <v>30</v>
      </c>
    </row>
    <row r="261" customFormat="false" ht="23.85" hidden="false" customHeight="false" outlineLevel="0" collapsed="false">
      <c r="A261" s="3" t="s">
        <v>2283</v>
      </c>
      <c r="B261" s="3" t="s">
        <v>17</v>
      </c>
      <c r="C261" s="3" t="s">
        <v>640</v>
      </c>
      <c r="D261" s="3" t="s">
        <v>1449</v>
      </c>
      <c r="E261" s="3" t="s">
        <v>2273</v>
      </c>
      <c r="F261" s="3" t="s">
        <v>2274</v>
      </c>
      <c r="G261" s="3" t="s">
        <v>2275</v>
      </c>
      <c r="H261" s="3" t="s">
        <v>2284</v>
      </c>
      <c r="I261" s="3" t="s">
        <v>2285</v>
      </c>
      <c r="J261" s="3" t="s">
        <v>2286</v>
      </c>
      <c r="K261" s="3" t="s">
        <v>2287</v>
      </c>
      <c r="L261" s="3" t="s">
        <v>8</v>
      </c>
      <c r="M261" s="3" t="s">
        <v>2288</v>
      </c>
      <c r="N261" s="3" t="s">
        <v>2289</v>
      </c>
      <c r="O261" s="3" t="s">
        <v>2290</v>
      </c>
      <c r="P261" s="3" t="s">
        <v>30</v>
      </c>
    </row>
    <row r="262" customFormat="false" ht="23.85" hidden="false" customHeight="false" outlineLevel="0" collapsed="false">
      <c r="A262" s="3" t="s">
        <v>2291</v>
      </c>
      <c r="B262" s="3" t="s">
        <v>17</v>
      </c>
      <c r="C262" s="3" t="s">
        <v>640</v>
      </c>
      <c r="D262" s="3" t="s">
        <v>1449</v>
      </c>
      <c r="E262" s="3" t="s">
        <v>2273</v>
      </c>
      <c r="F262" s="3" t="s">
        <v>2274</v>
      </c>
      <c r="G262" s="3" t="s">
        <v>2275</v>
      </c>
      <c r="H262" s="3" t="s">
        <v>2292</v>
      </c>
      <c r="I262" s="3" t="s">
        <v>2293</v>
      </c>
      <c r="J262" s="3" t="s">
        <v>2294</v>
      </c>
      <c r="K262" s="3" t="s">
        <v>2295</v>
      </c>
      <c r="L262" s="3" t="s">
        <v>8</v>
      </c>
      <c r="M262" s="3" t="s">
        <v>2296</v>
      </c>
      <c r="N262" s="3" t="s">
        <v>2297</v>
      </c>
      <c r="O262" s="3" t="s">
        <v>112</v>
      </c>
      <c r="P262" s="3" t="s">
        <v>30</v>
      </c>
    </row>
    <row r="263" customFormat="false" ht="23.85" hidden="false" customHeight="false" outlineLevel="0" collapsed="false">
      <c r="A263" s="3" t="s">
        <v>2298</v>
      </c>
      <c r="B263" s="3" t="s">
        <v>17</v>
      </c>
      <c r="C263" s="3" t="s">
        <v>640</v>
      </c>
      <c r="D263" s="3" t="s">
        <v>19</v>
      </c>
      <c r="E263" s="3" t="s">
        <v>2299</v>
      </c>
      <c r="F263" s="3" t="s">
        <v>2300</v>
      </c>
      <c r="G263" s="3" t="s">
        <v>2301</v>
      </c>
      <c r="H263" s="3" t="s">
        <v>722</v>
      </c>
      <c r="I263" s="3" t="s">
        <v>2302</v>
      </c>
      <c r="J263" s="3" t="s">
        <v>2303</v>
      </c>
      <c r="K263" s="3" t="s">
        <v>2304</v>
      </c>
      <c r="L263" s="3" t="s">
        <v>8</v>
      </c>
      <c r="M263" s="3" t="s">
        <v>2305</v>
      </c>
      <c r="N263" s="3" t="s">
        <v>2306</v>
      </c>
      <c r="O263" s="3" t="s">
        <v>2307</v>
      </c>
      <c r="P263" s="3" t="s">
        <v>30</v>
      </c>
    </row>
    <row r="264" customFormat="false" ht="23.85" hidden="false" customHeight="false" outlineLevel="0" collapsed="false">
      <c r="A264" s="3" t="s">
        <v>2308</v>
      </c>
      <c r="B264" s="3" t="s">
        <v>17</v>
      </c>
      <c r="C264" s="3" t="s">
        <v>640</v>
      </c>
      <c r="D264" s="3" t="s">
        <v>19</v>
      </c>
      <c r="E264" s="3" t="s">
        <v>2299</v>
      </c>
      <c r="F264" s="3" t="s">
        <v>2300</v>
      </c>
      <c r="G264" s="3" t="s">
        <v>2301</v>
      </c>
      <c r="H264" s="3" t="s">
        <v>2309</v>
      </c>
      <c r="I264" s="3" t="s">
        <v>2310</v>
      </c>
      <c r="J264" s="3" t="s">
        <v>2311</v>
      </c>
      <c r="K264" s="3" t="s">
        <v>2312</v>
      </c>
      <c r="L264" s="3" t="s">
        <v>8</v>
      </c>
      <c r="M264" s="3" t="s">
        <v>2313</v>
      </c>
      <c r="N264" s="3" t="s">
        <v>2314</v>
      </c>
      <c r="O264" s="3" t="s">
        <v>140</v>
      </c>
      <c r="P264" s="3" t="s">
        <v>30</v>
      </c>
    </row>
    <row r="265" customFormat="false" ht="23.85" hidden="false" customHeight="false" outlineLevel="0" collapsed="false">
      <c r="A265" s="3" t="s">
        <v>2315</v>
      </c>
      <c r="B265" s="3" t="s">
        <v>17</v>
      </c>
      <c r="C265" s="3" t="s">
        <v>640</v>
      </c>
      <c r="D265" s="3" t="s">
        <v>19</v>
      </c>
      <c r="E265" s="3" t="s">
        <v>2299</v>
      </c>
      <c r="F265" s="3" t="s">
        <v>2300</v>
      </c>
      <c r="G265" s="3" t="s">
        <v>2301</v>
      </c>
      <c r="H265" s="3" t="s">
        <v>2316</v>
      </c>
      <c r="I265" s="3" t="s">
        <v>2317</v>
      </c>
      <c r="J265" s="3" t="s">
        <v>2318</v>
      </c>
      <c r="K265" s="3" t="s">
        <v>2319</v>
      </c>
      <c r="L265" s="3" t="s">
        <v>8</v>
      </c>
      <c r="M265" s="3" t="s">
        <v>2320</v>
      </c>
      <c r="N265" s="3" t="s">
        <v>2321</v>
      </c>
      <c r="O265" s="3" t="s">
        <v>183</v>
      </c>
      <c r="P265" s="3" t="s">
        <v>30</v>
      </c>
    </row>
    <row r="266" customFormat="false" ht="23.85" hidden="false" customHeight="false" outlineLevel="0" collapsed="false">
      <c r="A266" s="3" t="s">
        <v>2322</v>
      </c>
      <c r="B266" s="3" t="s">
        <v>17</v>
      </c>
      <c r="C266" s="3" t="s">
        <v>640</v>
      </c>
      <c r="D266" s="3" t="s">
        <v>1449</v>
      </c>
      <c r="E266" s="3" t="s">
        <v>2323</v>
      </c>
      <c r="F266" s="3" t="s">
        <v>2324</v>
      </c>
      <c r="G266" s="3" t="s">
        <v>2325</v>
      </c>
      <c r="H266" s="3" t="s">
        <v>2326</v>
      </c>
      <c r="I266" s="3" t="s">
        <v>2327</v>
      </c>
      <c r="J266" s="3" t="s">
        <v>2328</v>
      </c>
      <c r="K266" s="3" t="s">
        <v>2329</v>
      </c>
      <c r="L266" s="3" t="s">
        <v>8</v>
      </c>
      <c r="M266" s="3" t="s">
        <v>2330</v>
      </c>
      <c r="N266" s="3" t="s">
        <v>2331</v>
      </c>
      <c r="O266" s="3" t="s">
        <v>666</v>
      </c>
      <c r="P266" s="3" t="s">
        <v>30</v>
      </c>
    </row>
    <row r="267" customFormat="false" ht="23.85" hidden="false" customHeight="false" outlineLevel="0" collapsed="false">
      <c r="A267" s="3" t="s">
        <v>2332</v>
      </c>
      <c r="B267" s="3" t="s">
        <v>17</v>
      </c>
      <c r="C267" s="3" t="s">
        <v>640</v>
      </c>
      <c r="D267" s="3" t="s">
        <v>1449</v>
      </c>
      <c r="E267" s="3" t="s">
        <v>2323</v>
      </c>
      <c r="F267" s="3" t="s">
        <v>2324</v>
      </c>
      <c r="G267" s="3" t="s">
        <v>2325</v>
      </c>
      <c r="H267" s="3" t="s">
        <v>2333</v>
      </c>
      <c r="I267" s="3" t="s">
        <v>2334</v>
      </c>
      <c r="J267" s="3" t="s">
        <v>2335</v>
      </c>
      <c r="K267" s="3" t="s">
        <v>2336</v>
      </c>
      <c r="L267" s="3" t="s">
        <v>8</v>
      </c>
      <c r="M267" s="3" t="s">
        <v>2337</v>
      </c>
      <c r="N267" s="3" t="s">
        <v>2338</v>
      </c>
      <c r="O267" s="3" t="s">
        <v>2339</v>
      </c>
      <c r="P267" s="3" t="s">
        <v>30</v>
      </c>
    </row>
    <row r="268" customFormat="false" ht="23.85" hidden="false" customHeight="false" outlineLevel="0" collapsed="false">
      <c r="A268" s="3" t="s">
        <v>2340</v>
      </c>
      <c r="B268" s="3" t="s">
        <v>17</v>
      </c>
      <c r="C268" s="3" t="s">
        <v>640</v>
      </c>
      <c r="D268" s="3" t="s">
        <v>1449</v>
      </c>
      <c r="E268" s="3" t="s">
        <v>2323</v>
      </c>
      <c r="F268" s="3" t="s">
        <v>2324</v>
      </c>
      <c r="G268" s="3" t="s">
        <v>2325</v>
      </c>
      <c r="H268" s="3" t="s">
        <v>2341</v>
      </c>
      <c r="I268" s="3" t="s">
        <v>2342</v>
      </c>
      <c r="J268" s="3" t="s">
        <v>2343</v>
      </c>
      <c r="K268" s="3" t="s">
        <v>2344</v>
      </c>
      <c r="L268" s="3" t="s">
        <v>8</v>
      </c>
      <c r="M268" s="3" t="s">
        <v>2345</v>
      </c>
      <c r="N268" s="3" t="s">
        <v>2346</v>
      </c>
      <c r="O268" s="3" t="s">
        <v>666</v>
      </c>
      <c r="P268" s="3" t="s">
        <v>30</v>
      </c>
    </row>
    <row r="269" customFormat="false" ht="23.85" hidden="false" customHeight="false" outlineLevel="0" collapsed="false">
      <c r="A269" s="3" t="s">
        <v>2347</v>
      </c>
      <c r="B269" s="3" t="s">
        <v>17</v>
      </c>
      <c r="C269" s="3" t="s">
        <v>640</v>
      </c>
      <c r="D269" s="3" t="s">
        <v>19</v>
      </c>
      <c r="E269" s="3" t="s">
        <v>2348</v>
      </c>
      <c r="F269" s="3" t="s">
        <v>2349</v>
      </c>
      <c r="G269" s="3" t="s">
        <v>2350</v>
      </c>
      <c r="H269" s="3" t="s">
        <v>2351</v>
      </c>
      <c r="I269" s="3" t="s">
        <v>2352</v>
      </c>
      <c r="J269" s="3" t="s">
        <v>2353</v>
      </c>
      <c r="K269" s="3" t="s">
        <v>2354</v>
      </c>
      <c r="L269" s="3" t="s">
        <v>8</v>
      </c>
      <c r="M269" s="3" t="s">
        <v>2355</v>
      </c>
      <c r="N269" s="3" t="s">
        <v>2356</v>
      </c>
      <c r="O269" s="3" t="s">
        <v>2357</v>
      </c>
      <c r="P269" s="3" t="s">
        <v>30</v>
      </c>
    </row>
    <row r="270" customFormat="false" ht="23.85" hidden="false" customHeight="false" outlineLevel="0" collapsed="false">
      <c r="A270" s="3" t="s">
        <v>2358</v>
      </c>
      <c r="B270" s="3" t="s">
        <v>17</v>
      </c>
      <c r="C270" s="3" t="s">
        <v>640</v>
      </c>
      <c r="D270" s="3" t="s">
        <v>19</v>
      </c>
      <c r="E270" s="3" t="s">
        <v>2348</v>
      </c>
      <c r="F270" s="3" t="s">
        <v>2349</v>
      </c>
      <c r="G270" s="3" t="s">
        <v>2350</v>
      </c>
      <c r="H270" s="3" t="s">
        <v>2359</v>
      </c>
      <c r="I270" s="3" t="s">
        <v>2360</v>
      </c>
      <c r="J270" s="3" t="s">
        <v>2361</v>
      </c>
      <c r="K270" s="3" t="s">
        <v>2362</v>
      </c>
      <c r="L270" s="3" t="s">
        <v>8</v>
      </c>
      <c r="M270" s="3" t="s">
        <v>2363</v>
      </c>
      <c r="N270" s="3" t="s">
        <v>2364</v>
      </c>
      <c r="O270" s="3" t="s">
        <v>2365</v>
      </c>
      <c r="P270" s="3" t="s">
        <v>30</v>
      </c>
    </row>
    <row r="271" customFormat="false" ht="23.85" hidden="false" customHeight="false" outlineLevel="0" collapsed="false">
      <c r="A271" s="3" t="s">
        <v>2366</v>
      </c>
      <c r="B271" s="3" t="s">
        <v>17</v>
      </c>
      <c r="C271" s="3" t="s">
        <v>640</v>
      </c>
      <c r="D271" s="3" t="s">
        <v>19</v>
      </c>
      <c r="E271" s="3" t="s">
        <v>2348</v>
      </c>
      <c r="F271" s="3" t="s">
        <v>2349</v>
      </c>
      <c r="G271" s="3" t="s">
        <v>2350</v>
      </c>
      <c r="H271" s="3" t="s">
        <v>2367</v>
      </c>
      <c r="I271" s="3" t="s">
        <v>2368</v>
      </c>
      <c r="J271" s="3" t="s">
        <v>2369</v>
      </c>
      <c r="K271" s="3" t="s">
        <v>2370</v>
      </c>
      <c r="L271" s="3" t="s">
        <v>8</v>
      </c>
      <c r="M271" s="3" t="s">
        <v>2371</v>
      </c>
      <c r="N271" s="3" t="s">
        <v>2372</v>
      </c>
      <c r="O271" s="3" t="s">
        <v>2365</v>
      </c>
      <c r="P271" s="3" t="s">
        <v>30</v>
      </c>
    </row>
    <row r="272" customFormat="false" ht="23.85" hidden="false" customHeight="false" outlineLevel="0" collapsed="false">
      <c r="A272" s="3" t="s">
        <v>2373</v>
      </c>
      <c r="B272" s="3" t="s">
        <v>17</v>
      </c>
      <c r="C272" s="3" t="s">
        <v>718</v>
      </c>
      <c r="D272" s="3" t="s">
        <v>19</v>
      </c>
      <c r="E272" s="3" t="s">
        <v>2374</v>
      </c>
      <c r="F272" s="3" t="s">
        <v>2375</v>
      </c>
      <c r="G272" s="3" t="s">
        <v>2376</v>
      </c>
      <c r="H272" s="3" t="s">
        <v>2377</v>
      </c>
      <c r="I272" s="3" t="s">
        <v>2378</v>
      </c>
      <c r="J272" s="3" t="s">
        <v>2379</v>
      </c>
      <c r="K272" s="3" t="s">
        <v>2380</v>
      </c>
      <c r="L272" s="3" t="s">
        <v>8</v>
      </c>
      <c r="M272" s="3" t="s">
        <v>2381</v>
      </c>
      <c r="N272" s="3" t="s">
        <v>2382</v>
      </c>
      <c r="O272" s="3" t="s">
        <v>2383</v>
      </c>
      <c r="P272" s="3" t="s">
        <v>30</v>
      </c>
    </row>
    <row r="273" customFormat="false" ht="23.85" hidden="false" customHeight="false" outlineLevel="0" collapsed="false">
      <c r="A273" s="3" t="s">
        <v>2384</v>
      </c>
      <c r="B273" s="3" t="s">
        <v>17</v>
      </c>
      <c r="C273" s="3" t="s">
        <v>718</v>
      </c>
      <c r="D273" s="3" t="s">
        <v>19</v>
      </c>
      <c r="E273" s="3" t="s">
        <v>2374</v>
      </c>
      <c r="F273" s="3" t="s">
        <v>2375</v>
      </c>
      <c r="G273" s="3" t="s">
        <v>2376</v>
      </c>
      <c r="H273" s="3" t="s">
        <v>2385</v>
      </c>
      <c r="I273" s="3" t="s">
        <v>2386</v>
      </c>
      <c r="J273" s="3" t="s">
        <v>2387</v>
      </c>
      <c r="K273" s="3" t="s">
        <v>2388</v>
      </c>
      <c r="L273" s="3" t="s">
        <v>8</v>
      </c>
      <c r="M273" s="3" t="s">
        <v>2389</v>
      </c>
      <c r="N273" s="3" t="s">
        <v>2390</v>
      </c>
      <c r="O273" s="3" t="s">
        <v>2391</v>
      </c>
      <c r="P273" s="3" t="s">
        <v>30</v>
      </c>
    </row>
    <row r="274" customFormat="false" ht="23.85" hidden="false" customHeight="false" outlineLevel="0" collapsed="false">
      <c r="A274" s="3" t="s">
        <v>2392</v>
      </c>
      <c r="B274" s="3" t="s">
        <v>17</v>
      </c>
      <c r="C274" s="3" t="s">
        <v>718</v>
      </c>
      <c r="D274" s="3" t="s">
        <v>19</v>
      </c>
      <c r="E274" s="3" t="s">
        <v>2374</v>
      </c>
      <c r="F274" s="3" t="s">
        <v>2375</v>
      </c>
      <c r="G274" s="3" t="s">
        <v>2376</v>
      </c>
      <c r="H274" s="3" t="s">
        <v>2393</v>
      </c>
      <c r="I274" s="3" t="s">
        <v>2394</v>
      </c>
      <c r="J274" s="3" t="s">
        <v>2395</v>
      </c>
      <c r="K274" s="3" t="s">
        <v>2396</v>
      </c>
      <c r="L274" s="3" t="s">
        <v>8</v>
      </c>
      <c r="M274" s="3" t="s">
        <v>2397</v>
      </c>
      <c r="N274" s="3" t="s">
        <v>2398</v>
      </c>
      <c r="O274" s="3" t="s">
        <v>2399</v>
      </c>
      <c r="P274" s="3" t="s">
        <v>30</v>
      </c>
    </row>
    <row r="275" customFormat="false" ht="23.85" hidden="false" customHeight="false" outlineLevel="0" collapsed="false">
      <c r="A275" s="3" t="s">
        <v>2400</v>
      </c>
      <c r="B275" s="3" t="s">
        <v>17</v>
      </c>
      <c r="C275" s="3" t="s">
        <v>718</v>
      </c>
      <c r="D275" s="3" t="s">
        <v>1449</v>
      </c>
      <c r="E275" s="3" t="s">
        <v>2401</v>
      </c>
      <c r="F275" s="3" t="s">
        <v>2402</v>
      </c>
      <c r="G275" s="3" t="s">
        <v>2403</v>
      </c>
      <c r="H275" s="3" t="s">
        <v>2404</v>
      </c>
      <c r="I275" s="3" t="s">
        <v>2405</v>
      </c>
      <c r="J275" s="3" t="s">
        <v>2406</v>
      </c>
      <c r="K275" s="3" t="s">
        <v>2407</v>
      </c>
      <c r="L275" s="3" t="s">
        <v>8</v>
      </c>
      <c r="M275" s="3" t="s">
        <v>2408</v>
      </c>
      <c r="N275" s="3" t="s">
        <v>2409</v>
      </c>
      <c r="O275" s="3" t="s">
        <v>2410</v>
      </c>
      <c r="P275" s="3" t="s">
        <v>30</v>
      </c>
    </row>
    <row r="276" customFormat="false" ht="23.85" hidden="false" customHeight="false" outlineLevel="0" collapsed="false">
      <c r="A276" s="3" t="s">
        <v>2411</v>
      </c>
      <c r="B276" s="3" t="s">
        <v>17</v>
      </c>
      <c r="C276" s="3" t="s">
        <v>718</v>
      </c>
      <c r="D276" s="3" t="s">
        <v>1449</v>
      </c>
      <c r="E276" s="3" t="s">
        <v>2401</v>
      </c>
      <c r="F276" s="3" t="s">
        <v>2402</v>
      </c>
      <c r="G276" s="3" t="s">
        <v>2403</v>
      </c>
      <c r="H276" s="3" t="s">
        <v>2412</v>
      </c>
      <c r="I276" s="3" t="s">
        <v>2413</v>
      </c>
      <c r="J276" s="3" t="s">
        <v>2414</v>
      </c>
      <c r="K276" s="3" t="s">
        <v>2415</v>
      </c>
      <c r="L276" s="3" t="s">
        <v>8</v>
      </c>
      <c r="M276" s="3" t="s">
        <v>2416</v>
      </c>
      <c r="N276" s="3" t="s">
        <v>2417</v>
      </c>
      <c r="O276" s="3" t="s">
        <v>2418</v>
      </c>
      <c r="P276" s="3" t="s">
        <v>30</v>
      </c>
    </row>
    <row r="277" customFormat="false" ht="23.85" hidden="false" customHeight="false" outlineLevel="0" collapsed="false">
      <c r="A277" s="3" t="s">
        <v>2419</v>
      </c>
      <c r="B277" s="3" t="s">
        <v>17</v>
      </c>
      <c r="C277" s="3" t="s">
        <v>718</v>
      </c>
      <c r="D277" s="3" t="s">
        <v>1449</v>
      </c>
      <c r="E277" s="3" t="s">
        <v>2401</v>
      </c>
      <c r="F277" s="3" t="s">
        <v>2402</v>
      </c>
      <c r="G277" s="3" t="s">
        <v>2403</v>
      </c>
      <c r="H277" s="3" t="s">
        <v>2420</v>
      </c>
      <c r="I277" s="3" t="s">
        <v>2421</v>
      </c>
      <c r="J277" s="3" t="s">
        <v>2422</v>
      </c>
      <c r="K277" s="3" t="s">
        <v>2423</v>
      </c>
      <c r="L277" s="3" t="s">
        <v>8</v>
      </c>
      <c r="M277" s="3" t="s">
        <v>2424</v>
      </c>
      <c r="N277" s="3" t="s">
        <v>2425</v>
      </c>
      <c r="O277" s="3" t="s">
        <v>2426</v>
      </c>
      <c r="P277" s="3" t="s">
        <v>30</v>
      </c>
    </row>
    <row r="278" customFormat="false" ht="23.85" hidden="false" customHeight="false" outlineLevel="0" collapsed="false">
      <c r="A278" s="3" t="s">
        <v>2427</v>
      </c>
      <c r="B278" s="3" t="s">
        <v>17</v>
      </c>
      <c r="C278" s="3" t="s">
        <v>718</v>
      </c>
      <c r="D278" s="3" t="s">
        <v>19</v>
      </c>
      <c r="E278" s="3" t="s">
        <v>2428</v>
      </c>
      <c r="F278" s="3" t="s">
        <v>2429</v>
      </c>
      <c r="G278" s="3" t="s">
        <v>2430</v>
      </c>
      <c r="H278" s="3" t="s">
        <v>2431</v>
      </c>
      <c r="I278" s="3" t="s">
        <v>2432</v>
      </c>
      <c r="J278" s="3" t="s">
        <v>2433</v>
      </c>
      <c r="K278" s="3" t="s">
        <v>2434</v>
      </c>
      <c r="L278" s="3" t="s">
        <v>8</v>
      </c>
      <c r="M278" s="3" t="s">
        <v>2435</v>
      </c>
      <c r="N278" s="3" t="s">
        <v>2436</v>
      </c>
      <c r="O278" s="3" t="s">
        <v>2437</v>
      </c>
      <c r="P278" s="3" t="s">
        <v>30</v>
      </c>
    </row>
    <row r="279" customFormat="false" ht="23.85" hidden="false" customHeight="false" outlineLevel="0" collapsed="false">
      <c r="A279" s="3" t="s">
        <v>2438</v>
      </c>
      <c r="B279" s="3" t="s">
        <v>17</v>
      </c>
      <c r="C279" s="3" t="s">
        <v>718</v>
      </c>
      <c r="D279" s="3" t="s">
        <v>19</v>
      </c>
      <c r="E279" s="3" t="s">
        <v>2428</v>
      </c>
      <c r="F279" s="3" t="s">
        <v>2429</v>
      </c>
      <c r="G279" s="3" t="s">
        <v>2430</v>
      </c>
      <c r="H279" s="3" t="s">
        <v>2439</v>
      </c>
      <c r="I279" s="3" t="s">
        <v>2440</v>
      </c>
      <c r="J279" s="3" t="s">
        <v>2441</v>
      </c>
      <c r="K279" s="3" t="s">
        <v>2442</v>
      </c>
      <c r="L279" s="3" t="s">
        <v>8</v>
      </c>
      <c r="M279" s="3" t="s">
        <v>2443</v>
      </c>
      <c r="N279" s="3" t="s">
        <v>2444</v>
      </c>
      <c r="O279" s="3" t="s">
        <v>2445</v>
      </c>
      <c r="P279" s="3" t="s">
        <v>30</v>
      </c>
    </row>
    <row r="280" customFormat="false" ht="23.85" hidden="false" customHeight="false" outlineLevel="0" collapsed="false">
      <c r="A280" s="3" t="s">
        <v>2446</v>
      </c>
      <c r="B280" s="3" t="s">
        <v>17</v>
      </c>
      <c r="C280" s="3" t="s">
        <v>718</v>
      </c>
      <c r="D280" s="3" t="s">
        <v>19</v>
      </c>
      <c r="E280" s="3" t="s">
        <v>2428</v>
      </c>
      <c r="F280" s="3" t="s">
        <v>2429</v>
      </c>
      <c r="G280" s="3" t="s">
        <v>2430</v>
      </c>
      <c r="H280" s="3" t="s">
        <v>2447</v>
      </c>
      <c r="I280" s="3" t="s">
        <v>2448</v>
      </c>
      <c r="J280" s="3" t="s">
        <v>2449</v>
      </c>
      <c r="K280" s="3" t="s">
        <v>2450</v>
      </c>
      <c r="L280" s="3" t="s">
        <v>8</v>
      </c>
      <c r="M280" s="3" t="s">
        <v>2451</v>
      </c>
      <c r="N280" s="3" t="s">
        <v>2452</v>
      </c>
      <c r="O280" s="3" t="s">
        <v>2453</v>
      </c>
      <c r="P280" s="3" t="s">
        <v>30</v>
      </c>
    </row>
    <row r="281" customFormat="false" ht="23.85" hidden="false" customHeight="false" outlineLevel="0" collapsed="false">
      <c r="A281" s="3" t="s">
        <v>2454</v>
      </c>
      <c r="B281" s="3" t="s">
        <v>17</v>
      </c>
      <c r="C281" s="3" t="s">
        <v>718</v>
      </c>
      <c r="D281" s="3" t="s">
        <v>1449</v>
      </c>
      <c r="E281" s="3" t="s">
        <v>2455</v>
      </c>
      <c r="F281" s="3" t="s">
        <v>2456</v>
      </c>
      <c r="G281" s="3" t="s">
        <v>2457</v>
      </c>
      <c r="H281" s="3" t="s">
        <v>2458</v>
      </c>
      <c r="I281" s="3" t="s">
        <v>2459</v>
      </c>
      <c r="J281" s="3" t="s">
        <v>2460</v>
      </c>
      <c r="K281" s="3" t="s">
        <v>2461</v>
      </c>
      <c r="L281" s="3" t="s">
        <v>8</v>
      </c>
      <c r="M281" s="3" t="s">
        <v>2462</v>
      </c>
      <c r="N281" s="3" t="s">
        <v>2463</v>
      </c>
      <c r="O281" s="3" t="s">
        <v>2464</v>
      </c>
      <c r="P281" s="3" t="s">
        <v>30</v>
      </c>
    </row>
    <row r="282" customFormat="false" ht="23.85" hidden="false" customHeight="false" outlineLevel="0" collapsed="false">
      <c r="A282" s="3" t="s">
        <v>2465</v>
      </c>
      <c r="B282" s="3" t="s">
        <v>17</v>
      </c>
      <c r="C282" s="3" t="s">
        <v>718</v>
      </c>
      <c r="D282" s="3" t="s">
        <v>1449</v>
      </c>
      <c r="E282" s="3" t="s">
        <v>2455</v>
      </c>
      <c r="F282" s="3" t="s">
        <v>2456</v>
      </c>
      <c r="G282" s="3" t="s">
        <v>2457</v>
      </c>
      <c r="H282" s="3" t="s">
        <v>2466</v>
      </c>
      <c r="I282" s="3" t="s">
        <v>2467</v>
      </c>
      <c r="J282" s="3" t="s">
        <v>2468</v>
      </c>
      <c r="K282" s="3" t="s">
        <v>2469</v>
      </c>
      <c r="L282" s="3" t="s">
        <v>8</v>
      </c>
      <c r="M282" s="3" t="s">
        <v>2470</v>
      </c>
      <c r="N282" s="3" t="s">
        <v>2471</v>
      </c>
      <c r="O282" s="3" t="s">
        <v>440</v>
      </c>
      <c r="P282" s="3" t="s">
        <v>30</v>
      </c>
    </row>
    <row r="283" customFormat="false" ht="23.85" hidden="false" customHeight="false" outlineLevel="0" collapsed="false">
      <c r="A283" s="3" t="s">
        <v>2472</v>
      </c>
      <c r="B283" s="3" t="s">
        <v>17</v>
      </c>
      <c r="C283" s="3" t="s">
        <v>718</v>
      </c>
      <c r="D283" s="3" t="s">
        <v>1449</v>
      </c>
      <c r="E283" s="3" t="s">
        <v>2455</v>
      </c>
      <c r="F283" s="3" t="s">
        <v>2456</v>
      </c>
      <c r="G283" s="3" t="s">
        <v>2457</v>
      </c>
      <c r="H283" s="3" t="s">
        <v>2473</v>
      </c>
      <c r="I283" s="3" t="s">
        <v>2474</v>
      </c>
      <c r="J283" s="3" t="s">
        <v>2475</v>
      </c>
      <c r="K283" s="3" t="s">
        <v>2476</v>
      </c>
      <c r="L283" s="3" t="s">
        <v>8</v>
      </c>
      <c r="M283" s="3" t="s">
        <v>2477</v>
      </c>
      <c r="N283" s="3" t="s">
        <v>2478</v>
      </c>
      <c r="O283" s="3" t="s">
        <v>394</v>
      </c>
      <c r="P283" s="3" t="s">
        <v>30</v>
      </c>
    </row>
    <row r="284" customFormat="false" ht="23.85" hidden="false" customHeight="false" outlineLevel="0" collapsed="false">
      <c r="A284" s="3" t="s">
        <v>2479</v>
      </c>
      <c r="B284" s="3" t="s">
        <v>17</v>
      </c>
      <c r="C284" s="3" t="s">
        <v>718</v>
      </c>
      <c r="D284" s="3" t="s">
        <v>19</v>
      </c>
      <c r="E284" s="3" t="s">
        <v>2480</v>
      </c>
      <c r="F284" s="3" t="s">
        <v>2481</v>
      </c>
      <c r="G284" s="3" t="s">
        <v>2482</v>
      </c>
      <c r="H284" s="3" t="s">
        <v>2483</v>
      </c>
      <c r="I284" s="3" t="s">
        <v>2484</v>
      </c>
      <c r="J284" s="3" t="s">
        <v>2485</v>
      </c>
      <c r="K284" s="3" t="s">
        <v>2486</v>
      </c>
      <c r="L284" s="3" t="s">
        <v>8</v>
      </c>
      <c r="M284" s="3" t="s">
        <v>2487</v>
      </c>
      <c r="N284" s="3" t="s">
        <v>2488</v>
      </c>
      <c r="O284" s="3" t="s">
        <v>2307</v>
      </c>
      <c r="P284" s="3" t="s">
        <v>30</v>
      </c>
    </row>
    <row r="285" customFormat="false" ht="23.85" hidden="false" customHeight="false" outlineLevel="0" collapsed="false">
      <c r="A285" s="3" t="s">
        <v>2489</v>
      </c>
      <c r="B285" s="3" t="s">
        <v>17</v>
      </c>
      <c r="C285" s="3" t="s">
        <v>718</v>
      </c>
      <c r="D285" s="3" t="s">
        <v>19</v>
      </c>
      <c r="E285" s="3" t="s">
        <v>2480</v>
      </c>
      <c r="F285" s="3" t="s">
        <v>2481</v>
      </c>
      <c r="G285" s="3" t="s">
        <v>2482</v>
      </c>
      <c r="H285" s="3" t="s">
        <v>2490</v>
      </c>
      <c r="I285" s="3" t="s">
        <v>2491</v>
      </c>
      <c r="J285" s="3" t="s">
        <v>2492</v>
      </c>
      <c r="K285" s="3" t="s">
        <v>2493</v>
      </c>
      <c r="L285" s="3" t="s">
        <v>8</v>
      </c>
      <c r="M285" s="3" t="s">
        <v>2494</v>
      </c>
      <c r="N285" s="3" t="s">
        <v>2495</v>
      </c>
      <c r="O285" s="3" t="s">
        <v>315</v>
      </c>
      <c r="P285" s="3" t="s">
        <v>30</v>
      </c>
    </row>
    <row r="286" customFormat="false" ht="23.85" hidden="false" customHeight="false" outlineLevel="0" collapsed="false">
      <c r="A286" s="3" t="s">
        <v>2496</v>
      </c>
      <c r="B286" s="3" t="s">
        <v>17</v>
      </c>
      <c r="C286" s="3" t="s">
        <v>718</v>
      </c>
      <c r="D286" s="3" t="s">
        <v>19</v>
      </c>
      <c r="E286" s="3" t="s">
        <v>2480</v>
      </c>
      <c r="F286" s="3" t="s">
        <v>2481</v>
      </c>
      <c r="G286" s="3" t="s">
        <v>2482</v>
      </c>
      <c r="H286" s="3" t="s">
        <v>2497</v>
      </c>
      <c r="I286" s="3" t="s">
        <v>2498</v>
      </c>
      <c r="J286" s="3" t="s">
        <v>2499</v>
      </c>
      <c r="K286" s="3" t="s">
        <v>2500</v>
      </c>
      <c r="L286" s="3" t="s">
        <v>8</v>
      </c>
      <c r="M286" s="3" t="s">
        <v>2501</v>
      </c>
      <c r="N286" s="3" t="s">
        <v>2502</v>
      </c>
      <c r="O286" s="3" t="s">
        <v>2257</v>
      </c>
      <c r="P286" s="3" t="s">
        <v>30</v>
      </c>
    </row>
    <row r="287" customFormat="false" ht="23.85" hidden="false" customHeight="false" outlineLevel="0" collapsed="false">
      <c r="A287" s="3" t="s">
        <v>2503</v>
      </c>
      <c r="B287" s="3" t="s">
        <v>17</v>
      </c>
      <c r="C287" s="3" t="s">
        <v>795</v>
      </c>
      <c r="D287" s="3" t="s">
        <v>19</v>
      </c>
      <c r="E287" s="3" t="s">
        <v>2504</v>
      </c>
      <c r="F287" s="3" t="s">
        <v>2505</v>
      </c>
      <c r="G287" s="3" t="s">
        <v>2506</v>
      </c>
      <c r="H287" s="3" t="s">
        <v>2507</v>
      </c>
      <c r="I287" s="3" t="s">
        <v>2508</v>
      </c>
      <c r="J287" s="3" t="s">
        <v>2509</v>
      </c>
      <c r="K287" s="3" t="s">
        <v>2510</v>
      </c>
      <c r="L287" s="3" t="s">
        <v>8</v>
      </c>
      <c r="M287" s="3" t="s">
        <v>2511</v>
      </c>
      <c r="N287" s="3" t="s">
        <v>2512</v>
      </c>
      <c r="O287" s="3" t="s">
        <v>2513</v>
      </c>
      <c r="P287" s="3" t="s">
        <v>30</v>
      </c>
    </row>
    <row r="288" customFormat="false" ht="23.85" hidden="false" customHeight="false" outlineLevel="0" collapsed="false">
      <c r="A288" s="3" t="s">
        <v>2514</v>
      </c>
      <c r="B288" s="3" t="s">
        <v>17</v>
      </c>
      <c r="C288" s="3" t="s">
        <v>795</v>
      </c>
      <c r="D288" s="3" t="s">
        <v>19</v>
      </c>
      <c r="E288" s="3" t="s">
        <v>2504</v>
      </c>
      <c r="F288" s="3" t="s">
        <v>2505</v>
      </c>
      <c r="G288" s="3" t="s">
        <v>2506</v>
      </c>
      <c r="H288" s="3" t="s">
        <v>2515</v>
      </c>
      <c r="I288" s="3" t="s">
        <v>2516</v>
      </c>
      <c r="J288" s="3" t="s">
        <v>2517</v>
      </c>
      <c r="K288" s="3" t="s">
        <v>2518</v>
      </c>
      <c r="L288" s="3" t="s">
        <v>8</v>
      </c>
      <c r="M288" s="3" t="s">
        <v>2519</v>
      </c>
      <c r="N288" s="3" t="s">
        <v>2520</v>
      </c>
      <c r="O288" s="3" t="s">
        <v>2521</v>
      </c>
      <c r="P288" s="3" t="s">
        <v>30</v>
      </c>
    </row>
    <row r="289" customFormat="false" ht="23.85" hidden="false" customHeight="false" outlineLevel="0" collapsed="false">
      <c r="A289" s="3" t="s">
        <v>2522</v>
      </c>
      <c r="B289" s="3" t="s">
        <v>17</v>
      </c>
      <c r="C289" s="3" t="s">
        <v>795</v>
      </c>
      <c r="D289" s="3" t="s">
        <v>19</v>
      </c>
      <c r="E289" s="3" t="s">
        <v>2504</v>
      </c>
      <c r="F289" s="3" t="s">
        <v>2505</v>
      </c>
      <c r="G289" s="3" t="s">
        <v>2506</v>
      </c>
      <c r="H289" s="3" t="s">
        <v>2523</v>
      </c>
      <c r="I289" s="3" t="s">
        <v>2524</v>
      </c>
      <c r="J289" s="3" t="s">
        <v>2525</v>
      </c>
      <c r="K289" s="3" t="s">
        <v>2526</v>
      </c>
      <c r="L289" s="3" t="s">
        <v>8</v>
      </c>
      <c r="M289" s="3" t="s">
        <v>2527</v>
      </c>
      <c r="N289" s="3" t="s">
        <v>2528</v>
      </c>
      <c r="O289" s="3" t="s">
        <v>1364</v>
      </c>
      <c r="P289" s="3" t="s">
        <v>30</v>
      </c>
    </row>
    <row r="290" customFormat="false" ht="23.85" hidden="false" customHeight="false" outlineLevel="0" collapsed="false">
      <c r="A290" s="3" t="s">
        <v>2529</v>
      </c>
      <c r="B290" s="3" t="s">
        <v>17</v>
      </c>
      <c r="C290" s="3" t="s">
        <v>795</v>
      </c>
      <c r="D290" s="3" t="s">
        <v>19</v>
      </c>
      <c r="E290" s="3" t="s">
        <v>2530</v>
      </c>
      <c r="F290" s="3" t="s">
        <v>2531</v>
      </c>
      <c r="G290" s="3" t="s">
        <v>2532</v>
      </c>
      <c r="H290" s="3" t="s">
        <v>2533</v>
      </c>
      <c r="I290" s="3" t="s">
        <v>2534</v>
      </c>
      <c r="J290" s="3" t="s">
        <v>2535</v>
      </c>
      <c r="K290" s="3" t="s">
        <v>2536</v>
      </c>
      <c r="L290" s="3" t="s">
        <v>8</v>
      </c>
      <c r="M290" s="3" t="s">
        <v>2537</v>
      </c>
      <c r="N290" s="3" t="s">
        <v>2538</v>
      </c>
      <c r="O290" s="3" t="s">
        <v>2539</v>
      </c>
      <c r="P290" s="3" t="s">
        <v>30</v>
      </c>
    </row>
    <row r="291" customFormat="false" ht="23.85" hidden="false" customHeight="false" outlineLevel="0" collapsed="false">
      <c r="A291" s="3" t="s">
        <v>2540</v>
      </c>
      <c r="B291" s="3" t="s">
        <v>17</v>
      </c>
      <c r="C291" s="3" t="s">
        <v>795</v>
      </c>
      <c r="D291" s="3" t="s">
        <v>19</v>
      </c>
      <c r="E291" s="3" t="s">
        <v>2530</v>
      </c>
      <c r="F291" s="3" t="s">
        <v>2531</v>
      </c>
      <c r="G291" s="3" t="s">
        <v>2532</v>
      </c>
      <c r="H291" s="3" t="s">
        <v>2541</v>
      </c>
      <c r="I291" s="3" t="s">
        <v>2542</v>
      </c>
      <c r="J291" s="3" t="s">
        <v>2543</v>
      </c>
      <c r="K291" s="3" t="s">
        <v>2544</v>
      </c>
      <c r="L291" s="3" t="s">
        <v>8</v>
      </c>
      <c r="M291" s="3" t="s">
        <v>2545</v>
      </c>
      <c r="N291" s="3" t="s">
        <v>2546</v>
      </c>
      <c r="O291" s="3" t="s">
        <v>2547</v>
      </c>
      <c r="P291" s="3" t="s">
        <v>30</v>
      </c>
    </row>
    <row r="292" customFormat="false" ht="23.85" hidden="false" customHeight="false" outlineLevel="0" collapsed="false">
      <c r="A292" s="3" t="s">
        <v>2548</v>
      </c>
      <c r="B292" s="3" t="s">
        <v>17</v>
      </c>
      <c r="C292" s="3" t="s">
        <v>795</v>
      </c>
      <c r="D292" s="3" t="s">
        <v>19</v>
      </c>
      <c r="E292" s="3" t="s">
        <v>2530</v>
      </c>
      <c r="F292" s="3" t="s">
        <v>2531</v>
      </c>
      <c r="G292" s="3" t="s">
        <v>2532</v>
      </c>
      <c r="H292" s="3" t="s">
        <v>2549</v>
      </c>
      <c r="I292" s="3" t="s">
        <v>2550</v>
      </c>
      <c r="J292" s="3" t="s">
        <v>2551</v>
      </c>
      <c r="K292" s="3" t="s">
        <v>2552</v>
      </c>
      <c r="L292" s="3" t="s">
        <v>8</v>
      </c>
      <c r="M292" s="3" t="s">
        <v>2553</v>
      </c>
      <c r="N292" s="3" t="s">
        <v>2554</v>
      </c>
      <c r="O292" s="3" t="s">
        <v>2539</v>
      </c>
      <c r="P292" s="3" t="s">
        <v>30</v>
      </c>
    </row>
    <row r="293" customFormat="false" ht="23.85" hidden="false" customHeight="false" outlineLevel="0" collapsed="false">
      <c r="A293" s="3" t="s">
        <v>2555</v>
      </c>
      <c r="B293" s="3" t="s">
        <v>17</v>
      </c>
      <c r="C293" s="3" t="s">
        <v>795</v>
      </c>
      <c r="D293" s="3" t="s">
        <v>1449</v>
      </c>
      <c r="E293" s="3" t="s">
        <v>2556</v>
      </c>
      <c r="F293" s="3" t="s">
        <v>2557</v>
      </c>
      <c r="G293" s="3" t="s">
        <v>2558</v>
      </c>
      <c r="H293" s="3" t="s">
        <v>2559</v>
      </c>
      <c r="I293" s="3" t="s">
        <v>2560</v>
      </c>
      <c r="J293" s="3" t="s">
        <v>2561</v>
      </c>
      <c r="K293" s="3" t="s">
        <v>2562</v>
      </c>
      <c r="L293" s="3" t="s">
        <v>8</v>
      </c>
      <c r="M293" s="3" t="s">
        <v>2563</v>
      </c>
      <c r="N293" s="3" t="s">
        <v>2564</v>
      </c>
      <c r="O293" s="3" t="s">
        <v>2565</v>
      </c>
      <c r="P293" s="3" t="s">
        <v>30</v>
      </c>
    </row>
    <row r="294" customFormat="false" ht="23.85" hidden="false" customHeight="false" outlineLevel="0" collapsed="false">
      <c r="A294" s="3" t="s">
        <v>2566</v>
      </c>
      <c r="B294" s="3" t="s">
        <v>17</v>
      </c>
      <c r="C294" s="3" t="s">
        <v>795</v>
      </c>
      <c r="D294" s="3" t="s">
        <v>1449</v>
      </c>
      <c r="E294" s="3" t="s">
        <v>2556</v>
      </c>
      <c r="F294" s="3" t="s">
        <v>2557</v>
      </c>
      <c r="G294" s="3" t="s">
        <v>2558</v>
      </c>
      <c r="H294" s="3" t="s">
        <v>2567</v>
      </c>
      <c r="I294" s="3" t="s">
        <v>2568</v>
      </c>
      <c r="J294" s="3" t="s">
        <v>2569</v>
      </c>
      <c r="K294" s="3" t="s">
        <v>2570</v>
      </c>
      <c r="L294" s="3" t="s">
        <v>8</v>
      </c>
      <c r="M294" s="3" t="s">
        <v>2571</v>
      </c>
      <c r="N294" s="3" t="s">
        <v>2572</v>
      </c>
      <c r="O294" s="3" t="s">
        <v>2565</v>
      </c>
      <c r="P294" s="3" t="s">
        <v>30</v>
      </c>
    </row>
    <row r="295" customFormat="false" ht="23.85" hidden="false" customHeight="false" outlineLevel="0" collapsed="false">
      <c r="A295" s="3" t="s">
        <v>2573</v>
      </c>
      <c r="B295" s="3" t="s">
        <v>17</v>
      </c>
      <c r="C295" s="3" t="s">
        <v>795</v>
      </c>
      <c r="D295" s="3" t="s">
        <v>1449</v>
      </c>
      <c r="E295" s="3" t="s">
        <v>2556</v>
      </c>
      <c r="F295" s="3" t="s">
        <v>2557</v>
      </c>
      <c r="G295" s="3" t="s">
        <v>2558</v>
      </c>
      <c r="H295" s="3" t="s">
        <v>2574</v>
      </c>
      <c r="I295" s="3" t="s">
        <v>2575</v>
      </c>
      <c r="J295" s="3" t="s">
        <v>2576</v>
      </c>
      <c r="K295" s="3" t="s">
        <v>2577</v>
      </c>
      <c r="L295" s="3" t="s">
        <v>8</v>
      </c>
      <c r="M295" s="3" t="s">
        <v>2578</v>
      </c>
      <c r="N295" s="3" t="s">
        <v>2579</v>
      </c>
      <c r="O295" s="3" t="s">
        <v>2580</v>
      </c>
      <c r="P295" s="3" t="s">
        <v>30</v>
      </c>
    </row>
    <row r="296" customFormat="false" ht="23.85" hidden="false" customHeight="false" outlineLevel="0" collapsed="false">
      <c r="A296" s="3" t="s">
        <v>2581</v>
      </c>
      <c r="B296" s="3" t="s">
        <v>17</v>
      </c>
      <c r="C296" s="3" t="s">
        <v>795</v>
      </c>
      <c r="D296" s="3" t="s">
        <v>19</v>
      </c>
      <c r="E296" s="3" t="s">
        <v>2582</v>
      </c>
      <c r="F296" s="3" t="s">
        <v>2583</v>
      </c>
      <c r="G296" s="3" t="s">
        <v>2584</v>
      </c>
      <c r="H296" s="3" t="s">
        <v>2585</v>
      </c>
      <c r="I296" s="3" t="s">
        <v>2586</v>
      </c>
      <c r="J296" s="3" t="s">
        <v>2587</v>
      </c>
      <c r="K296" s="3" t="s">
        <v>2588</v>
      </c>
      <c r="L296" s="3" t="s">
        <v>8</v>
      </c>
      <c r="M296" s="3" t="s">
        <v>2589</v>
      </c>
      <c r="N296" s="3" t="s">
        <v>2590</v>
      </c>
      <c r="O296" s="3" t="s">
        <v>2591</v>
      </c>
      <c r="P296" s="3" t="s">
        <v>30</v>
      </c>
    </row>
    <row r="297" customFormat="false" ht="23.85" hidden="false" customHeight="false" outlineLevel="0" collapsed="false">
      <c r="A297" s="3" t="s">
        <v>2592</v>
      </c>
      <c r="B297" s="3" t="s">
        <v>17</v>
      </c>
      <c r="C297" s="3" t="s">
        <v>795</v>
      </c>
      <c r="D297" s="3" t="s">
        <v>19</v>
      </c>
      <c r="E297" s="3" t="s">
        <v>2582</v>
      </c>
      <c r="F297" s="3" t="s">
        <v>2583</v>
      </c>
      <c r="G297" s="3" t="s">
        <v>2584</v>
      </c>
      <c r="H297" s="3" t="s">
        <v>2593</v>
      </c>
      <c r="I297" s="3" t="s">
        <v>2594</v>
      </c>
      <c r="J297" s="3" t="s">
        <v>2595</v>
      </c>
      <c r="K297" s="3" t="s">
        <v>2596</v>
      </c>
      <c r="L297" s="3" t="s">
        <v>8</v>
      </c>
      <c r="M297" s="3" t="s">
        <v>2597</v>
      </c>
      <c r="N297" s="3" t="s">
        <v>2598</v>
      </c>
      <c r="O297" s="3" t="s">
        <v>2599</v>
      </c>
      <c r="P297" s="3" t="s">
        <v>30</v>
      </c>
    </row>
    <row r="298" customFormat="false" ht="23.85" hidden="false" customHeight="false" outlineLevel="0" collapsed="false">
      <c r="A298" s="3" t="s">
        <v>2600</v>
      </c>
      <c r="B298" s="3" t="s">
        <v>17</v>
      </c>
      <c r="C298" s="3" t="s">
        <v>795</v>
      </c>
      <c r="D298" s="3" t="s">
        <v>19</v>
      </c>
      <c r="E298" s="3" t="s">
        <v>2582</v>
      </c>
      <c r="F298" s="3" t="s">
        <v>2583</v>
      </c>
      <c r="G298" s="3" t="s">
        <v>2584</v>
      </c>
      <c r="H298" s="3" t="s">
        <v>2601</v>
      </c>
      <c r="I298" s="3" t="s">
        <v>2602</v>
      </c>
      <c r="J298" s="3" t="s">
        <v>2603</v>
      </c>
      <c r="K298" s="3" t="s">
        <v>2604</v>
      </c>
      <c r="L298" s="3" t="s">
        <v>8</v>
      </c>
      <c r="M298" s="3" t="s">
        <v>2605</v>
      </c>
      <c r="N298" s="3" t="s">
        <v>2606</v>
      </c>
      <c r="O298" s="3" t="s">
        <v>2599</v>
      </c>
      <c r="P298" s="3" t="s">
        <v>30</v>
      </c>
    </row>
    <row r="299" customFormat="false" ht="23.85" hidden="false" customHeight="false" outlineLevel="0" collapsed="false">
      <c r="A299" s="3" t="s">
        <v>2607</v>
      </c>
      <c r="B299" s="3" t="s">
        <v>17</v>
      </c>
      <c r="C299" s="3" t="s">
        <v>795</v>
      </c>
      <c r="D299" s="3" t="s">
        <v>19</v>
      </c>
      <c r="E299" s="3" t="s">
        <v>2608</v>
      </c>
      <c r="F299" s="3" t="s">
        <v>2609</v>
      </c>
      <c r="G299" s="3" t="s">
        <v>2610</v>
      </c>
      <c r="H299" s="3" t="s">
        <v>2611</v>
      </c>
      <c r="I299" s="3" t="s">
        <v>2612</v>
      </c>
      <c r="J299" s="3" t="s">
        <v>2613</v>
      </c>
      <c r="K299" s="3" t="s">
        <v>2614</v>
      </c>
      <c r="L299" s="3" t="s">
        <v>8</v>
      </c>
      <c r="M299" s="3" t="s">
        <v>2615</v>
      </c>
      <c r="N299" s="3" t="s">
        <v>2616</v>
      </c>
      <c r="O299" s="3" t="s">
        <v>2617</v>
      </c>
      <c r="P299" s="3" t="s">
        <v>30</v>
      </c>
    </row>
    <row r="300" customFormat="false" ht="23.85" hidden="false" customHeight="false" outlineLevel="0" collapsed="false">
      <c r="A300" s="3" t="s">
        <v>2618</v>
      </c>
      <c r="B300" s="3" t="s">
        <v>17</v>
      </c>
      <c r="C300" s="3" t="s">
        <v>795</v>
      </c>
      <c r="D300" s="3" t="s">
        <v>19</v>
      </c>
      <c r="E300" s="3" t="s">
        <v>2608</v>
      </c>
      <c r="F300" s="3" t="s">
        <v>2609</v>
      </c>
      <c r="G300" s="3" t="s">
        <v>2610</v>
      </c>
      <c r="H300" s="3" t="s">
        <v>2619</v>
      </c>
      <c r="I300" s="3" t="s">
        <v>2620</v>
      </c>
      <c r="J300" s="3" t="s">
        <v>2621</v>
      </c>
      <c r="K300" s="3" t="s">
        <v>2622</v>
      </c>
      <c r="L300" s="3" t="s">
        <v>8</v>
      </c>
      <c r="M300" s="3" t="s">
        <v>2623</v>
      </c>
      <c r="N300" s="3" t="s">
        <v>2624</v>
      </c>
      <c r="O300" s="3" t="s">
        <v>2625</v>
      </c>
      <c r="P300" s="3" t="s">
        <v>30</v>
      </c>
    </row>
    <row r="301" customFormat="false" ht="23.85" hidden="false" customHeight="false" outlineLevel="0" collapsed="false">
      <c r="A301" s="3" t="s">
        <v>2626</v>
      </c>
      <c r="B301" s="3" t="s">
        <v>17</v>
      </c>
      <c r="C301" s="3" t="s">
        <v>795</v>
      </c>
      <c r="D301" s="3" t="s">
        <v>19</v>
      </c>
      <c r="E301" s="3" t="s">
        <v>2608</v>
      </c>
      <c r="F301" s="3" t="s">
        <v>2609</v>
      </c>
      <c r="G301" s="3" t="s">
        <v>2610</v>
      </c>
      <c r="H301" s="3" t="s">
        <v>2627</v>
      </c>
      <c r="I301" s="3" t="s">
        <v>2628</v>
      </c>
      <c r="J301" s="3" t="s">
        <v>2629</v>
      </c>
      <c r="K301" s="3" t="s">
        <v>2630</v>
      </c>
      <c r="L301" s="3" t="s">
        <v>8</v>
      </c>
      <c r="M301" s="3" t="s">
        <v>2631</v>
      </c>
      <c r="N301" s="3" t="s">
        <v>2632</v>
      </c>
      <c r="O301" s="3" t="s">
        <v>2633</v>
      </c>
      <c r="P301" s="3" t="s">
        <v>30</v>
      </c>
    </row>
    <row r="302" customFormat="false" ht="23.85" hidden="false" customHeight="false" outlineLevel="0" collapsed="false">
      <c r="A302" s="3" t="s">
        <v>2634</v>
      </c>
      <c r="B302" s="3" t="s">
        <v>17</v>
      </c>
      <c r="C302" s="3" t="s">
        <v>795</v>
      </c>
      <c r="D302" s="3" t="s">
        <v>1449</v>
      </c>
      <c r="E302" s="3" t="s">
        <v>2635</v>
      </c>
      <c r="F302" s="3" t="s">
        <v>2636</v>
      </c>
      <c r="G302" s="3" t="s">
        <v>2637</v>
      </c>
      <c r="H302" s="3" t="s">
        <v>2638</v>
      </c>
      <c r="I302" s="3" t="s">
        <v>2639</v>
      </c>
      <c r="J302" s="3" t="s">
        <v>2640</v>
      </c>
      <c r="K302" s="3" t="s">
        <v>2641</v>
      </c>
      <c r="L302" s="3" t="s">
        <v>8</v>
      </c>
      <c r="M302" s="3" t="s">
        <v>2642</v>
      </c>
      <c r="N302" s="3" t="s">
        <v>2643</v>
      </c>
      <c r="O302" s="3" t="s">
        <v>2644</v>
      </c>
      <c r="P302" s="3" t="s">
        <v>30</v>
      </c>
    </row>
    <row r="303" customFormat="false" ht="23.85" hidden="false" customHeight="false" outlineLevel="0" collapsed="false">
      <c r="A303" s="3" t="s">
        <v>2645</v>
      </c>
      <c r="B303" s="3" t="s">
        <v>17</v>
      </c>
      <c r="C303" s="3" t="s">
        <v>795</v>
      </c>
      <c r="D303" s="3" t="s">
        <v>1449</v>
      </c>
      <c r="E303" s="3" t="s">
        <v>2635</v>
      </c>
      <c r="F303" s="3" t="s">
        <v>2636</v>
      </c>
      <c r="G303" s="3" t="s">
        <v>2637</v>
      </c>
      <c r="H303" s="3" t="s">
        <v>2646</v>
      </c>
      <c r="I303" s="3" t="s">
        <v>2647</v>
      </c>
      <c r="J303" s="3" t="s">
        <v>2648</v>
      </c>
      <c r="K303" s="3" t="s">
        <v>2649</v>
      </c>
      <c r="L303" s="3" t="s">
        <v>8</v>
      </c>
      <c r="M303" s="3" t="s">
        <v>2650</v>
      </c>
      <c r="N303" s="3" t="s">
        <v>2651</v>
      </c>
      <c r="O303" s="3" t="s">
        <v>2652</v>
      </c>
      <c r="P303" s="3" t="s">
        <v>30</v>
      </c>
    </row>
    <row r="304" customFormat="false" ht="23.85" hidden="false" customHeight="false" outlineLevel="0" collapsed="false">
      <c r="A304" s="3" t="s">
        <v>2653</v>
      </c>
      <c r="B304" s="3" t="s">
        <v>17</v>
      </c>
      <c r="C304" s="3" t="s">
        <v>795</v>
      </c>
      <c r="D304" s="3" t="s">
        <v>1449</v>
      </c>
      <c r="E304" s="3" t="s">
        <v>2635</v>
      </c>
      <c r="F304" s="3" t="s">
        <v>2636</v>
      </c>
      <c r="G304" s="3" t="s">
        <v>2637</v>
      </c>
      <c r="H304" s="3" t="s">
        <v>2654</v>
      </c>
      <c r="I304" s="3" t="s">
        <v>2655</v>
      </c>
      <c r="J304" s="3" t="s">
        <v>2656</v>
      </c>
      <c r="K304" s="3" t="s">
        <v>2657</v>
      </c>
      <c r="L304" s="3" t="s">
        <v>8</v>
      </c>
      <c r="M304" s="3" t="s">
        <v>2658</v>
      </c>
      <c r="N304" s="3" t="s">
        <v>2659</v>
      </c>
      <c r="O304" s="3" t="s">
        <v>2660</v>
      </c>
      <c r="P304" s="3" t="s">
        <v>30</v>
      </c>
    </row>
    <row r="305" customFormat="false" ht="23.85" hidden="false" customHeight="false" outlineLevel="0" collapsed="false">
      <c r="A305" s="3" t="s">
        <v>2661</v>
      </c>
      <c r="B305" s="3" t="s">
        <v>17</v>
      </c>
      <c r="C305" s="3" t="s">
        <v>876</v>
      </c>
      <c r="D305" s="3" t="s">
        <v>19</v>
      </c>
      <c r="E305" s="3" t="s">
        <v>2662</v>
      </c>
      <c r="F305" s="3" t="s">
        <v>2663</v>
      </c>
      <c r="G305" s="3" t="s">
        <v>2664</v>
      </c>
      <c r="H305" s="3" t="s">
        <v>2665</v>
      </c>
      <c r="I305" s="3" t="s">
        <v>2666</v>
      </c>
      <c r="J305" s="3" t="s">
        <v>2667</v>
      </c>
      <c r="K305" s="3" t="s">
        <v>2668</v>
      </c>
      <c r="L305" s="3" t="s">
        <v>8</v>
      </c>
      <c r="M305" s="3" t="s">
        <v>2669</v>
      </c>
      <c r="N305" s="3" t="s">
        <v>2670</v>
      </c>
      <c r="O305" s="3" t="s">
        <v>2671</v>
      </c>
      <c r="P305" s="3" t="s">
        <v>30</v>
      </c>
    </row>
    <row r="306" customFormat="false" ht="23.85" hidden="false" customHeight="false" outlineLevel="0" collapsed="false">
      <c r="A306" s="3" t="s">
        <v>2672</v>
      </c>
      <c r="B306" s="3" t="s">
        <v>17</v>
      </c>
      <c r="C306" s="3" t="s">
        <v>876</v>
      </c>
      <c r="D306" s="3" t="s">
        <v>19</v>
      </c>
      <c r="E306" s="3" t="s">
        <v>2662</v>
      </c>
      <c r="F306" s="3" t="s">
        <v>2663</v>
      </c>
      <c r="G306" s="3" t="s">
        <v>2664</v>
      </c>
      <c r="H306" s="3" t="s">
        <v>2673</v>
      </c>
      <c r="I306" s="3" t="s">
        <v>2674</v>
      </c>
      <c r="J306" s="3" t="s">
        <v>2675</v>
      </c>
      <c r="K306" s="3" t="s">
        <v>2676</v>
      </c>
      <c r="L306" s="3" t="s">
        <v>8</v>
      </c>
      <c r="M306" s="3" t="s">
        <v>2677</v>
      </c>
      <c r="N306" s="3" t="s">
        <v>2678</v>
      </c>
      <c r="O306" s="3" t="s">
        <v>2679</v>
      </c>
      <c r="P306" s="3" t="s">
        <v>30</v>
      </c>
    </row>
    <row r="307" customFormat="false" ht="23.85" hidden="false" customHeight="false" outlineLevel="0" collapsed="false">
      <c r="A307" s="3" t="s">
        <v>2680</v>
      </c>
      <c r="B307" s="3" t="s">
        <v>17</v>
      </c>
      <c r="C307" s="3" t="s">
        <v>876</v>
      </c>
      <c r="D307" s="3" t="s">
        <v>19</v>
      </c>
      <c r="E307" s="3" t="s">
        <v>2662</v>
      </c>
      <c r="F307" s="3" t="s">
        <v>2663</v>
      </c>
      <c r="G307" s="3" t="s">
        <v>2664</v>
      </c>
      <c r="H307" s="3" t="s">
        <v>2681</v>
      </c>
      <c r="I307" s="3" t="s">
        <v>2682</v>
      </c>
      <c r="J307" s="3" t="s">
        <v>2683</v>
      </c>
      <c r="K307" s="3" t="s">
        <v>2684</v>
      </c>
      <c r="L307" s="3" t="s">
        <v>8</v>
      </c>
      <c r="M307" s="3" t="s">
        <v>2685</v>
      </c>
      <c r="N307" s="3" t="s">
        <v>2686</v>
      </c>
      <c r="O307" s="3" t="s">
        <v>2687</v>
      </c>
      <c r="P307" s="3" t="s">
        <v>30</v>
      </c>
    </row>
    <row r="308" customFormat="false" ht="23.85" hidden="false" customHeight="false" outlineLevel="0" collapsed="false">
      <c r="A308" s="3" t="s">
        <v>2688</v>
      </c>
      <c r="B308" s="3" t="s">
        <v>17</v>
      </c>
      <c r="C308" s="3" t="s">
        <v>876</v>
      </c>
      <c r="D308" s="3" t="s">
        <v>19</v>
      </c>
      <c r="E308" s="3" t="s">
        <v>2689</v>
      </c>
      <c r="F308" s="3" t="s">
        <v>2690</v>
      </c>
      <c r="G308" s="3" t="s">
        <v>2691</v>
      </c>
      <c r="H308" s="3" t="s">
        <v>2692</v>
      </c>
      <c r="I308" s="3" t="s">
        <v>2693</v>
      </c>
      <c r="J308" s="3" t="s">
        <v>2694</v>
      </c>
      <c r="K308" s="3" t="s">
        <v>2695</v>
      </c>
      <c r="L308" s="3" t="s">
        <v>8</v>
      </c>
      <c r="M308" s="3" t="s">
        <v>2696</v>
      </c>
      <c r="N308" s="3" t="s">
        <v>2697</v>
      </c>
      <c r="O308" s="3" t="s">
        <v>2698</v>
      </c>
      <c r="P308" s="3" t="s">
        <v>30</v>
      </c>
    </row>
    <row r="309" customFormat="false" ht="23.85" hidden="false" customHeight="false" outlineLevel="0" collapsed="false">
      <c r="A309" s="3" t="s">
        <v>2699</v>
      </c>
      <c r="B309" s="3" t="s">
        <v>17</v>
      </c>
      <c r="C309" s="3" t="s">
        <v>876</v>
      </c>
      <c r="D309" s="3" t="s">
        <v>19</v>
      </c>
      <c r="E309" s="3" t="s">
        <v>2689</v>
      </c>
      <c r="F309" s="3" t="s">
        <v>2690</v>
      </c>
      <c r="G309" s="3" t="s">
        <v>2691</v>
      </c>
      <c r="H309" s="3" t="s">
        <v>2700</v>
      </c>
      <c r="I309" s="3" t="s">
        <v>2701</v>
      </c>
      <c r="J309" s="3" t="s">
        <v>2702</v>
      </c>
      <c r="K309" s="3" t="s">
        <v>2703</v>
      </c>
      <c r="L309" s="3" t="s">
        <v>8</v>
      </c>
      <c r="M309" s="3" t="s">
        <v>2704</v>
      </c>
      <c r="N309" s="3" t="s">
        <v>2705</v>
      </c>
      <c r="O309" s="3" t="s">
        <v>2698</v>
      </c>
      <c r="P309" s="3" t="s">
        <v>30</v>
      </c>
    </row>
    <row r="310" customFormat="false" ht="23.85" hidden="false" customHeight="false" outlineLevel="0" collapsed="false">
      <c r="A310" s="3" t="s">
        <v>2706</v>
      </c>
      <c r="B310" s="3" t="s">
        <v>17</v>
      </c>
      <c r="C310" s="3" t="s">
        <v>876</v>
      </c>
      <c r="D310" s="3" t="s">
        <v>19</v>
      </c>
      <c r="E310" s="3" t="s">
        <v>2689</v>
      </c>
      <c r="F310" s="3" t="s">
        <v>2690</v>
      </c>
      <c r="G310" s="3" t="s">
        <v>2691</v>
      </c>
      <c r="H310" s="3" t="s">
        <v>2707</v>
      </c>
      <c r="I310" s="3" t="s">
        <v>2708</v>
      </c>
      <c r="J310" s="3" t="s">
        <v>2709</v>
      </c>
      <c r="K310" s="3" t="s">
        <v>2710</v>
      </c>
      <c r="L310" s="3" t="s">
        <v>8</v>
      </c>
      <c r="M310" s="3" t="s">
        <v>2711</v>
      </c>
      <c r="N310" s="3" t="s">
        <v>2712</v>
      </c>
      <c r="O310" s="3" t="s">
        <v>2713</v>
      </c>
      <c r="P310" s="3" t="s">
        <v>30</v>
      </c>
    </row>
    <row r="311" customFormat="false" ht="23.85" hidden="false" customHeight="false" outlineLevel="0" collapsed="false">
      <c r="A311" s="3" t="s">
        <v>2714</v>
      </c>
      <c r="B311" s="3" t="s">
        <v>17</v>
      </c>
      <c r="C311" s="3" t="s">
        <v>876</v>
      </c>
      <c r="D311" s="3" t="s">
        <v>1449</v>
      </c>
      <c r="E311" s="3" t="s">
        <v>2715</v>
      </c>
      <c r="F311" s="3" t="s">
        <v>2716</v>
      </c>
      <c r="G311" s="3" t="s">
        <v>2717</v>
      </c>
      <c r="H311" s="3" t="s">
        <v>2718</v>
      </c>
      <c r="I311" s="3" t="s">
        <v>2719</v>
      </c>
      <c r="J311" s="3" t="s">
        <v>2720</v>
      </c>
      <c r="K311" s="3" t="s">
        <v>2721</v>
      </c>
      <c r="L311" s="3" t="s">
        <v>8</v>
      </c>
      <c r="M311" s="3" t="s">
        <v>2722</v>
      </c>
      <c r="N311" s="3" t="s">
        <v>2723</v>
      </c>
      <c r="O311" s="3" t="s">
        <v>894</v>
      </c>
      <c r="P311" s="3" t="s">
        <v>30</v>
      </c>
    </row>
    <row r="312" customFormat="false" ht="23.85" hidden="false" customHeight="false" outlineLevel="0" collapsed="false">
      <c r="A312" s="3" t="s">
        <v>2724</v>
      </c>
      <c r="B312" s="3" t="s">
        <v>17</v>
      </c>
      <c r="C312" s="3" t="s">
        <v>876</v>
      </c>
      <c r="D312" s="3" t="s">
        <v>1449</v>
      </c>
      <c r="E312" s="3" t="s">
        <v>2715</v>
      </c>
      <c r="F312" s="3" t="s">
        <v>2716</v>
      </c>
      <c r="G312" s="3" t="s">
        <v>2717</v>
      </c>
      <c r="H312" s="3" t="s">
        <v>2725</v>
      </c>
      <c r="I312" s="3" t="s">
        <v>2726</v>
      </c>
      <c r="J312" s="3" t="s">
        <v>2727</v>
      </c>
      <c r="K312" s="3" t="s">
        <v>2317</v>
      </c>
      <c r="L312" s="3" t="s">
        <v>8</v>
      </c>
      <c r="M312" s="3" t="s">
        <v>2728</v>
      </c>
      <c r="N312" s="3" t="s">
        <v>2729</v>
      </c>
      <c r="O312" s="3" t="s">
        <v>2687</v>
      </c>
      <c r="P312" s="3" t="s">
        <v>30</v>
      </c>
    </row>
    <row r="313" customFormat="false" ht="23.85" hidden="false" customHeight="false" outlineLevel="0" collapsed="false">
      <c r="A313" s="3" t="s">
        <v>2730</v>
      </c>
      <c r="B313" s="3" t="s">
        <v>17</v>
      </c>
      <c r="C313" s="3" t="s">
        <v>876</v>
      </c>
      <c r="D313" s="3" t="s">
        <v>1449</v>
      </c>
      <c r="E313" s="3" t="s">
        <v>2715</v>
      </c>
      <c r="F313" s="3" t="s">
        <v>2716</v>
      </c>
      <c r="G313" s="3" t="s">
        <v>2717</v>
      </c>
      <c r="H313" s="3" t="s">
        <v>2731</v>
      </c>
      <c r="I313" s="3" t="s">
        <v>2732</v>
      </c>
      <c r="J313" s="3" t="s">
        <v>2733</v>
      </c>
      <c r="K313" s="3" t="s">
        <v>2734</v>
      </c>
      <c r="L313" s="3" t="s">
        <v>8</v>
      </c>
      <c r="M313" s="3" t="s">
        <v>2735</v>
      </c>
      <c r="N313" s="3" t="s">
        <v>2736</v>
      </c>
      <c r="O313" s="3" t="s">
        <v>2737</v>
      </c>
      <c r="P313" s="3" t="s">
        <v>30</v>
      </c>
    </row>
    <row r="314" customFormat="false" ht="23.85" hidden="false" customHeight="false" outlineLevel="0" collapsed="false">
      <c r="A314" s="3" t="s">
        <v>2738</v>
      </c>
      <c r="B314" s="3" t="s">
        <v>17</v>
      </c>
      <c r="C314" s="3" t="s">
        <v>876</v>
      </c>
      <c r="D314" s="3" t="s">
        <v>19</v>
      </c>
      <c r="E314" s="3" t="s">
        <v>2739</v>
      </c>
      <c r="F314" s="3" t="s">
        <v>2740</v>
      </c>
      <c r="G314" s="3" t="s">
        <v>2741</v>
      </c>
      <c r="H314" s="3" t="s">
        <v>2742</v>
      </c>
      <c r="I314" s="3" t="s">
        <v>2743</v>
      </c>
      <c r="J314" s="3" t="s">
        <v>2744</v>
      </c>
      <c r="K314" s="3" t="s">
        <v>2745</v>
      </c>
      <c r="L314" s="3" t="s">
        <v>8</v>
      </c>
      <c r="M314" s="3" t="s">
        <v>2746</v>
      </c>
      <c r="N314" s="3" t="s">
        <v>2747</v>
      </c>
      <c r="O314" s="3" t="s">
        <v>2748</v>
      </c>
      <c r="P314" s="3" t="s">
        <v>30</v>
      </c>
    </row>
    <row r="315" customFormat="false" ht="23.85" hidden="false" customHeight="false" outlineLevel="0" collapsed="false">
      <c r="A315" s="3" t="s">
        <v>2749</v>
      </c>
      <c r="B315" s="3" t="s">
        <v>17</v>
      </c>
      <c r="C315" s="3" t="s">
        <v>876</v>
      </c>
      <c r="D315" s="3" t="s">
        <v>19</v>
      </c>
      <c r="E315" s="3" t="s">
        <v>2739</v>
      </c>
      <c r="F315" s="3" t="s">
        <v>2740</v>
      </c>
      <c r="G315" s="3" t="s">
        <v>2741</v>
      </c>
      <c r="H315" s="3" t="s">
        <v>2750</v>
      </c>
      <c r="I315" s="3" t="s">
        <v>2751</v>
      </c>
      <c r="J315" s="3" t="s">
        <v>2752</v>
      </c>
      <c r="K315" s="3" t="s">
        <v>2753</v>
      </c>
      <c r="L315" s="3" t="s">
        <v>8</v>
      </c>
      <c r="M315" s="3" t="s">
        <v>2754</v>
      </c>
      <c r="N315" s="3" t="s">
        <v>2755</v>
      </c>
      <c r="O315" s="3" t="s">
        <v>2756</v>
      </c>
      <c r="P315" s="3" t="s">
        <v>30</v>
      </c>
    </row>
    <row r="316" customFormat="false" ht="23.85" hidden="false" customHeight="false" outlineLevel="0" collapsed="false">
      <c r="A316" s="3" t="s">
        <v>2757</v>
      </c>
      <c r="B316" s="3" t="s">
        <v>17</v>
      </c>
      <c r="C316" s="3" t="s">
        <v>876</v>
      </c>
      <c r="D316" s="3" t="s">
        <v>19</v>
      </c>
      <c r="E316" s="3" t="s">
        <v>2739</v>
      </c>
      <c r="F316" s="3" t="s">
        <v>2740</v>
      </c>
      <c r="G316" s="3" t="s">
        <v>2741</v>
      </c>
      <c r="H316" s="3" t="s">
        <v>2758</v>
      </c>
      <c r="I316" s="3" t="s">
        <v>2759</v>
      </c>
      <c r="J316" s="3" t="s">
        <v>2760</v>
      </c>
      <c r="K316" s="3" t="s">
        <v>2761</v>
      </c>
      <c r="L316" s="3" t="s">
        <v>8</v>
      </c>
      <c r="M316" s="3" t="s">
        <v>2762</v>
      </c>
      <c r="N316" s="3" t="s">
        <v>2763</v>
      </c>
      <c r="O316" s="3" t="s">
        <v>2764</v>
      </c>
      <c r="P316" s="3" t="s">
        <v>30</v>
      </c>
    </row>
    <row r="317" customFormat="false" ht="23.85" hidden="false" customHeight="false" outlineLevel="0" collapsed="false">
      <c r="A317" s="3" t="s">
        <v>2765</v>
      </c>
      <c r="B317" s="3" t="s">
        <v>17</v>
      </c>
      <c r="C317" s="3" t="s">
        <v>876</v>
      </c>
      <c r="D317" s="3" t="s">
        <v>1449</v>
      </c>
      <c r="E317" s="3" t="s">
        <v>2766</v>
      </c>
      <c r="F317" s="3" t="s">
        <v>2767</v>
      </c>
      <c r="G317" s="3" t="s">
        <v>2768</v>
      </c>
      <c r="H317" s="3" t="s">
        <v>2769</v>
      </c>
      <c r="I317" s="3" t="s">
        <v>2770</v>
      </c>
      <c r="J317" s="3" t="s">
        <v>2771</v>
      </c>
      <c r="K317" s="3" t="s">
        <v>2772</v>
      </c>
      <c r="L317" s="3" t="s">
        <v>8</v>
      </c>
      <c r="M317" s="3" t="s">
        <v>2773</v>
      </c>
      <c r="N317" s="3" t="s">
        <v>2774</v>
      </c>
      <c r="O317" s="3" t="s">
        <v>2775</v>
      </c>
      <c r="P317" s="3" t="s">
        <v>30</v>
      </c>
    </row>
    <row r="318" customFormat="false" ht="23.85" hidden="false" customHeight="false" outlineLevel="0" collapsed="false">
      <c r="A318" s="3" t="s">
        <v>2776</v>
      </c>
      <c r="B318" s="3" t="s">
        <v>17</v>
      </c>
      <c r="C318" s="3" t="s">
        <v>876</v>
      </c>
      <c r="D318" s="3" t="s">
        <v>1449</v>
      </c>
      <c r="E318" s="3" t="s">
        <v>2766</v>
      </c>
      <c r="F318" s="3" t="s">
        <v>2767</v>
      </c>
      <c r="G318" s="3" t="s">
        <v>2768</v>
      </c>
      <c r="H318" s="3" t="s">
        <v>2777</v>
      </c>
      <c r="I318" s="3" t="s">
        <v>2778</v>
      </c>
      <c r="J318" s="3" t="s">
        <v>2779</v>
      </c>
      <c r="K318" s="3" t="s">
        <v>2780</v>
      </c>
      <c r="L318" s="3" t="s">
        <v>8</v>
      </c>
      <c r="M318" s="3" t="s">
        <v>2781</v>
      </c>
      <c r="N318" s="3" t="s">
        <v>2782</v>
      </c>
      <c r="O318" s="3" t="s">
        <v>2783</v>
      </c>
      <c r="P318" s="3" t="s">
        <v>30</v>
      </c>
    </row>
    <row r="319" customFormat="false" ht="23.85" hidden="false" customHeight="false" outlineLevel="0" collapsed="false">
      <c r="A319" s="3" t="s">
        <v>2784</v>
      </c>
      <c r="B319" s="3" t="s">
        <v>17</v>
      </c>
      <c r="C319" s="3" t="s">
        <v>876</v>
      </c>
      <c r="D319" s="3" t="s">
        <v>1449</v>
      </c>
      <c r="E319" s="3" t="s">
        <v>2766</v>
      </c>
      <c r="F319" s="3" t="s">
        <v>2767</v>
      </c>
      <c r="G319" s="3" t="s">
        <v>2768</v>
      </c>
      <c r="H319" s="3" t="s">
        <v>2785</v>
      </c>
      <c r="I319" s="3" t="s">
        <v>2786</v>
      </c>
      <c r="J319" s="3" t="s">
        <v>2787</v>
      </c>
      <c r="K319" s="3" t="s">
        <v>2788</v>
      </c>
      <c r="L319" s="3" t="s">
        <v>8</v>
      </c>
      <c r="M319" s="3" t="s">
        <v>2789</v>
      </c>
      <c r="N319" s="3" t="s">
        <v>2790</v>
      </c>
      <c r="O319" s="3" t="s">
        <v>956</v>
      </c>
      <c r="P319" s="3" t="s">
        <v>30</v>
      </c>
    </row>
    <row r="320" customFormat="false" ht="23.85" hidden="false" customHeight="false" outlineLevel="0" collapsed="false">
      <c r="A320" s="3" t="s">
        <v>2791</v>
      </c>
      <c r="B320" s="3" t="s">
        <v>17</v>
      </c>
      <c r="C320" s="3" t="s">
        <v>958</v>
      </c>
      <c r="D320" s="3" t="s">
        <v>19</v>
      </c>
      <c r="E320" s="3" t="s">
        <v>2792</v>
      </c>
      <c r="F320" s="3" t="s">
        <v>2793</v>
      </c>
      <c r="G320" s="3" t="s">
        <v>2794</v>
      </c>
      <c r="H320" s="3" t="s">
        <v>2795</v>
      </c>
      <c r="I320" s="3" t="s">
        <v>2796</v>
      </c>
      <c r="J320" s="3" t="s">
        <v>2797</v>
      </c>
      <c r="K320" s="3" t="s">
        <v>2798</v>
      </c>
      <c r="L320" s="3" t="s">
        <v>8</v>
      </c>
      <c r="M320" s="3" t="s">
        <v>2799</v>
      </c>
      <c r="N320" s="3" t="s">
        <v>2800</v>
      </c>
      <c r="O320" s="3" t="s">
        <v>2801</v>
      </c>
      <c r="P320" s="3" t="s">
        <v>30</v>
      </c>
    </row>
    <row r="321" customFormat="false" ht="23.85" hidden="false" customHeight="false" outlineLevel="0" collapsed="false">
      <c r="A321" s="3" t="s">
        <v>2802</v>
      </c>
      <c r="B321" s="3" t="s">
        <v>17</v>
      </c>
      <c r="C321" s="3" t="s">
        <v>958</v>
      </c>
      <c r="D321" s="3" t="s">
        <v>19</v>
      </c>
      <c r="E321" s="3" t="s">
        <v>2792</v>
      </c>
      <c r="F321" s="3" t="s">
        <v>2793</v>
      </c>
      <c r="G321" s="3" t="s">
        <v>2794</v>
      </c>
      <c r="H321" s="3" t="s">
        <v>2803</v>
      </c>
      <c r="I321" s="3" t="s">
        <v>2804</v>
      </c>
      <c r="J321" s="3" t="s">
        <v>2805</v>
      </c>
      <c r="K321" s="3" t="s">
        <v>2806</v>
      </c>
      <c r="L321" s="3" t="s">
        <v>8</v>
      </c>
      <c r="M321" s="3" t="s">
        <v>2807</v>
      </c>
      <c r="N321" s="3" t="s">
        <v>2808</v>
      </c>
      <c r="O321" s="3" t="s">
        <v>2809</v>
      </c>
      <c r="P321" s="3" t="s">
        <v>30</v>
      </c>
    </row>
    <row r="322" customFormat="false" ht="23.85" hidden="false" customHeight="false" outlineLevel="0" collapsed="false">
      <c r="A322" s="3" t="s">
        <v>2810</v>
      </c>
      <c r="B322" s="3" t="s">
        <v>17</v>
      </c>
      <c r="C322" s="3" t="s">
        <v>958</v>
      </c>
      <c r="D322" s="3" t="s">
        <v>19</v>
      </c>
      <c r="E322" s="3" t="s">
        <v>2792</v>
      </c>
      <c r="F322" s="3" t="s">
        <v>2793</v>
      </c>
      <c r="G322" s="3" t="s">
        <v>2794</v>
      </c>
      <c r="H322" s="3" t="s">
        <v>2811</v>
      </c>
      <c r="I322" s="3" t="s">
        <v>2812</v>
      </c>
      <c r="J322" s="3" t="s">
        <v>2813</v>
      </c>
      <c r="K322" s="3" t="s">
        <v>2814</v>
      </c>
      <c r="L322" s="3" t="s">
        <v>8</v>
      </c>
      <c r="M322" s="3" t="s">
        <v>2815</v>
      </c>
      <c r="N322" s="3" t="s">
        <v>2816</v>
      </c>
      <c r="O322" s="3" t="s">
        <v>2817</v>
      </c>
      <c r="P322" s="3" t="s">
        <v>30</v>
      </c>
    </row>
    <row r="323" customFormat="false" ht="23.85" hidden="false" customHeight="false" outlineLevel="0" collapsed="false">
      <c r="A323" s="3" t="s">
        <v>2818</v>
      </c>
      <c r="B323" s="3" t="s">
        <v>17</v>
      </c>
      <c r="C323" s="3" t="s">
        <v>958</v>
      </c>
      <c r="D323" s="3" t="s">
        <v>19</v>
      </c>
      <c r="E323" s="3" t="s">
        <v>2819</v>
      </c>
      <c r="F323" s="3" t="s">
        <v>2820</v>
      </c>
      <c r="G323" s="3" t="s">
        <v>2821</v>
      </c>
      <c r="H323" s="3" t="s">
        <v>2822</v>
      </c>
      <c r="I323" s="3" t="s">
        <v>2823</v>
      </c>
      <c r="J323" s="3" t="s">
        <v>2824</v>
      </c>
      <c r="K323" s="3" t="s">
        <v>2825</v>
      </c>
      <c r="L323" s="3" t="s">
        <v>8</v>
      </c>
      <c r="M323" s="3" t="s">
        <v>2826</v>
      </c>
      <c r="N323" s="3" t="s">
        <v>2827</v>
      </c>
      <c r="O323" s="3" t="s">
        <v>2828</v>
      </c>
      <c r="P323" s="3" t="s">
        <v>30</v>
      </c>
    </row>
    <row r="324" customFormat="false" ht="23.85" hidden="false" customHeight="false" outlineLevel="0" collapsed="false">
      <c r="A324" s="3" t="s">
        <v>2829</v>
      </c>
      <c r="B324" s="3" t="s">
        <v>17</v>
      </c>
      <c r="C324" s="3" t="s">
        <v>958</v>
      </c>
      <c r="D324" s="3" t="s">
        <v>19</v>
      </c>
      <c r="E324" s="3" t="s">
        <v>2819</v>
      </c>
      <c r="F324" s="3" t="s">
        <v>2820</v>
      </c>
      <c r="G324" s="3" t="s">
        <v>2821</v>
      </c>
      <c r="H324" s="3" t="s">
        <v>2830</v>
      </c>
      <c r="I324" s="3" t="s">
        <v>2831</v>
      </c>
      <c r="J324" s="3" t="s">
        <v>2832</v>
      </c>
      <c r="K324" s="3" t="s">
        <v>2833</v>
      </c>
      <c r="L324" s="3" t="s">
        <v>8</v>
      </c>
      <c r="M324" s="3" t="s">
        <v>2834</v>
      </c>
      <c r="N324" s="3" t="s">
        <v>2835</v>
      </c>
      <c r="O324" s="3" t="s">
        <v>2828</v>
      </c>
      <c r="P324" s="3" t="s">
        <v>30</v>
      </c>
    </row>
    <row r="325" customFormat="false" ht="23.85" hidden="false" customHeight="false" outlineLevel="0" collapsed="false">
      <c r="A325" s="3" t="s">
        <v>2836</v>
      </c>
      <c r="B325" s="3" t="s">
        <v>17</v>
      </c>
      <c r="C325" s="3" t="s">
        <v>958</v>
      </c>
      <c r="D325" s="3" t="s">
        <v>19</v>
      </c>
      <c r="E325" s="3" t="s">
        <v>2819</v>
      </c>
      <c r="F325" s="3" t="s">
        <v>2820</v>
      </c>
      <c r="G325" s="3" t="s">
        <v>2821</v>
      </c>
      <c r="H325" s="3" t="s">
        <v>2837</v>
      </c>
      <c r="I325" s="3" t="s">
        <v>2838</v>
      </c>
      <c r="J325" s="3" t="s">
        <v>2839</v>
      </c>
      <c r="K325" s="3" t="s">
        <v>2840</v>
      </c>
      <c r="L325" s="3" t="s">
        <v>8</v>
      </c>
      <c r="M325" s="3" t="s">
        <v>2841</v>
      </c>
      <c r="N325" s="3" t="s">
        <v>2842</v>
      </c>
      <c r="O325" s="3" t="s">
        <v>2843</v>
      </c>
      <c r="P325" s="3" t="s">
        <v>30</v>
      </c>
    </row>
    <row r="326" customFormat="false" ht="23.85" hidden="false" customHeight="false" outlineLevel="0" collapsed="false">
      <c r="A326" s="3" t="s">
        <v>2844</v>
      </c>
      <c r="B326" s="3" t="s">
        <v>17</v>
      </c>
      <c r="C326" s="3" t="s">
        <v>958</v>
      </c>
      <c r="D326" s="3" t="s">
        <v>1449</v>
      </c>
      <c r="E326" s="3" t="s">
        <v>2845</v>
      </c>
      <c r="F326" s="3" t="s">
        <v>2846</v>
      </c>
      <c r="G326" s="3" t="s">
        <v>2847</v>
      </c>
      <c r="H326" s="3" t="s">
        <v>2769</v>
      </c>
      <c r="I326" s="3" t="s">
        <v>2848</v>
      </c>
      <c r="J326" s="3" t="s">
        <v>2849</v>
      </c>
      <c r="K326" s="3" t="s">
        <v>2850</v>
      </c>
      <c r="L326" s="3" t="s">
        <v>8</v>
      </c>
      <c r="M326" s="3" t="s">
        <v>2851</v>
      </c>
      <c r="N326" s="3" t="s">
        <v>2852</v>
      </c>
      <c r="O326" s="3" t="s">
        <v>2853</v>
      </c>
      <c r="P326" s="3" t="s">
        <v>30</v>
      </c>
    </row>
    <row r="327" customFormat="false" ht="23.85" hidden="false" customHeight="false" outlineLevel="0" collapsed="false">
      <c r="A327" s="3" t="s">
        <v>2854</v>
      </c>
      <c r="B327" s="3" t="s">
        <v>17</v>
      </c>
      <c r="C327" s="3" t="s">
        <v>958</v>
      </c>
      <c r="D327" s="3" t="s">
        <v>1449</v>
      </c>
      <c r="E327" s="3" t="s">
        <v>2845</v>
      </c>
      <c r="F327" s="3" t="s">
        <v>2846</v>
      </c>
      <c r="G327" s="3" t="s">
        <v>2847</v>
      </c>
      <c r="H327" s="3" t="s">
        <v>2855</v>
      </c>
      <c r="I327" s="3" t="s">
        <v>2856</v>
      </c>
      <c r="J327" s="3" t="s">
        <v>2857</v>
      </c>
      <c r="K327" s="3" t="s">
        <v>2858</v>
      </c>
      <c r="L327" s="3" t="s">
        <v>8</v>
      </c>
      <c r="M327" s="3" t="s">
        <v>2859</v>
      </c>
      <c r="N327" s="3" t="s">
        <v>2860</v>
      </c>
      <c r="O327" s="3" t="s">
        <v>2861</v>
      </c>
      <c r="P327" s="3" t="s">
        <v>30</v>
      </c>
    </row>
    <row r="328" customFormat="false" ht="23.85" hidden="false" customHeight="false" outlineLevel="0" collapsed="false">
      <c r="A328" s="3" t="s">
        <v>2862</v>
      </c>
      <c r="B328" s="3" t="s">
        <v>17</v>
      </c>
      <c r="C328" s="3" t="s">
        <v>958</v>
      </c>
      <c r="D328" s="3" t="s">
        <v>1449</v>
      </c>
      <c r="E328" s="3" t="s">
        <v>2845</v>
      </c>
      <c r="F328" s="3" t="s">
        <v>2846</v>
      </c>
      <c r="G328" s="3" t="s">
        <v>2847</v>
      </c>
      <c r="H328" s="3" t="s">
        <v>2863</v>
      </c>
      <c r="I328" s="3" t="s">
        <v>2864</v>
      </c>
      <c r="J328" s="3" t="s">
        <v>2865</v>
      </c>
      <c r="K328" s="3" t="s">
        <v>2866</v>
      </c>
      <c r="L328" s="3" t="s">
        <v>8</v>
      </c>
      <c r="M328" s="3" t="s">
        <v>2867</v>
      </c>
      <c r="N328" s="3" t="s">
        <v>2868</v>
      </c>
      <c r="O328" s="3" t="s">
        <v>2219</v>
      </c>
      <c r="P328" s="3" t="s">
        <v>30</v>
      </c>
    </row>
    <row r="329" customFormat="false" ht="23.85" hidden="false" customHeight="false" outlineLevel="0" collapsed="false">
      <c r="A329" s="3" t="s">
        <v>2869</v>
      </c>
      <c r="B329" s="3" t="s">
        <v>17</v>
      </c>
      <c r="C329" s="3" t="s">
        <v>958</v>
      </c>
      <c r="D329" s="3" t="s">
        <v>19</v>
      </c>
      <c r="E329" s="3" t="s">
        <v>2870</v>
      </c>
      <c r="F329" s="3" t="s">
        <v>2871</v>
      </c>
      <c r="G329" s="3" t="s">
        <v>2872</v>
      </c>
      <c r="H329" s="3" t="s">
        <v>2873</v>
      </c>
      <c r="I329" s="3" t="s">
        <v>2874</v>
      </c>
      <c r="J329" s="3" t="s">
        <v>2875</v>
      </c>
      <c r="K329" s="3" t="s">
        <v>2876</v>
      </c>
      <c r="L329" s="3" t="s">
        <v>8</v>
      </c>
      <c r="M329" s="3" t="s">
        <v>2877</v>
      </c>
      <c r="N329" s="3" t="s">
        <v>2878</v>
      </c>
      <c r="O329" s="3" t="s">
        <v>2879</v>
      </c>
      <c r="P329" s="3" t="s">
        <v>30</v>
      </c>
    </row>
    <row r="330" customFormat="false" ht="23.85" hidden="false" customHeight="false" outlineLevel="0" collapsed="false">
      <c r="A330" s="3" t="s">
        <v>2880</v>
      </c>
      <c r="B330" s="3" t="s">
        <v>17</v>
      </c>
      <c r="C330" s="3" t="s">
        <v>958</v>
      </c>
      <c r="D330" s="3" t="s">
        <v>19</v>
      </c>
      <c r="E330" s="3" t="s">
        <v>2870</v>
      </c>
      <c r="F330" s="3" t="s">
        <v>2871</v>
      </c>
      <c r="G330" s="3" t="s">
        <v>2872</v>
      </c>
      <c r="H330" s="3" t="s">
        <v>2881</v>
      </c>
      <c r="I330" s="3" t="s">
        <v>2882</v>
      </c>
      <c r="J330" s="3" t="s">
        <v>2883</v>
      </c>
      <c r="K330" s="3" t="s">
        <v>2884</v>
      </c>
      <c r="L330" s="3" t="s">
        <v>8</v>
      </c>
      <c r="M330" s="3" t="s">
        <v>2885</v>
      </c>
      <c r="N330" s="3" t="s">
        <v>2886</v>
      </c>
      <c r="O330" s="3" t="s">
        <v>2887</v>
      </c>
      <c r="P330" s="3" t="s">
        <v>30</v>
      </c>
    </row>
    <row r="331" customFormat="false" ht="23.85" hidden="false" customHeight="false" outlineLevel="0" collapsed="false">
      <c r="A331" s="3" t="s">
        <v>2888</v>
      </c>
      <c r="B331" s="3" t="s">
        <v>17</v>
      </c>
      <c r="C331" s="3" t="s">
        <v>958</v>
      </c>
      <c r="D331" s="3" t="s">
        <v>19</v>
      </c>
      <c r="E331" s="3" t="s">
        <v>2870</v>
      </c>
      <c r="F331" s="3" t="s">
        <v>2871</v>
      </c>
      <c r="G331" s="3" t="s">
        <v>2872</v>
      </c>
      <c r="H331" s="3" t="s">
        <v>2889</v>
      </c>
      <c r="I331" s="3" t="s">
        <v>2890</v>
      </c>
      <c r="J331" s="3" t="s">
        <v>2891</v>
      </c>
      <c r="K331" s="3" t="s">
        <v>2892</v>
      </c>
      <c r="L331" s="3" t="s">
        <v>8</v>
      </c>
      <c r="M331" s="3" t="s">
        <v>2893</v>
      </c>
      <c r="N331" s="3" t="s">
        <v>2894</v>
      </c>
      <c r="O331" s="3" t="s">
        <v>2895</v>
      </c>
      <c r="P331" s="3" t="s">
        <v>30</v>
      </c>
    </row>
    <row r="332" customFormat="false" ht="23.85" hidden="false" customHeight="false" outlineLevel="0" collapsed="false">
      <c r="A332" s="3" t="s">
        <v>2896</v>
      </c>
      <c r="B332" s="3" t="s">
        <v>17</v>
      </c>
      <c r="C332" s="3" t="s">
        <v>958</v>
      </c>
      <c r="D332" s="3" t="s">
        <v>19</v>
      </c>
      <c r="E332" s="3" t="s">
        <v>2897</v>
      </c>
      <c r="F332" s="3" t="s">
        <v>2898</v>
      </c>
      <c r="G332" s="3" t="s">
        <v>2899</v>
      </c>
      <c r="H332" s="3" t="s">
        <v>2900</v>
      </c>
      <c r="I332" s="3" t="s">
        <v>2901</v>
      </c>
      <c r="J332" s="3" t="s">
        <v>2902</v>
      </c>
      <c r="K332" s="3" t="s">
        <v>2903</v>
      </c>
      <c r="L332" s="3" t="s">
        <v>8</v>
      </c>
      <c r="M332" s="3" t="s">
        <v>2904</v>
      </c>
      <c r="N332" s="3" t="s">
        <v>2905</v>
      </c>
      <c r="O332" s="3" t="s">
        <v>2906</v>
      </c>
      <c r="P332" s="3" t="s">
        <v>30</v>
      </c>
    </row>
    <row r="333" customFormat="false" ht="23.85" hidden="false" customHeight="false" outlineLevel="0" collapsed="false">
      <c r="A333" s="3" t="s">
        <v>2907</v>
      </c>
      <c r="B333" s="3" t="s">
        <v>17</v>
      </c>
      <c r="C333" s="3" t="s">
        <v>958</v>
      </c>
      <c r="D333" s="3" t="s">
        <v>19</v>
      </c>
      <c r="E333" s="3" t="s">
        <v>2897</v>
      </c>
      <c r="F333" s="3" t="s">
        <v>2898</v>
      </c>
      <c r="G333" s="3" t="s">
        <v>2899</v>
      </c>
      <c r="H333" s="3" t="s">
        <v>2908</v>
      </c>
      <c r="I333" s="3" t="s">
        <v>2909</v>
      </c>
      <c r="J333" s="3" t="s">
        <v>2910</v>
      </c>
      <c r="K333" s="3" t="s">
        <v>2911</v>
      </c>
      <c r="L333" s="3" t="s">
        <v>8</v>
      </c>
      <c r="M333" s="3" t="s">
        <v>2912</v>
      </c>
      <c r="N333" s="3" t="s">
        <v>2913</v>
      </c>
      <c r="O333" s="3" t="s">
        <v>2914</v>
      </c>
      <c r="P333" s="3" t="s">
        <v>30</v>
      </c>
    </row>
    <row r="334" customFormat="false" ht="23.85" hidden="false" customHeight="false" outlineLevel="0" collapsed="false">
      <c r="A334" s="3" t="s">
        <v>2915</v>
      </c>
      <c r="B334" s="3" t="s">
        <v>17</v>
      </c>
      <c r="C334" s="3" t="s">
        <v>958</v>
      </c>
      <c r="D334" s="3" t="s">
        <v>19</v>
      </c>
      <c r="E334" s="3" t="s">
        <v>2897</v>
      </c>
      <c r="F334" s="3" t="s">
        <v>2898</v>
      </c>
      <c r="G334" s="3" t="s">
        <v>2899</v>
      </c>
      <c r="H334" s="3" t="s">
        <v>2916</v>
      </c>
      <c r="I334" s="3" t="s">
        <v>2917</v>
      </c>
      <c r="J334" s="3" t="s">
        <v>2918</v>
      </c>
      <c r="K334" s="3" t="s">
        <v>2919</v>
      </c>
      <c r="L334" s="3" t="s">
        <v>8</v>
      </c>
      <c r="M334" s="3" t="s">
        <v>2920</v>
      </c>
      <c r="N334" s="3" t="s">
        <v>2921</v>
      </c>
      <c r="O334" s="3" t="s">
        <v>2922</v>
      </c>
      <c r="P334" s="3" t="s">
        <v>30</v>
      </c>
    </row>
    <row r="335" customFormat="false" ht="23.85" hidden="false" customHeight="false" outlineLevel="0" collapsed="false">
      <c r="A335" s="3" t="s">
        <v>2923</v>
      </c>
      <c r="B335" s="3" t="s">
        <v>17</v>
      </c>
      <c r="C335" s="3" t="s">
        <v>1039</v>
      </c>
      <c r="D335" s="3" t="s">
        <v>19</v>
      </c>
      <c r="E335" s="3" t="s">
        <v>2924</v>
      </c>
      <c r="F335" s="3" t="s">
        <v>2925</v>
      </c>
      <c r="G335" s="3" t="s">
        <v>2926</v>
      </c>
      <c r="H335" s="3" t="s">
        <v>2927</v>
      </c>
      <c r="I335" s="3" t="s">
        <v>2928</v>
      </c>
      <c r="J335" s="3" t="s">
        <v>2929</v>
      </c>
      <c r="K335" s="3" t="s">
        <v>2930</v>
      </c>
      <c r="L335" s="3" t="s">
        <v>8</v>
      </c>
      <c r="M335" s="3" t="s">
        <v>2931</v>
      </c>
      <c r="N335" s="3" t="s">
        <v>2932</v>
      </c>
      <c r="O335" s="3" t="s">
        <v>2933</v>
      </c>
      <c r="P335" s="3" t="s">
        <v>30</v>
      </c>
    </row>
    <row r="336" customFormat="false" ht="23.85" hidden="false" customHeight="false" outlineLevel="0" collapsed="false">
      <c r="A336" s="3" t="s">
        <v>2934</v>
      </c>
      <c r="B336" s="3" t="s">
        <v>17</v>
      </c>
      <c r="C336" s="3" t="s">
        <v>1039</v>
      </c>
      <c r="D336" s="3" t="s">
        <v>19</v>
      </c>
      <c r="E336" s="3" t="s">
        <v>2924</v>
      </c>
      <c r="F336" s="3" t="s">
        <v>2925</v>
      </c>
      <c r="G336" s="3" t="s">
        <v>2926</v>
      </c>
      <c r="H336" s="3" t="s">
        <v>2935</v>
      </c>
      <c r="I336" s="3" t="s">
        <v>2936</v>
      </c>
      <c r="J336" s="3" t="s">
        <v>2937</v>
      </c>
      <c r="K336" s="3" t="s">
        <v>2938</v>
      </c>
      <c r="L336" s="3" t="s">
        <v>8</v>
      </c>
      <c r="M336" s="3" t="s">
        <v>2939</v>
      </c>
      <c r="N336" s="3" t="s">
        <v>2940</v>
      </c>
      <c r="O336" s="3" t="s">
        <v>2933</v>
      </c>
      <c r="P336" s="3" t="s">
        <v>30</v>
      </c>
    </row>
    <row r="337" customFormat="false" ht="23.85" hidden="false" customHeight="false" outlineLevel="0" collapsed="false">
      <c r="A337" s="3" t="s">
        <v>2941</v>
      </c>
      <c r="B337" s="3" t="s">
        <v>17</v>
      </c>
      <c r="C337" s="3" t="s">
        <v>1039</v>
      </c>
      <c r="D337" s="3" t="s">
        <v>19</v>
      </c>
      <c r="E337" s="3" t="s">
        <v>2924</v>
      </c>
      <c r="F337" s="3" t="s">
        <v>2925</v>
      </c>
      <c r="G337" s="3" t="s">
        <v>2926</v>
      </c>
      <c r="H337" s="3" t="s">
        <v>2942</v>
      </c>
      <c r="I337" s="3" t="s">
        <v>2943</v>
      </c>
      <c r="J337" s="3" t="s">
        <v>2944</v>
      </c>
      <c r="K337" s="3" t="s">
        <v>2945</v>
      </c>
      <c r="L337" s="3" t="s">
        <v>8</v>
      </c>
      <c r="M337" s="3" t="s">
        <v>2946</v>
      </c>
      <c r="N337" s="3" t="s">
        <v>2947</v>
      </c>
      <c r="O337" s="3" t="s">
        <v>2948</v>
      </c>
      <c r="P337" s="3" t="s">
        <v>30</v>
      </c>
    </row>
    <row r="338" customFormat="false" ht="23.85" hidden="false" customHeight="false" outlineLevel="0" collapsed="false">
      <c r="A338" s="3" t="s">
        <v>2949</v>
      </c>
      <c r="B338" s="3" t="s">
        <v>17</v>
      </c>
      <c r="C338" s="3" t="s">
        <v>1039</v>
      </c>
      <c r="D338" s="3" t="s">
        <v>19</v>
      </c>
      <c r="E338" s="3" t="s">
        <v>2950</v>
      </c>
      <c r="F338" s="3" t="s">
        <v>2951</v>
      </c>
      <c r="G338" s="3" t="s">
        <v>2952</v>
      </c>
      <c r="H338" s="3" t="s">
        <v>2953</v>
      </c>
      <c r="I338" s="3" t="s">
        <v>2954</v>
      </c>
      <c r="J338" s="3" t="s">
        <v>2955</v>
      </c>
      <c r="K338" s="3" t="s">
        <v>2956</v>
      </c>
      <c r="L338" s="3" t="s">
        <v>8</v>
      </c>
      <c r="M338" s="3" t="s">
        <v>2957</v>
      </c>
      <c r="N338" s="3" t="s">
        <v>2958</v>
      </c>
      <c r="O338" s="3" t="s">
        <v>2959</v>
      </c>
      <c r="P338" s="3" t="s">
        <v>30</v>
      </c>
    </row>
    <row r="339" customFormat="false" ht="23.85" hidden="false" customHeight="false" outlineLevel="0" collapsed="false">
      <c r="A339" s="3" t="s">
        <v>2960</v>
      </c>
      <c r="B339" s="3" t="s">
        <v>17</v>
      </c>
      <c r="C339" s="3" t="s">
        <v>1039</v>
      </c>
      <c r="D339" s="3" t="s">
        <v>19</v>
      </c>
      <c r="E339" s="3" t="s">
        <v>2950</v>
      </c>
      <c r="F339" s="3" t="s">
        <v>2951</v>
      </c>
      <c r="G339" s="3" t="s">
        <v>2952</v>
      </c>
      <c r="H339" s="3" t="s">
        <v>2961</v>
      </c>
      <c r="I339" s="3" t="s">
        <v>1257</v>
      </c>
      <c r="J339" s="3" t="s">
        <v>1259</v>
      </c>
      <c r="K339" s="3" t="s">
        <v>2962</v>
      </c>
      <c r="L339" s="3" t="s">
        <v>8</v>
      </c>
      <c r="M339" s="3" t="s">
        <v>2963</v>
      </c>
      <c r="N339" s="3" t="s">
        <v>2964</v>
      </c>
      <c r="O339" s="3" t="s">
        <v>2965</v>
      </c>
      <c r="P339" s="3" t="s">
        <v>30</v>
      </c>
    </row>
    <row r="340" customFormat="false" ht="23.85" hidden="false" customHeight="false" outlineLevel="0" collapsed="false">
      <c r="A340" s="3" t="s">
        <v>2966</v>
      </c>
      <c r="B340" s="3" t="s">
        <v>17</v>
      </c>
      <c r="C340" s="3" t="s">
        <v>1039</v>
      </c>
      <c r="D340" s="3" t="s">
        <v>19</v>
      </c>
      <c r="E340" s="3" t="s">
        <v>2950</v>
      </c>
      <c r="F340" s="3" t="s">
        <v>2951</v>
      </c>
      <c r="G340" s="3" t="s">
        <v>2952</v>
      </c>
      <c r="H340" s="3" t="s">
        <v>2967</v>
      </c>
      <c r="I340" s="3" t="s">
        <v>2968</v>
      </c>
      <c r="J340" s="3" t="s">
        <v>2969</v>
      </c>
      <c r="K340" s="3" t="s">
        <v>2970</v>
      </c>
      <c r="L340" s="3" t="s">
        <v>8</v>
      </c>
      <c r="M340" s="3" t="s">
        <v>2971</v>
      </c>
      <c r="N340" s="3" t="s">
        <v>2972</v>
      </c>
      <c r="O340" s="3" t="s">
        <v>2973</v>
      </c>
      <c r="P340" s="3" t="s">
        <v>30</v>
      </c>
    </row>
    <row r="341" customFormat="false" ht="23.85" hidden="false" customHeight="false" outlineLevel="0" collapsed="false">
      <c r="A341" s="3" t="s">
        <v>2974</v>
      </c>
      <c r="B341" s="3" t="s">
        <v>17</v>
      </c>
      <c r="C341" s="3" t="s">
        <v>1039</v>
      </c>
      <c r="D341" s="3" t="s">
        <v>1449</v>
      </c>
      <c r="E341" s="3" t="s">
        <v>2975</v>
      </c>
      <c r="F341" s="3" t="s">
        <v>2976</v>
      </c>
      <c r="G341" s="3" t="s">
        <v>2977</v>
      </c>
      <c r="H341" s="3" t="s">
        <v>2978</v>
      </c>
      <c r="I341" s="3" t="s">
        <v>2979</v>
      </c>
      <c r="J341" s="3" t="s">
        <v>2980</v>
      </c>
      <c r="K341" s="3" t="s">
        <v>2981</v>
      </c>
      <c r="L341" s="3" t="s">
        <v>8</v>
      </c>
      <c r="M341" s="3" t="s">
        <v>2982</v>
      </c>
      <c r="N341" s="3" t="s">
        <v>2983</v>
      </c>
      <c r="O341" s="3" t="s">
        <v>1037</v>
      </c>
      <c r="P341" s="3" t="s">
        <v>30</v>
      </c>
    </row>
    <row r="342" customFormat="false" ht="23.85" hidden="false" customHeight="false" outlineLevel="0" collapsed="false">
      <c r="A342" s="3" t="s">
        <v>2984</v>
      </c>
      <c r="B342" s="3" t="s">
        <v>17</v>
      </c>
      <c r="C342" s="3" t="s">
        <v>1039</v>
      </c>
      <c r="D342" s="3" t="s">
        <v>1449</v>
      </c>
      <c r="E342" s="3" t="s">
        <v>2975</v>
      </c>
      <c r="F342" s="3" t="s">
        <v>2976</v>
      </c>
      <c r="G342" s="3" t="s">
        <v>2977</v>
      </c>
      <c r="H342" s="3" t="s">
        <v>2985</v>
      </c>
      <c r="I342" s="3" t="s">
        <v>2986</v>
      </c>
      <c r="J342" s="3" t="s">
        <v>2987</v>
      </c>
      <c r="K342" s="3" t="s">
        <v>2988</v>
      </c>
      <c r="L342" s="3" t="s">
        <v>8</v>
      </c>
      <c r="M342" s="3" t="s">
        <v>2989</v>
      </c>
      <c r="N342" s="3" t="s">
        <v>2990</v>
      </c>
      <c r="O342" s="3" t="s">
        <v>1037</v>
      </c>
      <c r="P342" s="3" t="s">
        <v>30</v>
      </c>
    </row>
    <row r="343" customFormat="false" ht="23.85" hidden="false" customHeight="false" outlineLevel="0" collapsed="false">
      <c r="A343" s="3" t="s">
        <v>2991</v>
      </c>
      <c r="B343" s="3" t="s">
        <v>17</v>
      </c>
      <c r="C343" s="3" t="s">
        <v>1039</v>
      </c>
      <c r="D343" s="3" t="s">
        <v>1449</v>
      </c>
      <c r="E343" s="3" t="s">
        <v>2975</v>
      </c>
      <c r="F343" s="3" t="s">
        <v>2976</v>
      </c>
      <c r="G343" s="3" t="s">
        <v>2977</v>
      </c>
      <c r="H343" s="3" t="s">
        <v>2992</v>
      </c>
      <c r="I343" s="3" t="s">
        <v>2993</v>
      </c>
      <c r="J343" s="3" t="s">
        <v>2994</v>
      </c>
      <c r="K343" s="3" t="s">
        <v>2995</v>
      </c>
      <c r="L343" s="3" t="s">
        <v>8</v>
      </c>
      <c r="M343" s="3" t="s">
        <v>2996</v>
      </c>
      <c r="N343" s="3" t="s">
        <v>2997</v>
      </c>
      <c r="O343" s="3" t="s">
        <v>2853</v>
      </c>
      <c r="P343" s="3" t="s">
        <v>30</v>
      </c>
    </row>
    <row r="344" customFormat="false" ht="23.85" hidden="false" customHeight="false" outlineLevel="0" collapsed="false">
      <c r="A344" s="3" t="s">
        <v>2998</v>
      </c>
      <c r="B344" s="3" t="s">
        <v>17</v>
      </c>
      <c r="C344" s="3" t="s">
        <v>1039</v>
      </c>
      <c r="D344" s="3" t="s">
        <v>19</v>
      </c>
      <c r="E344" s="3" t="s">
        <v>2999</v>
      </c>
      <c r="F344" s="3" t="s">
        <v>3000</v>
      </c>
      <c r="G344" s="3" t="s">
        <v>3001</v>
      </c>
      <c r="H344" s="3" t="s">
        <v>3002</v>
      </c>
      <c r="I344" s="3" t="s">
        <v>3003</v>
      </c>
      <c r="J344" s="3" t="s">
        <v>3004</v>
      </c>
      <c r="K344" s="3" t="s">
        <v>3005</v>
      </c>
      <c r="L344" s="3" t="s">
        <v>8</v>
      </c>
      <c r="M344" s="3" t="s">
        <v>3006</v>
      </c>
      <c r="N344" s="3" t="s">
        <v>3007</v>
      </c>
      <c r="O344" s="3" t="s">
        <v>3008</v>
      </c>
      <c r="P344" s="3" t="s">
        <v>30</v>
      </c>
    </row>
    <row r="345" customFormat="false" ht="23.85" hidden="false" customHeight="false" outlineLevel="0" collapsed="false">
      <c r="A345" s="3" t="s">
        <v>3009</v>
      </c>
      <c r="B345" s="3" t="s">
        <v>17</v>
      </c>
      <c r="C345" s="3" t="s">
        <v>1039</v>
      </c>
      <c r="D345" s="3" t="s">
        <v>19</v>
      </c>
      <c r="E345" s="3" t="s">
        <v>2999</v>
      </c>
      <c r="F345" s="3" t="s">
        <v>3000</v>
      </c>
      <c r="G345" s="3" t="s">
        <v>3001</v>
      </c>
      <c r="H345" s="3" t="s">
        <v>3010</v>
      </c>
      <c r="I345" s="3" t="s">
        <v>3004</v>
      </c>
      <c r="J345" s="3" t="s">
        <v>3003</v>
      </c>
      <c r="K345" s="3" t="s">
        <v>3011</v>
      </c>
      <c r="L345" s="3" t="s">
        <v>8</v>
      </c>
      <c r="M345" s="3" t="s">
        <v>3012</v>
      </c>
      <c r="N345" s="3" t="s">
        <v>3013</v>
      </c>
      <c r="O345" s="3" t="s">
        <v>3014</v>
      </c>
      <c r="P345" s="3" t="s">
        <v>30</v>
      </c>
    </row>
    <row r="346" customFormat="false" ht="23.85" hidden="false" customHeight="false" outlineLevel="0" collapsed="false">
      <c r="A346" s="3" t="s">
        <v>3015</v>
      </c>
      <c r="B346" s="3" t="s">
        <v>17</v>
      </c>
      <c r="C346" s="3" t="s">
        <v>1039</v>
      </c>
      <c r="D346" s="3" t="s">
        <v>19</v>
      </c>
      <c r="E346" s="3" t="s">
        <v>2999</v>
      </c>
      <c r="F346" s="3" t="s">
        <v>3000</v>
      </c>
      <c r="G346" s="3" t="s">
        <v>3001</v>
      </c>
      <c r="H346" s="3" t="s">
        <v>3016</v>
      </c>
      <c r="I346" s="3" t="s">
        <v>3011</v>
      </c>
      <c r="J346" s="3" t="s">
        <v>3004</v>
      </c>
      <c r="K346" s="3" t="s">
        <v>3017</v>
      </c>
      <c r="L346" s="3" t="s">
        <v>8</v>
      </c>
      <c r="M346" s="3" t="s">
        <v>3018</v>
      </c>
      <c r="N346" s="3" t="s">
        <v>3019</v>
      </c>
      <c r="O346" s="3" t="s">
        <v>3020</v>
      </c>
      <c r="P346" s="3" t="s">
        <v>30</v>
      </c>
    </row>
    <row r="347" customFormat="false" ht="23.85" hidden="false" customHeight="false" outlineLevel="0" collapsed="false">
      <c r="A347" s="3" t="s">
        <v>3021</v>
      </c>
      <c r="B347" s="3" t="s">
        <v>17</v>
      </c>
      <c r="C347" s="3" t="s">
        <v>1039</v>
      </c>
      <c r="D347" s="3" t="s">
        <v>19</v>
      </c>
      <c r="E347" s="3" t="s">
        <v>3022</v>
      </c>
      <c r="F347" s="3" t="s">
        <v>3023</v>
      </c>
      <c r="G347" s="3" t="s">
        <v>3024</v>
      </c>
      <c r="H347" s="3" t="s">
        <v>3025</v>
      </c>
      <c r="I347" s="3" t="s">
        <v>3026</v>
      </c>
      <c r="J347" s="3" t="s">
        <v>1178</v>
      </c>
      <c r="K347" s="3" t="s">
        <v>3027</v>
      </c>
      <c r="L347" s="3" t="s">
        <v>8</v>
      </c>
      <c r="M347" s="3" t="s">
        <v>3028</v>
      </c>
      <c r="N347" s="3" t="s">
        <v>3029</v>
      </c>
      <c r="O347" s="3" t="s">
        <v>1364</v>
      </c>
      <c r="P347" s="3" t="s">
        <v>30</v>
      </c>
    </row>
    <row r="348" customFormat="false" ht="23.85" hidden="false" customHeight="false" outlineLevel="0" collapsed="false">
      <c r="A348" s="3" t="s">
        <v>3030</v>
      </c>
      <c r="B348" s="3" t="s">
        <v>17</v>
      </c>
      <c r="C348" s="3" t="s">
        <v>1039</v>
      </c>
      <c r="D348" s="3" t="s">
        <v>19</v>
      </c>
      <c r="E348" s="3" t="s">
        <v>3022</v>
      </c>
      <c r="F348" s="3" t="s">
        <v>3023</v>
      </c>
      <c r="G348" s="3" t="s">
        <v>3024</v>
      </c>
      <c r="H348" s="3" t="s">
        <v>3031</v>
      </c>
      <c r="I348" s="3" t="s">
        <v>1178</v>
      </c>
      <c r="J348" s="3" t="s">
        <v>3026</v>
      </c>
      <c r="K348" s="3" t="s">
        <v>3032</v>
      </c>
      <c r="L348" s="3" t="s">
        <v>8</v>
      </c>
      <c r="M348" s="3" t="s">
        <v>3033</v>
      </c>
      <c r="N348" s="3" t="s">
        <v>3034</v>
      </c>
      <c r="O348" s="3" t="s">
        <v>3035</v>
      </c>
      <c r="P348" s="3" t="s">
        <v>30</v>
      </c>
    </row>
    <row r="349" customFormat="false" ht="23.85" hidden="false" customHeight="false" outlineLevel="0" collapsed="false">
      <c r="A349" s="3" t="s">
        <v>3036</v>
      </c>
      <c r="B349" s="3" t="s">
        <v>17</v>
      </c>
      <c r="C349" s="3" t="s">
        <v>1039</v>
      </c>
      <c r="D349" s="3" t="s">
        <v>19</v>
      </c>
      <c r="E349" s="3" t="s">
        <v>3022</v>
      </c>
      <c r="F349" s="3" t="s">
        <v>3023</v>
      </c>
      <c r="G349" s="3" t="s">
        <v>3024</v>
      </c>
      <c r="H349" s="3" t="s">
        <v>3037</v>
      </c>
      <c r="I349" s="3" t="s">
        <v>3027</v>
      </c>
      <c r="J349" s="3" t="s">
        <v>3038</v>
      </c>
      <c r="K349" s="3" t="s">
        <v>3026</v>
      </c>
      <c r="L349" s="3" t="s">
        <v>8</v>
      </c>
      <c r="M349" s="3" t="s">
        <v>3039</v>
      </c>
      <c r="N349" s="3" t="s">
        <v>3040</v>
      </c>
      <c r="O349" s="3" t="s">
        <v>3035</v>
      </c>
      <c r="P349" s="3" t="s">
        <v>30</v>
      </c>
    </row>
    <row r="350" customFormat="false" ht="23.85" hidden="false" customHeight="false" outlineLevel="0" collapsed="false">
      <c r="A350" s="3" t="s">
        <v>3041</v>
      </c>
      <c r="B350" s="3" t="s">
        <v>17</v>
      </c>
      <c r="C350" s="3" t="s">
        <v>1039</v>
      </c>
      <c r="D350" s="3" t="s">
        <v>1449</v>
      </c>
      <c r="E350" s="3" t="s">
        <v>3042</v>
      </c>
      <c r="F350" s="3" t="s">
        <v>3043</v>
      </c>
      <c r="G350" s="3" t="s">
        <v>3044</v>
      </c>
      <c r="H350" s="3" t="s">
        <v>3045</v>
      </c>
      <c r="I350" s="3" t="s">
        <v>3046</v>
      </c>
      <c r="J350" s="3" t="s">
        <v>3047</v>
      </c>
      <c r="K350" s="3" t="s">
        <v>3048</v>
      </c>
      <c r="L350" s="3" t="s">
        <v>8</v>
      </c>
      <c r="M350" s="3" t="s">
        <v>3049</v>
      </c>
      <c r="N350" s="3" t="s">
        <v>3050</v>
      </c>
      <c r="O350" s="3" t="s">
        <v>440</v>
      </c>
      <c r="P350" s="3" t="s">
        <v>30</v>
      </c>
    </row>
    <row r="351" customFormat="false" ht="23.85" hidden="false" customHeight="false" outlineLevel="0" collapsed="false">
      <c r="A351" s="3" t="s">
        <v>3051</v>
      </c>
      <c r="B351" s="3" t="s">
        <v>17</v>
      </c>
      <c r="C351" s="3" t="s">
        <v>1039</v>
      </c>
      <c r="D351" s="3" t="s">
        <v>1449</v>
      </c>
      <c r="E351" s="3" t="s">
        <v>3042</v>
      </c>
      <c r="F351" s="3" t="s">
        <v>3043</v>
      </c>
      <c r="G351" s="3" t="s">
        <v>3044</v>
      </c>
      <c r="H351" s="3" t="s">
        <v>3052</v>
      </c>
      <c r="I351" s="3" t="s">
        <v>3053</v>
      </c>
      <c r="J351" s="3" t="s">
        <v>3017</v>
      </c>
      <c r="K351" s="3" t="s">
        <v>3054</v>
      </c>
      <c r="L351" s="3" t="s">
        <v>8</v>
      </c>
      <c r="M351" s="3" t="s">
        <v>3055</v>
      </c>
      <c r="N351" s="3" t="s">
        <v>3056</v>
      </c>
      <c r="O351" s="3" t="s">
        <v>440</v>
      </c>
      <c r="P351" s="3" t="s">
        <v>30</v>
      </c>
    </row>
    <row r="352" customFormat="false" ht="23.85" hidden="false" customHeight="false" outlineLevel="0" collapsed="false">
      <c r="A352" s="3" t="s">
        <v>3057</v>
      </c>
      <c r="B352" s="3" t="s">
        <v>17</v>
      </c>
      <c r="C352" s="3" t="s">
        <v>1039</v>
      </c>
      <c r="D352" s="3" t="s">
        <v>1449</v>
      </c>
      <c r="E352" s="3" t="s">
        <v>3042</v>
      </c>
      <c r="F352" s="3" t="s">
        <v>3043</v>
      </c>
      <c r="G352" s="3" t="s">
        <v>3044</v>
      </c>
      <c r="H352" s="3" t="s">
        <v>3058</v>
      </c>
      <c r="I352" s="3" t="s">
        <v>3059</v>
      </c>
      <c r="J352" s="3" t="s">
        <v>3060</v>
      </c>
      <c r="K352" s="3" t="s">
        <v>3061</v>
      </c>
      <c r="L352" s="3" t="s">
        <v>8</v>
      </c>
      <c r="M352" s="3" t="s">
        <v>3062</v>
      </c>
      <c r="N352" s="3" t="s">
        <v>3063</v>
      </c>
      <c r="O352" s="3" t="s">
        <v>3064</v>
      </c>
      <c r="P352" s="3" t="s">
        <v>30</v>
      </c>
    </row>
    <row r="353" customFormat="false" ht="23.85" hidden="false" customHeight="false" outlineLevel="0" collapsed="false">
      <c r="A353" s="3" t="s">
        <v>3065</v>
      </c>
      <c r="B353" s="3" t="s">
        <v>17</v>
      </c>
      <c r="C353" s="3" t="s">
        <v>1039</v>
      </c>
      <c r="D353" s="3" t="s">
        <v>19</v>
      </c>
      <c r="E353" s="3" t="s">
        <v>3066</v>
      </c>
      <c r="F353" s="3" t="s">
        <v>3067</v>
      </c>
      <c r="G353" s="3" t="s">
        <v>3068</v>
      </c>
      <c r="H353" s="3" t="s">
        <v>3069</v>
      </c>
      <c r="I353" s="3" t="s">
        <v>3070</v>
      </c>
      <c r="J353" s="3" t="s">
        <v>3071</v>
      </c>
      <c r="K353" s="3" t="s">
        <v>1286</v>
      </c>
      <c r="L353" s="3" t="s">
        <v>8</v>
      </c>
      <c r="M353" s="3" t="s">
        <v>3072</v>
      </c>
      <c r="N353" s="3" t="s">
        <v>3073</v>
      </c>
      <c r="O353" s="3" t="s">
        <v>1383</v>
      </c>
      <c r="P353" s="3" t="s">
        <v>30</v>
      </c>
    </row>
    <row r="354" customFormat="false" ht="23.85" hidden="false" customHeight="false" outlineLevel="0" collapsed="false">
      <c r="A354" s="3" t="s">
        <v>3074</v>
      </c>
      <c r="B354" s="3" t="s">
        <v>17</v>
      </c>
      <c r="C354" s="3" t="s">
        <v>1039</v>
      </c>
      <c r="D354" s="3" t="s">
        <v>19</v>
      </c>
      <c r="E354" s="3" t="s">
        <v>3066</v>
      </c>
      <c r="F354" s="3" t="s">
        <v>3067</v>
      </c>
      <c r="G354" s="3" t="s">
        <v>3068</v>
      </c>
      <c r="H354" s="3" t="s">
        <v>3075</v>
      </c>
      <c r="I354" s="3" t="s">
        <v>3076</v>
      </c>
      <c r="J354" s="3" t="s">
        <v>3077</v>
      </c>
      <c r="K354" s="3" t="s">
        <v>3078</v>
      </c>
      <c r="L354" s="3" t="s">
        <v>8</v>
      </c>
      <c r="M354" s="3" t="s">
        <v>3079</v>
      </c>
      <c r="N354" s="3" t="s">
        <v>3080</v>
      </c>
      <c r="O354" s="3" t="s">
        <v>256</v>
      </c>
      <c r="P354" s="3" t="s">
        <v>30</v>
      </c>
    </row>
    <row r="355" customFormat="false" ht="23.85" hidden="false" customHeight="false" outlineLevel="0" collapsed="false">
      <c r="A355" s="3" t="s">
        <v>3081</v>
      </c>
      <c r="B355" s="3" t="s">
        <v>17</v>
      </c>
      <c r="C355" s="3" t="s">
        <v>1039</v>
      </c>
      <c r="D355" s="3" t="s">
        <v>19</v>
      </c>
      <c r="E355" s="3" t="s">
        <v>3066</v>
      </c>
      <c r="F355" s="3" t="s">
        <v>3067</v>
      </c>
      <c r="G355" s="3" t="s">
        <v>3068</v>
      </c>
      <c r="H355" s="3" t="s">
        <v>3082</v>
      </c>
      <c r="I355" s="3" t="s">
        <v>3083</v>
      </c>
      <c r="J355" s="3" t="s">
        <v>3084</v>
      </c>
      <c r="K355" s="3" t="s">
        <v>3085</v>
      </c>
      <c r="L355" s="3" t="s">
        <v>8</v>
      </c>
      <c r="M355" s="3" t="s">
        <v>3086</v>
      </c>
      <c r="N355" s="3" t="s">
        <v>3087</v>
      </c>
      <c r="O355" s="3" t="s">
        <v>2801</v>
      </c>
      <c r="P355" s="3" t="s">
        <v>30</v>
      </c>
    </row>
    <row r="356" customFormat="false" ht="23.85" hidden="false" customHeight="false" outlineLevel="0" collapsed="false">
      <c r="A356" s="3" t="s">
        <v>3088</v>
      </c>
      <c r="B356" s="3" t="s">
        <v>17</v>
      </c>
      <c r="C356" s="3" t="s">
        <v>1039</v>
      </c>
      <c r="D356" s="3" t="s">
        <v>19</v>
      </c>
      <c r="E356" s="3" t="s">
        <v>3089</v>
      </c>
      <c r="F356" s="3" t="s">
        <v>3090</v>
      </c>
      <c r="G356" s="3" t="s">
        <v>3091</v>
      </c>
      <c r="H356" s="3" t="s">
        <v>3092</v>
      </c>
      <c r="I356" s="3" t="s">
        <v>3093</v>
      </c>
      <c r="J356" s="3" t="s">
        <v>3094</v>
      </c>
      <c r="K356" s="3" t="s">
        <v>3095</v>
      </c>
      <c r="L356" s="3" t="s">
        <v>8</v>
      </c>
      <c r="M356" s="3" t="s">
        <v>3096</v>
      </c>
      <c r="N356" s="3" t="s">
        <v>3097</v>
      </c>
      <c r="O356" s="3" t="s">
        <v>3098</v>
      </c>
      <c r="P356" s="3" t="s">
        <v>30</v>
      </c>
    </row>
    <row r="357" customFormat="false" ht="23.85" hidden="false" customHeight="false" outlineLevel="0" collapsed="false">
      <c r="A357" s="3" t="s">
        <v>3099</v>
      </c>
      <c r="B357" s="3" t="s">
        <v>17</v>
      </c>
      <c r="C357" s="3" t="s">
        <v>1039</v>
      </c>
      <c r="D357" s="3" t="s">
        <v>19</v>
      </c>
      <c r="E357" s="3" t="s">
        <v>3089</v>
      </c>
      <c r="F357" s="3" t="s">
        <v>3090</v>
      </c>
      <c r="G357" s="3" t="s">
        <v>3091</v>
      </c>
      <c r="H357" s="3" t="s">
        <v>3100</v>
      </c>
      <c r="I357" s="3" t="s">
        <v>3101</v>
      </c>
      <c r="J357" s="3" t="s">
        <v>3102</v>
      </c>
      <c r="K357" s="3" t="s">
        <v>3103</v>
      </c>
      <c r="L357" s="3" t="s">
        <v>8</v>
      </c>
      <c r="M357" s="3" t="s">
        <v>3104</v>
      </c>
      <c r="N357" s="3" t="s">
        <v>3105</v>
      </c>
      <c r="O357" s="3" t="s">
        <v>3106</v>
      </c>
      <c r="P357" s="3" t="s">
        <v>30</v>
      </c>
    </row>
    <row r="358" customFormat="false" ht="23.85" hidden="false" customHeight="false" outlineLevel="0" collapsed="false">
      <c r="A358" s="3" t="s">
        <v>3107</v>
      </c>
      <c r="B358" s="3" t="s">
        <v>17</v>
      </c>
      <c r="C358" s="3" t="s">
        <v>1039</v>
      </c>
      <c r="D358" s="3" t="s">
        <v>19</v>
      </c>
      <c r="E358" s="3" t="s">
        <v>3089</v>
      </c>
      <c r="F358" s="3" t="s">
        <v>3090</v>
      </c>
      <c r="G358" s="3" t="s">
        <v>3091</v>
      </c>
      <c r="H358" s="3" t="s">
        <v>3108</v>
      </c>
      <c r="I358" s="3" t="s">
        <v>3109</v>
      </c>
      <c r="J358" s="3" t="s">
        <v>3110</v>
      </c>
      <c r="K358" s="3" t="s">
        <v>3111</v>
      </c>
      <c r="L358" s="3" t="s">
        <v>8</v>
      </c>
      <c r="M358" s="3" t="s">
        <v>3112</v>
      </c>
      <c r="N358" s="3" t="s">
        <v>3113</v>
      </c>
      <c r="O358" s="3" t="s">
        <v>3098</v>
      </c>
      <c r="P358" s="3" t="s">
        <v>30</v>
      </c>
    </row>
    <row r="359" customFormat="false" ht="23.85" hidden="false" customHeight="false" outlineLevel="0" collapsed="false">
      <c r="A359" s="3" t="s">
        <v>3114</v>
      </c>
      <c r="B359" s="3" t="s">
        <v>17</v>
      </c>
      <c r="C359" s="3" t="s">
        <v>1039</v>
      </c>
      <c r="D359" s="3" t="s">
        <v>1449</v>
      </c>
      <c r="E359" s="3" t="s">
        <v>3115</v>
      </c>
      <c r="F359" s="3" t="s">
        <v>3116</v>
      </c>
      <c r="G359" s="3" t="s">
        <v>3117</v>
      </c>
      <c r="H359" s="3" t="s">
        <v>3118</v>
      </c>
      <c r="I359" s="3" t="s">
        <v>3119</v>
      </c>
      <c r="J359" s="3" t="s">
        <v>3120</v>
      </c>
      <c r="K359" s="3" t="s">
        <v>3121</v>
      </c>
      <c r="L359" s="3" t="s">
        <v>8</v>
      </c>
      <c r="M359" s="3" t="s">
        <v>3122</v>
      </c>
      <c r="N359" s="3" t="s">
        <v>3123</v>
      </c>
      <c r="O359" s="3" t="s">
        <v>3124</v>
      </c>
      <c r="P359" s="3" t="s">
        <v>30</v>
      </c>
    </row>
    <row r="360" customFormat="false" ht="23.85" hidden="false" customHeight="false" outlineLevel="0" collapsed="false">
      <c r="A360" s="3" t="s">
        <v>3125</v>
      </c>
      <c r="B360" s="3" t="s">
        <v>17</v>
      </c>
      <c r="C360" s="3" t="s">
        <v>1039</v>
      </c>
      <c r="D360" s="3" t="s">
        <v>1449</v>
      </c>
      <c r="E360" s="3" t="s">
        <v>3115</v>
      </c>
      <c r="F360" s="3" t="s">
        <v>3116</v>
      </c>
      <c r="G360" s="3" t="s">
        <v>3117</v>
      </c>
      <c r="H360" s="3" t="s">
        <v>3126</v>
      </c>
      <c r="I360" s="3" t="s">
        <v>3127</v>
      </c>
      <c r="J360" s="3" t="s">
        <v>3128</v>
      </c>
      <c r="K360" s="3" t="s">
        <v>3129</v>
      </c>
      <c r="L360" s="3" t="s">
        <v>8</v>
      </c>
      <c r="M360" s="3" t="s">
        <v>3130</v>
      </c>
      <c r="N360" s="3" t="s">
        <v>3131</v>
      </c>
      <c r="O360" s="3" t="s">
        <v>3132</v>
      </c>
      <c r="P360" s="3" t="s">
        <v>30</v>
      </c>
    </row>
    <row r="361" customFormat="false" ht="23.85" hidden="false" customHeight="false" outlineLevel="0" collapsed="false">
      <c r="A361" s="3" t="s">
        <v>3133</v>
      </c>
      <c r="B361" s="3" t="s">
        <v>17</v>
      </c>
      <c r="C361" s="3" t="s">
        <v>1039</v>
      </c>
      <c r="D361" s="3" t="s">
        <v>1449</v>
      </c>
      <c r="E361" s="3" t="s">
        <v>3115</v>
      </c>
      <c r="F361" s="3" t="s">
        <v>3116</v>
      </c>
      <c r="G361" s="3" t="s">
        <v>3117</v>
      </c>
      <c r="H361" s="3" t="s">
        <v>3134</v>
      </c>
      <c r="I361" s="3" t="s">
        <v>3135</v>
      </c>
      <c r="J361" s="3" t="s">
        <v>3136</v>
      </c>
      <c r="K361" s="3" t="s">
        <v>3137</v>
      </c>
      <c r="L361" s="3" t="s">
        <v>8</v>
      </c>
      <c r="M361" s="3" t="s">
        <v>3138</v>
      </c>
      <c r="N361" s="3" t="s">
        <v>3139</v>
      </c>
      <c r="O361" s="3" t="s">
        <v>3140</v>
      </c>
      <c r="P361"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0"/>
    <col collapsed="false" customWidth="true" hidden="false" outlineLevel="0" max="3" min="3" style="1" width="60"/>
    <col collapsed="false" customWidth="true" hidden="false" outlineLevel="0" max="6" min="4" style="1" width="46"/>
    <col collapsed="false" customWidth="true" hidden="false" outlineLevel="0" max="9" min="7" style="1" width="10"/>
    <col collapsed="false" customWidth="true" hidden="false" outlineLevel="0" max="10" min="10" style="1" width="7"/>
  </cols>
  <sheetData>
    <row r="1" customFormat="false" ht="27.75" hidden="false" customHeight="true" outlineLevel="0" collapsed="false">
      <c r="A1" s="2" t="s">
        <v>0</v>
      </c>
      <c r="B1" s="2" t="s">
        <v>3141</v>
      </c>
      <c r="C1" s="2" t="s">
        <v>3142</v>
      </c>
      <c r="D1" s="2" t="s">
        <v>8</v>
      </c>
      <c r="E1" s="2" t="s">
        <v>9</v>
      </c>
      <c r="F1" s="2" t="s">
        <v>10</v>
      </c>
      <c r="G1" s="2" t="s">
        <v>3143</v>
      </c>
      <c r="H1" s="2" t="s">
        <v>3144</v>
      </c>
      <c r="I1" s="2" t="s">
        <v>3145</v>
      </c>
      <c r="J1" s="2" t="s">
        <v>15</v>
      </c>
    </row>
    <row r="2" customFormat="false" ht="23.25" hidden="false" customHeight="true" outlineLevel="0" collapsed="false">
      <c r="A2" s="3" t="s">
        <v>3146</v>
      </c>
      <c r="B2" s="3" t="s">
        <v>3147</v>
      </c>
      <c r="C2" s="3" t="s">
        <v>3148</v>
      </c>
      <c r="D2" s="3" t="s">
        <v>3149</v>
      </c>
      <c r="E2" s="3" t="s">
        <v>3150</v>
      </c>
      <c r="F2" s="3" t="s">
        <v>3151</v>
      </c>
      <c r="G2" s="3" t="n">
        <v>3</v>
      </c>
      <c r="H2" s="3" t="n">
        <v>2</v>
      </c>
      <c r="I2" s="3" t="n">
        <v>1</v>
      </c>
      <c r="J2" s="3" t="s">
        <v>30</v>
      </c>
    </row>
    <row r="3" customFormat="false" ht="23.25" hidden="false" customHeight="true" outlineLevel="0" collapsed="false">
      <c r="A3" s="3" t="s">
        <v>3152</v>
      </c>
      <c r="B3" s="3" t="s">
        <v>3147</v>
      </c>
      <c r="C3" s="3" t="s">
        <v>3153</v>
      </c>
      <c r="D3" s="3" t="s">
        <v>3154</v>
      </c>
      <c r="E3" s="3" t="s">
        <v>3155</v>
      </c>
      <c r="F3" s="3" t="s">
        <v>3156</v>
      </c>
      <c r="G3" s="3" t="n">
        <v>3</v>
      </c>
      <c r="H3" s="3" t="n">
        <v>2</v>
      </c>
      <c r="I3" s="3" t="n">
        <v>1</v>
      </c>
      <c r="J3" s="3" t="s">
        <v>30</v>
      </c>
    </row>
    <row r="4" customFormat="false" ht="23.25" hidden="false" customHeight="true" outlineLevel="0" collapsed="false">
      <c r="A4" s="3" t="s">
        <v>3157</v>
      </c>
      <c r="B4" s="3" t="s">
        <v>3158</v>
      </c>
      <c r="C4" s="3" t="s">
        <v>3159</v>
      </c>
      <c r="D4" s="3" t="s">
        <v>3160</v>
      </c>
      <c r="E4" s="3" t="s">
        <v>3161</v>
      </c>
      <c r="F4" s="3" t="s">
        <v>3162</v>
      </c>
      <c r="G4" s="3" t="n">
        <v>3</v>
      </c>
      <c r="H4" s="3" t="n">
        <v>2</v>
      </c>
      <c r="I4" s="3" t="n">
        <v>1</v>
      </c>
      <c r="J4" s="3" t="s">
        <v>30</v>
      </c>
    </row>
    <row r="5" customFormat="false" ht="23.25" hidden="false" customHeight="true" outlineLevel="0" collapsed="false">
      <c r="A5" s="3" t="s">
        <v>3163</v>
      </c>
      <c r="B5" s="3" t="s">
        <v>3158</v>
      </c>
      <c r="C5" s="3" t="s">
        <v>3164</v>
      </c>
      <c r="D5" s="3" t="s">
        <v>3165</v>
      </c>
      <c r="E5" s="3" t="s">
        <v>3166</v>
      </c>
      <c r="F5" s="3" t="s">
        <v>3167</v>
      </c>
      <c r="G5" s="3" t="n">
        <v>3</v>
      </c>
      <c r="H5" s="3" t="n">
        <v>2</v>
      </c>
      <c r="I5" s="3" t="n">
        <v>1</v>
      </c>
      <c r="J5" s="3" t="s">
        <v>30</v>
      </c>
    </row>
    <row r="6" customFormat="false" ht="23.25" hidden="false" customHeight="true" outlineLevel="0" collapsed="false">
      <c r="A6" s="3" t="s">
        <v>3168</v>
      </c>
      <c r="B6" s="3" t="s">
        <v>3169</v>
      </c>
      <c r="C6" s="3" t="s">
        <v>3170</v>
      </c>
      <c r="D6" s="3" t="s">
        <v>3171</v>
      </c>
      <c r="E6" s="3" t="s">
        <v>3172</v>
      </c>
      <c r="F6" s="3" t="s">
        <v>3173</v>
      </c>
      <c r="G6" s="3" t="n">
        <v>3</v>
      </c>
      <c r="H6" s="3" t="n">
        <v>2</v>
      </c>
      <c r="I6" s="3" t="n">
        <v>1</v>
      </c>
      <c r="J6" s="3" t="s">
        <v>30</v>
      </c>
    </row>
    <row r="7" customFormat="false" ht="23.25" hidden="false" customHeight="true" outlineLevel="0" collapsed="false">
      <c r="A7" s="3" t="s">
        <v>3174</v>
      </c>
      <c r="B7" s="3" t="s">
        <v>3169</v>
      </c>
      <c r="C7" s="3" t="s">
        <v>3175</v>
      </c>
      <c r="D7" s="3" t="s">
        <v>3176</v>
      </c>
      <c r="E7" s="3" t="s">
        <v>3177</v>
      </c>
      <c r="F7" s="3" t="s">
        <v>3178</v>
      </c>
      <c r="G7" s="3" t="n">
        <v>3</v>
      </c>
      <c r="H7" s="3" t="n">
        <v>2</v>
      </c>
      <c r="I7" s="3" t="n">
        <v>1</v>
      </c>
      <c r="J7" s="3" t="s">
        <v>30</v>
      </c>
    </row>
    <row r="8" customFormat="false" ht="23.25" hidden="false" customHeight="true" outlineLevel="0" collapsed="false">
      <c r="A8" s="3" t="s">
        <v>3179</v>
      </c>
      <c r="B8" s="3" t="s">
        <v>3180</v>
      </c>
      <c r="C8" s="3" t="s">
        <v>3181</v>
      </c>
      <c r="D8" s="3" t="s">
        <v>3182</v>
      </c>
      <c r="E8" s="3" t="s">
        <v>3183</v>
      </c>
      <c r="F8" s="3" t="s">
        <v>3184</v>
      </c>
      <c r="G8" s="3" t="n">
        <v>3</v>
      </c>
      <c r="H8" s="3" t="n">
        <v>2</v>
      </c>
      <c r="I8" s="3" t="n">
        <v>1</v>
      </c>
      <c r="J8" s="3" t="s">
        <v>30</v>
      </c>
    </row>
    <row r="9" customFormat="false" ht="23.25" hidden="false" customHeight="true" outlineLevel="0" collapsed="false">
      <c r="A9" s="3" t="s">
        <v>3185</v>
      </c>
      <c r="B9" s="3" t="s">
        <v>3180</v>
      </c>
      <c r="C9" s="3" t="s">
        <v>3186</v>
      </c>
      <c r="D9" s="3" t="s">
        <v>3187</v>
      </c>
      <c r="E9" s="3" t="s">
        <v>3188</v>
      </c>
      <c r="F9" s="3" t="s">
        <v>3189</v>
      </c>
      <c r="G9" s="3" t="n">
        <v>3</v>
      </c>
      <c r="H9" s="3" t="n">
        <v>2</v>
      </c>
      <c r="I9" s="3" t="n">
        <v>1</v>
      </c>
      <c r="J9" s="3" t="s">
        <v>30</v>
      </c>
    </row>
    <row r="10" customFormat="false" ht="23.25" hidden="false" customHeight="true" outlineLevel="0" collapsed="false">
      <c r="A10" s="3" t="s">
        <v>3190</v>
      </c>
      <c r="B10" s="3" t="s">
        <v>3191</v>
      </c>
      <c r="C10" s="3" t="s">
        <v>3192</v>
      </c>
      <c r="D10" s="3" t="s">
        <v>3193</v>
      </c>
      <c r="E10" s="3" t="s">
        <v>3194</v>
      </c>
      <c r="F10" s="3" t="s">
        <v>3195</v>
      </c>
      <c r="G10" s="3" t="n">
        <v>3</v>
      </c>
      <c r="H10" s="3" t="n">
        <v>2</v>
      </c>
      <c r="I10" s="3" t="n">
        <v>1</v>
      </c>
      <c r="J10" s="3" t="s">
        <v>30</v>
      </c>
    </row>
    <row r="11" customFormat="false" ht="23.25" hidden="false" customHeight="true" outlineLevel="0" collapsed="false">
      <c r="A11" s="3" t="s">
        <v>3196</v>
      </c>
      <c r="B11" s="3" t="s">
        <v>3191</v>
      </c>
      <c r="C11" s="3" t="s">
        <v>3197</v>
      </c>
      <c r="D11" s="3" t="s">
        <v>3198</v>
      </c>
      <c r="E11" s="3" t="s">
        <v>3199</v>
      </c>
      <c r="F11" s="3" t="s">
        <v>3200</v>
      </c>
      <c r="G11" s="3" t="n">
        <v>3</v>
      </c>
      <c r="H11" s="3" t="n">
        <v>2</v>
      </c>
      <c r="I11" s="3" t="n">
        <v>1</v>
      </c>
      <c r="J11" s="3" t="s">
        <v>30</v>
      </c>
    </row>
    <row r="12" customFormat="false" ht="23.25" hidden="false" customHeight="true" outlineLevel="0" collapsed="false">
      <c r="A12" s="3" t="s">
        <v>3201</v>
      </c>
      <c r="B12" s="3" t="s">
        <v>3202</v>
      </c>
      <c r="C12" s="3" t="s">
        <v>3203</v>
      </c>
      <c r="D12" s="3" t="s">
        <v>3204</v>
      </c>
      <c r="E12" s="3" t="s">
        <v>3205</v>
      </c>
      <c r="F12" s="3" t="s">
        <v>3206</v>
      </c>
      <c r="G12" s="3" t="n">
        <v>3</v>
      </c>
      <c r="H12" s="3" t="n">
        <v>2</v>
      </c>
      <c r="I12" s="3" t="n">
        <v>1</v>
      </c>
      <c r="J12" s="3" t="s">
        <v>30</v>
      </c>
    </row>
    <row r="13" customFormat="false" ht="23.25" hidden="false" customHeight="true" outlineLevel="0" collapsed="false">
      <c r="A13" s="3" t="s">
        <v>3207</v>
      </c>
      <c r="B13" s="3" t="s">
        <v>3202</v>
      </c>
      <c r="C13" s="3" t="s">
        <v>3208</v>
      </c>
      <c r="D13" s="3" t="s">
        <v>3209</v>
      </c>
      <c r="E13" s="3" t="s">
        <v>3210</v>
      </c>
      <c r="F13" s="3" t="s">
        <v>3211</v>
      </c>
      <c r="G13" s="3" t="n">
        <v>3</v>
      </c>
      <c r="H13" s="3" t="n">
        <v>2</v>
      </c>
      <c r="I13" s="3" t="n">
        <v>1</v>
      </c>
      <c r="J13" s="3" t="s">
        <v>30</v>
      </c>
    </row>
    <row r="14" customFormat="false" ht="23.25" hidden="false" customHeight="true" outlineLevel="0" collapsed="false">
      <c r="A14" s="3" t="s">
        <v>3212</v>
      </c>
      <c r="B14" s="3" t="s">
        <v>3213</v>
      </c>
      <c r="C14" s="3" t="s">
        <v>3214</v>
      </c>
      <c r="D14" s="3" t="s">
        <v>3215</v>
      </c>
      <c r="E14" s="3" t="s">
        <v>3216</v>
      </c>
      <c r="F14" s="3" t="s">
        <v>3217</v>
      </c>
      <c r="G14" s="3" t="n">
        <v>3</v>
      </c>
      <c r="H14" s="3" t="n">
        <v>2</v>
      </c>
      <c r="I14" s="3" t="n">
        <v>1</v>
      </c>
      <c r="J14" s="3" t="s">
        <v>30</v>
      </c>
    </row>
    <row r="15" customFormat="false" ht="23.25" hidden="false" customHeight="true" outlineLevel="0" collapsed="false">
      <c r="A15" s="3" t="s">
        <v>3218</v>
      </c>
      <c r="B15" s="3" t="s">
        <v>3213</v>
      </c>
      <c r="C15" s="3" t="s">
        <v>3219</v>
      </c>
      <c r="D15" s="3" t="s">
        <v>3220</v>
      </c>
      <c r="E15" s="3" t="s">
        <v>3221</v>
      </c>
      <c r="F15" s="3" t="s">
        <v>3222</v>
      </c>
      <c r="G15" s="3" t="n">
        <v>3</v>
      </c>
      <c r="H15" s="3" t="n">
        <v>2</v>
      </c>
      <c r="I15" s="3" t="n">
        <v>1</v>
      </c>
      <c r="J15" s="3" t="s">
        <v>30</v>
      </c>
    </row>
    <row r="16" customFormat="false" ht="23.25" hidden="false" customHeight="true" outlineLevel="0" collapsed="false">
      <c r="A16" s="3" t="s">
        <v>3223</v>
      </c>
      <c r="B16" s="3" t="s">
        <v>3224</v>
      </c>
      <c r="C16" s="3" t="s">
        <v>3225</v>
      </c>
      <c r="D16" s="3" t="s">
        <v>3226</v>
      </c>
      <c r="E16" s="3" t="s">
        <v>3227</v>
      </c>
      <c r="F16" s="3" t="s">
        <v>3228</v>
      </c>
      <c r="G16" s="3" t="n">
        <v>3</v>
      </c>
      <c r="H16" s="3" t="n">
        <v>2</v>
      </c>
      <c r="I16" s="3" t="n">
        <v>1</v>
      </c>
      <c r="J16" s="3" t="s">
        <v>30</v>
      </c>
    </row>
    <row r="17" customFormat="false" ht="23.25" hidden="false" customHeight="true" outlineLevel="0" collapsed="false">
      <c r="A17" s="3" t="s">
        <v>3229</v>
      </c>
      <c r="B17" s="3" t="s">
        <v>3230</v>
      </c>
      <c r="C17" s="3" t="s">
        <v>3231</v>
      </c>
      <c r="D17" s="3" t="s">
        <v>3232</v>
      </c>
      <c r="E17" s="3" t="s">
        <v>3233</v>
      </c>
      <c r="F17" s="3" t="s">
        <v>3234</v>
      </c>
      <c r="G17" s="3" t="n">
        <v>3</v>
      </c>
      <c r="H17" s="3" t="n">
        <v>2</v>
      </c>
      <c r="I17" s="3" t="n">
        <v>1</v>
      </c>
      <c r="J17" s="3" t="s">
        <v>30</v>
      </c>
    </row>
    <row r="18" customFormat="false" ht="23.25" hidden="false" customHeight="true" outlineLevel="0" collapsed="false">
      <c r="A18" s="3" t="s">
        <v>3235</v>
      </c>
      <c r="B18" s="3" t="s">
        <v>3236</v>
      </c>
      <c r="C18" s="3" t="s">
        <v>3237</v>
      </c>
      <c r="D18" s="3" t="s">
        <v>3238</v>
      </c>
      <c r="E18" s="3" t="s">
        <v>3239</v>
      </c>
      <c r="F18" s="3" t="s">
        <v>3240</v>
      </c>
      <c r="G18" s="3" t="n">
        <v>3</v>
      </c>
      <c r="H18" s="3" t="n">
        <v>2</v>
      </c>
      <c r="I18" s="3" t="n">
        <v>1</v>
      </c>
      <c r="J18" s="3" t="s">
        <v>30</v>
      </c>
    </row>
    <row r="19" customFormat="false" ht="23.25" hidden="false" customHeight="true" outlineLevel="0" collapsed="false">
      <c r="A19" s="3" t="s">
        <v>3241</v>
      </c>
      <c r="B19" s="3" t="s">
        <v>3242</v>
      </c>
      <c r="C19" s="3" t="s">
        <v>3243</v>
      </c>
      <c r="D19" s="3" t="s">
        <v>3244</v>
      </c>
      <c r="E19" s="3" t="s">
        <v>3245</v>
      </c>
      <c r="F19" s="3" t="s">
        <v>3246</v>
      </c>
      <c r="G19" s="3" t="n">
        <v>3</v>
      </c>
      <c r="H19" s="3" t="n">
        <v>2</v>
      </c>
      <c r="I19" s="3" t="n">
        <v>1</v>
      </c>
      <c r="J19" s="3" t="s">
        <v>30</v>
      </c>
    </row>
    <row r="20" customFormat="false" ht="23.85" hidden="false" customHeight="false" outlineLevel="0" collapsed="false">
      <c r="A20" s="3" t="s">
        <v>3247</v>
      </c>
      <c r="B20" s="3" t="s">
        <v>3158</v>
      </c>
      <c r="C20" s="3" t="s">
        <v>3248</v>
      </c>
      <c r="D20" s="3" t="s">
        <v>3249</v>
      </c>
      <c r="E20" s="3" t="s">
        <v>3250</v>
      </c>
      <c r="F20" s="3" t="s">
        <v>3251</v>
      </c>
      <c r="G20" s="3" t="n">
        <v>3</v>
      </c>
      <c r="H20" s="3" t="n">
        <v>2</v>
      </c>
      <c r="I20" s="3" t="n">
        <v>1</v>
      </c>
      <c r="J20" s="3" t="s">
        <v>30</v>
      </c>
    </row>
    <row r="21" customFormat="false" ht="23.85" hidden="false" customHeight="false" outlineLevel="0" collapsed="false">
      <c r="A21" s="3" t="s">
        <v>3252</v>
      </c>
      <c r="B21" s="3" t="s">
        <v>3169</v>
      </c>
      <c r="C21" s="3" t="s">
        <v>3253</v>
      </c>
      <c r="D21" s="3" t="s">
        <v>3254</v>
      </c>
      <c r="E21" s="3" t="s">
        <v>3255</v>
      </c>
      <c r="F21" s="3" t="s">
        <v>3256</v>
      </c>
      <c r="G21" s="3" t="n">
        <v>3</v>
      </c>
      <c r="H21" s="3" t="n">
        <v>2</v>
      </c>
      <c r="I21" s="3" t="n">
        <v>1</v>
      </c>
      <c r="J21" s="3" t="s">
        <v>30</v>
      </c>
    </row>
    <row r="22" customFormat="false" ht="23.85" hidden="false" customHeight="false" outlineLevel="0" collapsed="false">
      <c r="A22" s="3" t="s">
        <v>3257</v>
      </c>
      <c r="B22" s="3" t="s">
        <v>3180</v>
      </c>
      <c r="C22" s="3" t="s">
        <v>3258</v>
      </c>
      <c r="D22" s="3" t="s">
        <v>3259</v>
      </c>
      <c r="E22" s="3" t="s">
        <v>3260</v>
      </c>
      <c r="F22" s="3" t="s">
        <v>3261</v>
      </c>
      <c r="G22" s="3" t="n">
        <v>3</v>
      </c>
      <c r="H22" s="3" t="n">
        <v>2</v>
      </c>
      <c r="I22" s="3" t="n">
        <v>1</v>
      </c>
      <c r="J22" s="3" t="s">
        <v>30</v>
      </c>
    </row>
    <row r="23" customFormat="false" ht="23.85" hidden="false" customHeight="false" outlineLevel="0" collapsed="false">
      <c r="A23" s="3" t="s">
        <v>3262</v>
      </c>
      <c r="B23" s="3" t="s">
        <v>3191</v>
      </c>
      <c r="C23" s="3" t="s">
        <v>3263</v>
      </c>
      <c r="D23" s="3" t="s">
        <v>3264</v>
      </c>
      <c r="E23" s="3" t="s">
        <v>3265</v>
      </c>
      <c r="F23" s="3" t="s">
        <v>3266</v>
      </c>
      <c r="G23" s="3" t="n">
        <v>3</v>
      </c>
      <c r="H23" s="3" t="n">
        <v>2</v>
      </c>
      <c r="I23" s="3" t="n">
        <v>1</v>
      </c>
      <c r="J23" s="3" t="s">
        <v>30</v>
      </c>
    </row>
    <row r="24" customFormat="false" ht="23.85" hidden="false" customHeight="false" outlineLevel="0" collapsed="false">
      <c r="A24" s="3" t="s">
        <v>3267</v>
      </c>
      <c r="B24" s="3" t="s">
        <v>3147</v>
      </c>
      <c r="C24" s="3" t="s">
        <v>3268</v>
      </c>
      <c r="D24" s="3" t="s">
        <v>3269</v>
      </c>
      <c r="E24" s="3" t="s">
        <v>3270</v>
      </c>
      <c r="F24" s="3" t="s">
        <v>3271</v>
      </c>
      <c r="G24" s="3" t="n">
        <v>3</v>
      </c>
      <c r="H24" s="3" t="n">
        <v>2</v>
      </c>
      <c r="I24" s="3" t="n">
        <v>1</v>
      </c>
      <c r="J24" s="3" t="s">
        <v>30</v>
      </c>
    </row>
    <row r="25" customFormat="false" ht="23.85" hidden="false" customHeight="false" outlineLevel="0" collapsed="false">
      <c r="A25" s="3" t="s">
        <v>3272</v>
      </c>
      <c r="B25" s="3" t="s">
        <v>3202</v>
      </c>
      <c r="C25" s="3" t="s">
        <v>3273</v>
      </c>
      <c r="D25" s="3" t="s">
        <v>3274</v>
      </c>
      <c r="E25" s="3" t="s">
        <v>3275</v>
      </c>
      <c r="F25" s="3" t="s">
        <v>3276</v>
      </c>
      <c r="G25" s="3" t="n">
        <v>3</v>
      </c>
      <c r="H25" s="3" t="n">
        <v>2</v>
      </c>
      <c r="I25" s="3" t="n">
        <v>1</v>
      </c>
      <c r="J25" s="3" t="s">
        <v>30</v>
      </c>
    </row>
    <row r="26" customFormat="false" ht="23.85" hidden="false" customHeight="false" outlineLevel="0" collapsed="false">
      <c r="A26" s="3" t="s">
        <v>3277</v>
      </c>
      <c r="B26" s="3" t="s">
        <v>3213</v>
      </c>
      <c r="C26" s="3" t="s">
        <v>3278</v>
      </c>
      <c r="D26" s="3" t="s">
        <v>3279</v>
      </c>
      <c r="E26" s="3" t="s">
        <v>3280</v>
      </c>
      <c r="F26" s="3" t="s">
        <v>3281</v>
      </c>
      <c r="G26" s="3" t="n">
        <v>3</v>
      </c>
      <c r="H26" s="3" t="n">
        <v>2</v>
      </c>
      <c r="I26" s="3" t="n">
        <v>1</v>
      </c>
      <c r="J26" s="3" t="s">
        <v>30</v>
      </c>
    </row>
    <row r="27" customFormat="false" ht="23.85" hidden="false" customHeight="false" outlineLevel="0" collapsed="false">
      <c r="A27" s="3" t="s">
        <v>3282</v>
      </c>
      <c r="B27" s="3" t="s">
        <v>3224</v>
      </c>
      <c r="C27" s="3" t="s">
        <v>3283</v>
      </c>
      <c r="D27" s="3" t="s">
        <v>3284</v>
      </c>
      <c r="E27" s="3" t="s">
        <v>3285</v>
      </c>
      <c r="F27" s="3" t="s">
        <v>3286</v>
      </c>
      <c r="G27" s="3" t="n">
        <v>3</v>
      </c>
      <c r="H27" s="3" t="n">
        <v>2</v>
      </c>
      <c r="I27" s="3" t="n">
        <v>1</v>
      </c>
      <c r="J27" s="3" t="s">
        <v>30</v>
      </c>
    </row>
    <row r="28" customFormat="false" ht="15" hidden="false" customHeight="false" outlineLevel="0" collapsed="false">
      <c r="A28" s="3" t="s">
        <v>3287</v>
      </c>
      <c r="B28" s="3" t="s">
        <v>3236</v>
      </c>
      <c r="C28" s="3" t="s">
        <v>3288</v>
      </c>
      <c r="D28" s="3" t="s">
        <v>3289</v>
      </c>
      <c r="E28" s="3" t="s">
        <v>3290</v>
      </c>
      <c r="F28" s="3" t="s">
        <v>3291</v>
      </c>
      <c r="G28" s="3" t="n">
        <v>3</v>
      </c>
      <c r="H28" s="3" t="n">
        <v>2</v>
      </c>
      <c r="I28" s="3" t="n">
        <v>1</v>
      </c>
      <c r="J28" s="3" t="s">
        <v>30</v>
      </c>
    </row>
    <row r="29" customFormat="false" ht="23.85" hidden="false" customHeight="false" outlineLevel="0" collapsed="false">
      <c r="A29" s="3" t="s">
        <v>3292</v>
      </c>
      <c r="B29" s="3" t="s">
        <v>3242</v>
      </c>
      <c r="C29" s="3" t="s">
        <v>3293</v>
      </c>
      <c r="D29" s="3" t="s">
        <v>3294</v>
      </c>
      <c r="E29" s="3" t="s">
        <v>3295</v>
      </c>
      <c r="F29" s="3" t="s">
        <v>3296</v>
      </c>
      <c r="G29" s="3" t="n">
        <v>3</v>
      </c>
      <c r="H29" s="3" t="n">
        <v>2</v>
      </c>
      <c r="I29" s="3" t="n">
        <v>1</v>
      </c>
      <c r="J29" s="3" t="s">
        <v>30</v>
      </c>
    </row>
    <row r="30" customFormat="false" ht="15" hidden="false" customHeight="false" outlineLevel="0" collapsed="false">
      <c r="A30" s="3" t="s">
        <v>3297</v>
      </c>
      <c r="B30" s="3" t="s">
        <v>3298</v>
      </c>
      <c r="C30" s="3" t="s">
        <v>3299</v>
      </c>
      <c r="D30" s="3" t="s">
        <v>3300</v>
      </c>
      <c r="E30" s="3" t="s">
        <v>3301</v>
      </c>
      <c r="F30" s="3" t="s">
        <v>3302</v>
      </c>
      <c r="G30" s="3" t="n">
        <v>3</v>
      </c>
      <c r="H30" s="3" t="n">
        <v>2</v>
      </c>
      <c r="I30" s="3" t="n">
        <v>1</v>
      </c>
      <c r="J30" s="3" t="s">
        <v>30</v>
      </c>
    </row>
    <row r="31" customFormat="false" ht="23.85" hidden="false" customHeight="false" outlineLevel="0" collapsed="false">
      <c r="A31" s="3" t="s">
        <v>3303</v>
      </c>
      <c r="B31" s="3" t="s">
        <v>3304</v>
      </c>
      <c r="C31" s="3" t="s">
        <v>3305</v>
      </c>
      <c r="D31" s="3" t="s">
        <v>3306</v>
      </c>
      <c r="E31" s="3" t="s">
        <v>3307</v>
      </c>
      <c r="F31" s="3" t="s">
        <v>3308</v>
      </c>
      <c r="G31" s="3" t="n">
        <v>3</v>
      </c>
      <c r="H31" s="3" t="n">
        <v>2</v>
      </c>
      <c r="I31" s="3" t="n">
        <v>1</v>
      </c>
      <c r="J31"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34"/>
    <col collapsed="false" customWidth="true" hidden="false" outlineLevel="0" max="3" min="3" style="1" width="14"/>
  </cols>
  <sheetData>
    <row r="1" customFormat="false" ht="15.75" hidden="false" customHeight="true" outlineLevel="0" collapsed="false">
      <c r="A1" s="4" t="s">
        <v>3309</v>
      </c>
      <c r="B1" s="5"/>
      <c r="C1" s="5"/>
    </row>
    <row r="2" customFormat="false" ht="15" hidden="false" customHeight="true" outlineLevel="0" collapsed="false">
      <c r="A2" s="5"/>
      <c r="B2" s="5"/>
      <c r="C2" s="5"/>
    </row>
    <row r="3" customFormat="false" ht="15" hidden="false" customHeight="true" outlineLevel="0" collapsed="false">
      <c r="A3" s="5" t="s">
        <v>3310</v>
      </c>
      <c r="B3" s="5" t="s">
        <v>17</v>
      </c>
      <c r="C3" s="5"/>
    </row>
    <row r="4" customFormat="false" ht="15" hidden="false" customHeight="true" outlineLevel="0" collapsed="false">
      <c r="A4" s="5" t="s">
        <v>3311</v>
      </c>
      <c r="B4" s="5" t="n">
        <f aca="false">COUNTA(Funcionales!A2:A2000)</f>
        <v>360</v>
      </c>
      <c r="C4" s="5"/>
    </row>
    <row r="5" customFormat="false" ht="15" hidden="false" customHeight="true" outlineLevel="0" collapsed="false">
      <c r="A5" s="5" t="s">
        <v>3312</v>
      </c>
      <c r="B5" s="5" t="n">
        <f aca="false">SUMPRODUCT((Funcionales!E2:E2000&lt;&gt;"")/COUNTIF(Funcionales!E2:E2000,Funcionales!E2:E2000&amp;""))</f>
        <v>120</v>
      </c>
      <c r="C5" s="5"/>
    </row>
    <row r="6" customFormat="false" ht="15" hidden="false" customHeight="true" outlineLevel="0" collapsed="false">
      <c r="A6" s="5" t="s">
        <v>3313</v>
      </c>
      <c r="B6" s="5" t="n">
        <f aca="false">COUNTA(Comportamentales!A2:A500)</f>
        <v>30</v>
      </c>
      <c r="C6" s="5"/>
    </row>
    <row r="7" customFormat="false" ht="15" hidden="false" customHeight="true" outlineLevel="0" collapsed="false">
      <c r="A7" s="5" t="s">
        <v>3314</v>
      </c>
      <c r="B7" s="5" t="n">
        <f aca="false">B4+B6</f>
        <v>390</v>
      </c>
      <c r="C7" s="5"/>
    </row>
    <row r="8" customFormat="false" ht="15" hidden="false" customHeight="true" outlineLevel="0" collapsed="false">
      <c r="A8" s="5"/>
      <c r="B8" s="5"/>
      <c r="C8" s="5"/>
    </row>
    <row r="9" customFormat="false" ht="15" hidden="false" customHeight="true" outlineLevel="0" collapsed="false">
      <c r="A9" s="6" t="s">
        <v>3315</v>
      </c>
      <c r="B9" s="5"/>
      <c r="C9" s="5"/>
    </row>
    <row r="10" customFormat="false" ht="15" hidden="false" customHeight="true" outlineLevel="0" collapsed="false">
      <c r="A10" s="7" t="s">
        <v>3316</v>
      </c>
      <c r="B10" s="7" t="s">
        <v>3317</v>
      </c>
      <c r="C10" s="7" t="s">
        <v>3318</v>
      </c>
    </row>
    <row r="11" customFormat="false" ht="15" hidden="false" customHeight="true" outlineLevel="0" collapsed="false">
      <c r="A11" s="5" t="s">
        <v>18</v>
      </c>
      <c r="B11" s="5" t="n">
        <f aca="false">COUNTIF(Funcionales!$C$2:$C$2000,$A11)</f>
        <v>30</v>
      </c>
      <c r="C11" s="5" t="n">
        <f aca="false">COUNTIF(Funcionales!$C$2:$C$2000,$A11)/3</f>
        <v>10</v>
      </c>
    </row>
    <row r="12" customFormat="false" ht="15" hidden="false" customHeight="true" outlineLevel="0" collapsed="false">
      <c r="A12" s="5" t="s">
        <v>130</v>
      </c>
      <c r="B12" s="5" t="n">
        <f aca="false">COUNTIF(Funcionales!$C$2:$C$2000,$A12)</f>
        <v>27</v>
      </c>
      <c r="C12" s="5" t="n">
        <f aca="false">COUNTIF(Funcionales!$C$2:$C$2000,$A12)/3</f>
        <v>9</v>
      </c>
    </row>
    <row r="13" customFormat="false" ht="15" hidden="false" customHeight="true" outlineLevel="0" collapsed="false">
      <c r="A13" s="5" t="s">
        <v>238</v>
      </c>
      <c r="B13" s="5" t="n">
        <f aca="false">COUNTIF(Funcionales!$C$2:$C$2000,$A13)</f>
        <v>30</v>
      </c>
      <c r="C13" s="5" t="n">
        <f aca="false">COUNTIF(Funcionales!$C$2:$C$2000,$A13)/3</f>
        <v>10</v>
      </c>
    </row>
    <row r="14" customFormat="false" ht="15" hidden="false" customHeight="true" outlineLevel="0" collapsed="false">
      <c r="A14" s="5" t="s">
        <v>343</v>
      </c>
      <c r="B14" s="5" t="n">
        <f aca="false">COUNTIF(Funcionales!$C$2:$C$2000,$A14)</f>
        <v>30</v>
      </c>
      <c r="C14" s="5" t="n">
        <f aca="false">COUNTIF(Funcionales!$C$2:$C$2000,$A14)/3</f>
        <v>10</v>
      </c>
    </row>
    <row r="15" customFormat="false" ht="15" hidden="false" customHeight="true" outlineLevel="0" collapsed="false">
      <c r="A15" s="5" t="s">
        <v>450</v>
      </c>
      <c r="B15" s="5" t="n">
        <f aca="false">COUNTIF(Funcionales!$C$2:$C$2000,$A15)</f>
        <v>27</v>
      </c>
      <c r="C15" s="5" t="n">
        <f aca="false">COUNTIF(Funcionales!$C$2:$C$2000,$A15)/3</f>
        <v>9</v>
      </c>
    </row>
    <row r="16" customFormat="false" ht="15" hidden="false" customHeight="true" outlineLevel="0" collapsed="false">
      <c r="A16" s="5" t="s">
        <v>559</v>
      </c>
      <c r="B16" s="5" t="n">
        <f aca="false">COUNTIF(Funcionales!$C$2:$C$2000,$A16)</f>
        <v>24</v>
      </c>
      <c r="C16" s="5" t="n">
        <f aca="false">COUNTIF(Funcionales!$C$2:$C$2000,$A16)/3</f>
        <v>8</v>
      </c>
    </row>
    <row r="17" customFormat="false" ht="15" hidden="false" customHeight="true" outlineLevel="0" collapsed="false">
      <c r="A17" s="5" t="s">
        <v>640</v>
      </c>
      <c r="B17" s="5" t="n">
        <f aca="false">COUNTIF(Funcionales!$C$2:$C$2000,$A17)</f>
        <v>24</v>
      </c>
      <c r="C17" s="5" t="n">
        <f aca="false">COUNTIF(Funcionales!$C$2:$C$2000,$A17)/3</f>
        <v>8</v>
      </c>
    </row>
    <row r="18" customFormat="false" ht="15" hidden="false" customHeight="true" outlineLevel="0" collapsed="false">
      <c r="A18" s="5" t="s">
        <v>718</v>
      </c>
      <c r="B18" s="5" t="n">
        <f aca="false">COUNTIF(Funcionales!$C$2:$C$2000,$A18)</f>
        <v>24</v>
      </c>
      <c r="C18" s="5" t="n">
        <f aca="false">COUNTIF(Funcionales!$C$2:$C$2000,$A18)/3</f>
        <v>8</v>
      </c>
    </row>
    <row r="19" customFormat="false" ht="15" hidden="false" customHeight="true" outlineLevel="0" collapsed="false">
      <c r="A19" s="5" t="s">
        <v>795</v>
      </c>
      <c r="B19" s="5" t="n">
        <f aca="false">COUNTIF(Funcionales!$C$2:$C$2000,$A19)</f>
        <v>27</v>
      </c>
      <c r="C19" s="5" t="n">
        <f aca="false">COUNTIF(Funcionales!$C$2:$C$2000,$A19)/3</f>
        <v>9</v>
      </c>
    </row>
    <row r="20" customFormat="false" ht="15" hidden="false" customHeight="true" outlineLevel="0" collapsed="false">
      <c r="A20" s="5" t="s">
        <v>876</v>
      </c>
      <c r="B20" s="5" t="n">
        <f aca="false">COUNTIF(Funcionales!$C$2:$C$2000,$A20)</f>
        <v>24</v>
      </c>
      <c r="C20" s="5" t="n">
        <f aca="false">COUNTIF(Funcionales!$C$2:$C$2000,$A20)/3</f>
        <v>8</v>
      </c>
    </row>
    <row r="21" customFormat="false" ht="15" hidden="false" customHeight="true" outlineLevel="0" collapsed="false">
      <c r="A21" s="5" t="s">
        <v>958</v>
      </c>
      <c r="B21" s="5" t="n">
        <f aca="false">COUNTIF(Funcionales!$C$2:$C$2000,$A21)</f>
        <v>24</v>
      </c>
      <c r="C21" s="5" t="n">
        <f aca="false">COUNTIF(Funcionales!$C$2:$C$2000,$A21)/3</f>
        <v>8</v>
      </c>
    </row>
    <row r="22" customFormat="false" ht="15" hidden="false" customHeight="true" outlineLevel="0" collapsed="false">
      <c r="A22" s="5" t="s">
        <v>1039</v>
      </c>
      <c r="B22" s="5" t="n">
        <f aca="false">COUNTIF(Funcionales!$C$2:$C$2000,$A22)</f>
        <v>69</v>
      </c>
      <c r="C22" s="5" t="n">
        <f aca="false">COUNTIF(Funcionales!$C$2:$C$2000,$A22)/3</f>
        <v>23</v>
      </c>
    </row>
    <row r="23" customFormat="false" ht="15" hidden="false" customHeight="true" outlineLevel="0" collapsed="false">
      <c r="A23" s="8" t="s">
        <v>3319</v>
      </c>
      <c r="B23" s="8" t="n">
        <f aca="false">SUM(B11:B22)</f>
        <v>360</v>
      </c>
      <c r="C23" s="8" t="n">
        <f aca="false">SUM(C11:C22)</f>
        <v>120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0"/>
  </cols>
  <sheetData>
    <row r="1" customFormat="false" ht="15" hidden="false" customHeight="true" outlineLevel="0" collapsed="false">
      <c r="A1" s="9" t="s">
        <v>3320</v>
      </c>
    </row>
    <row r="2" customFormat="false" ht="15" hidden="false" customHeight="true" outlineLevel="0" collapsed="false">
      <c r="A2" s="10"/>
    </row>
    <row r="3" customFormat="false" ht="15" hidden="false" customHeight="true" outlineLevel="0" collapsed="false">
      <c r="A3" s="10" t="s">
        <v>3321</v>
      </c>
    </row>
    <row r="4" customFormat="false" ht="15" hidden="false" customHeight="true" outlineLevel="0" collapsed="false">
      <c r="A4" s="10" t="s">
        <v>3322</v>
      </c>
    </row>
    <row r="5" customFormat="false" ht="15" hidden="false" customHeight="true" outlineLevel="0" collapsed="false">
      <c r="A5" s="10" t="s">
        <v>3323</v>
      </c>
    </row>
    <row r="6" customFormat="false" ht="15" hidden="false" customHeight="true" outlineLevel="0" collapsed="false">
      <c r="A6" s="10" t="s">
        <v>3324</v>
      </c>
    </row>
    <row r="7" customFormat="false" ht="15" hidden="false" customHeight="true" outlineLevel="0" collapsed="false">
      <c r="A7" s="10"/>
    </row>
    <row r="8" customFormat="false" ht="15" hidden="false" customHeight="true" outlineLevel="0" collapsed="false">
      <c r="A8" s="9" t="s">
        <v>3325</v>
      </c>
    </row>
    <row r="9" customFormat="false" ht="15" hidden="false" customHeight="true" outlineLevel="0" collapsed="false">
      <c r="A9" s="10" t="s">
        <v>3326</v>
      </c>
    </row>
    <row r="10" customFormat="false" ht="15" hidden="false" customHeight="true" outlineLevel="0" collapsed="false">
      <c r="A10" s="10" t="s">
        <v>3327</v>
      </c>
    </row>
    <row r="11" customFormat="false" ht="15" hidden="false" customHeight="true" outlineLevel="0" collapsed="false">
      <c r="A11" s="10" t="s">
        <v>3328</v>
      </c>
    </row>
    <row r="12" customFormat="false" ht="15" hidden="false" customHeight="true" outlineLevel="0" collapsed="false">
      <c r="A12" s="10"/>
    </row>
    <row r="13" customFormat="false" ht="15" hidden="false" customHeight="true" outlineLevel="0" collapsed="false">
      <c r="A13" s="9" t="s">
        <v>3329</v>
      </c>
    </row>
    <row r="14" customFormat="false" ht="15" hidden="false" customHeight="true" outlineLevel="0" collapsed="false">
      <c r="A14" s="10" t="s">
        <v>3330</v>
      </c>
    </row>
    <row r="15" customFormat="false" ht="15" hidden="false" customHeight="true" outlineLevel="0" collapsed="false">
      <c r="A15" s="10" t="s">
        <v>3331</v>
      </c>
    </row>
    <row r="16" customFormat="false" ht="15" hidden="false" customHeight="true" outlineLevel="0" collapsed="false">
      <c r="A16" s="10" t="s">
        <v>3332</v>
      </c>
    </row>
    <row r="17" customFormat="false" ht="15" hidden="false" customHeight="true" outlineLevel="0" collapsed="false">
      <c r="A17" s="10" t="s">
        <v>3333</v>
      </c>
    </row>
    <row r="18" customFormat="false" ht="15" hidden="false" customHeight="true" outlineLevel="0" collapsed="false">
      <c r="A18" s="10" t="s">
        <v>3334</v>
      </c>
    </row>
    <row r="19" customFormat="false" ht="15" hidden="false" customHeight="true" outlineLevel="0" collapsed="false">
      <c r="A19" s="10" t="s">
        <v>3335</v>
      </c>
    </row>
    <row r="20" customFormat="false" ht="15" hidden="false" customHeight="true" outlineLevel="0" collapsed="false">
      <c r="A20" s="10" t="s">
        <v>3336</v>
      </c>
    </row>
    <row r="21" customFormat="false" ht="15" hidden="false" customHeight="true" outlineLevel="0" collapsed="false">
      <c r="A21" s="10"/>
    </row>
    <row r="22" customFormat="false" ht="15" hidden="false" customHeight="true" outlineLevel="0" collapsed="false">
      <c r="A22" s="9" t="s">
        <v>3337</v>
      </c>
    </row>
    <row r="23" customFormat="false" ht="15" hidden="false" customHeight="true" outlineLevel="0" collapsed="false">
      <c r="A23" s="10" t="s">
        <v>3338</v>
      </c>
    </row>
    <row r="24" customFormat="false" ht="15" hidden="false" customHeight="true" outlineLevel="0" collapsed="false">
      <c r="A24" s="10" t="s">
        <v>3339</v>
      </c>
    </row>
    <row r="25" customFormat="false" ht="15" hidden="false" customHeight="true" outlineLevel="0" collapsed="false">
      <c r="A25" s="10" t="s">
        <v>3340</v>
      </c>
    </row>
    <row r="26" customFormat="false" ht="15" hidden="false" customHeight="true" outlineLevel="0" collapsed="false">
      <c r="A26" s="10" t="s">
        <v>3341</v>
      </c>
    </row>
    <row r="27" customFormat="false" ht="15" hidden="false" customHeight="true" outlineLevel="0" collapsed="false">
      <c r="A27" s="10"/>
    </row>
    <row r="28" customFormat="false" ht="15" hidden="false" customHeight="true" outlineLevel="0" collapsed="false">
      <c r="A28" s="9" t="s">
        <v>3342</v>
      </c>
    </row>
    <row r="29" customFormat="false" ht="15" hidden="false" customHeight="true" outlineLevel="0" collapsed="false">
      <c r="A29" s="10" t="s">
        <v>3343</v>
      </c>
    </row>
    <row r="30" customFormat="false" ht="15" hidden="false" customHeight="true" outlineLevel="0" collapsed="false">
      <c r="A30" s="10" t="s">
        <v>3344</v>
      </c>
    </row>
    <row r="32" customFormat="false" ht="15" hidden="false" customHeight="true" outlineLevel="0" collapsed="false">
      <c r="A32" s="9" t="s">
        <v>3345</v>
      </c>
    </row>
    <row r="33" customFormat="false" ht="15" hidden="false" customHeight="true" outlineLevel="0" collapsed="false">
      <c r="A33" s="10" t="s">
        <v>3346</v>
      </c>
    </row>
    <row r="34" customFormat="false" ht="15" hidden="false" customHeight="true" outlineLevel="0" collapsed="false">
      <c r="A34" s="10" t="s">
        <v>3347</v>
      </c>
    </row>
    <row r="35" customFormat="false" ht="15" hidden="false" customHeight="true" outlineLevel="0" collapsed="false">
      <c r="A35" s="10" t="s">
        <v>3348</v>
      </c>
    </row>
    <row r="36" customFormat="false" ht="15" hidden="false" customHeight="true" outlineLevel="0" collapsed="false">
      <c r="A36" s="10" t="s">
        <v>3349</v>
      </c>
    </row>
    <row r="37" customFormat="false" ht="15" hidden="false" customHeight="true" outlineLevel="0" collapsed="false">
      <c r="A37" s="10" t="s">
        <v>3350</v>
      </c>
    </row>
    <row r="39" customFormat="false" ht="15" hidden="false" customHeight="true" outlineLevel="0" collapsed="false">
      <c r="A39" s="9" t="s">
        <v>3351</v>
      </c>
    </row>
    <row r="40" customFormat="false" ht="15" hidden="false" customHeight="true" outlineLevel="0" collapsed="false">
      <c r="A40" s="10" t="s">
        <v>3352</v>
      </c>
    </row>
    <row r="41" customFormat="false" ht="15" hidden="false" customHeight="true" outlineLevel="0" collapsed="false">
      <c r="A41" s="10" t="s">
        <v>3353</v>
      </c>
    </row>
    <row r="42" customFormat="false" ht="15" hidden="false" customHeight="true" outlineLevel="0" collapsed="false">
      <c r="A42" s="10" t="s">
        <v>3354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2026-09-17T23:04:59Z</dcterms:created>
  <dc:creator>openpyxl</dc:creator>
  <dc:description/>
  <dc:language>en-US</dc:language>
  <cp:lastModifiedBy/>
  <dcterms:modified xsi:type="dcterms:W3CDTF">2026-09-18T00:05:15Z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